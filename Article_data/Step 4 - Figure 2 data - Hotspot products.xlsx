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nicolas\projects\202604-paper-1-supplementary-code\Article_data\"/>
    </mc:Choice>
  </mc:AlternateContent>
  <xr:revisionPtr revIDLastSave="0" documentId="13_ncr:1_{FAFACF46-B3BC-4454-8DC5-552E7EA5435A}" xr6:coauthVersionLast="47" xr6:coauthVersionMax="47" xr10:uidLastSave="{00000000-0000-0000-0000-000000000000}"/>
  <bookViews>
    <workbookView xWindow="-108" yWindow="-108" windowWidth="23256" windowHeight="12456" xr2:uid="{3AE344CB-1894-47AD-A205-3A52A8D8A89E}"/>
  </bookViews>
  <sheets>
    <sheet name="README" sheetId="2" r:id="rId1"/>
    <sheet name="Figure 2 data" sheetId="1" r:id="rId2"/>
    <sheet name="PA-6 and PA-6,6" sheetId="5" r:id="rId3"/>
  </sheets>
  <externalReferences>
    <externalReference r:id="rId4"/>
  </externalReferences>
  <definedNames>
    <definedName name="ExternalData_1" localSheetId="1" hidden="1">'Figure 2 data'!$A$3:$AH$54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9" i="2" l="1"/>
  <c r="C28" i="2"/>
  <c r="C18" i="5"/>
  <c r="C20" i="5" s="1"/>
  <c r="C22" i="5" s="1"/>
  <c r="C17" i="5"/>
  <c r="C19" i="5" s="1"/>
  <c r="C21" i="5" s="1"/>
  <c r="C8" i="5"/>
  <c r="C9" i="5" s="1"/>
  <c r="C10" i="5" s="1"/>
  <c r="C15" i="5"/>
  <c r="C14" i="5"/>
  <c r="C6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1DC76C-5B50-40F3-9827-2C594C1E6064}" keepAlive="1" name="Query - Hotspot products with footprint - processed" description="Connection to the 'Hotspot products with footprint - processed' query in the workbook." type="5" refreshedVersion="0" background="1">
    <dbPr connection="Provider=Microsoft.Mashup.OleDb.1;Data Source=$Workbook$;Location=&quot;Hotspot products with footprint - processed&quot;;Extended Properties=&quot;&quot;" command="SELECT * FROM [Hotspot products with footprint - processed]"/>
  </connection>
  <connection id="2" xr16:uid="{5BEAD19A-32AF-480A-AB03-869D84C02257}" keepAlive="1" name="Query - Hotspot products with footprint - processed (2)" description="Connection to the 'Hotspot products with footprint - processed (2)' query in the workbook." type="5" refreshedVersion="7" background="1" saveData="1">
    <dbPr connection="Provider=Microsoft.Mashup.OleDb.1;Data Source=$Workbook$;Location=&quot;Hotspot products with footprint - processed (2)&quot;;Extended Properties=&quot;&quot;" command="SELECT * FROM [Hotspot products with footprint - processed (2)]"/>
  </connection>
</connections>
</file>

<file path=xl/sharedStrings.xml><?xml version="1.0" encoding="utf-8"?>
<sst xmlns="http://schemas.openxmlformats.org/spreadsheetml/2006/main" count="198" uniqueCount="163">
  <si>
    <t>README sheet</t>
  </si>
  <si>
    <t>General information</t>
  </si>
  <si>
    <t>Main paper title</t>
  </si>
  <si>
    <t>Residual biomass to bio-based chemicals and plastics: ex-ante screening methodology for prioritizing high-impact substitutions</t>
  </si>
  <si>
    <t>Authors</t>
  </si>
  <si>
    <t>Nicolas LIENART, Thibaut LECOMPTE, Lorie HAMELIN</t>
  </si>
  <si>
    <t>Contact (Nicolas Lienart)</t>
  </si>
  <si>
    <t>nicolas.lienart@insa-toulouse.fr</t>
  </si>
  <si>
    <t>Contact (Thibaut Lecompte)</t>
  </si>
  <si>
    <t>thibaut.lecompte@univ-ubs.fr</t>
  </si>
  <si>
    <t>Contact (Lorie Hamelin)</t>
  </si>
  <si>
    <t>lorie.hamelin@insa-toulouse.fr</t>
  </si>
  <si>
    <t>Description</t>
  </si>
  <si>
    <t>This file is contains the underlying data used to generate the Figure 2 in the main manuscript. It is corresponds to "output/data output - processed.csv" file, generated by "Calculate product footprints and generate hotspot figure.ipynb"</t>
  </si>
  <si>
    <t>Note</t>
  </si>
  <si>
    <t>This file is part of a set of supplementary materials. Please refer to the main manuscript and the accompanying document to find other materials and for a description of their usage.</t>
  </si>
  <si>
    <t>Git repository (Forge INRAE)</t>
  </si>
  <si>
    <t>https://forge.inrae.fr/nicolas.lienart/screen-lca-paper-supplementary-code</t>
  </si>
  <si>
    <t>Git repository (GitHub)</t>
  </si>
  <si>
    <t>https://github.com/nicolnt/screen-lca-paper-supplementary-code</t>
  </si>
  <si>
    <t>Updates</t>
  </si>
  <si>
    <t>Date</t>
  </si>
  <si>
    <t>Ready for submission</t>
  </si>
  <si>
    <t>Sheet structure</t>
  </si>
  <si>
    <t>Sheet name</t>
  </si>
  <si>
    <t>README</t>
  </si>
  <si>
    <t>This sheet. Contains meta information about this Excel file and its structure.</t>
  </si>
  <si>
    <t>Figure 2 data</t>
  </si>
  <si>
    <t>Long name</t>
  </si>
  <si>
    <t>Figure name</t>
  </si>
  <si>
    <t>Polyethylene</t>
  </si>
  <si>
    <t>Polypropylene, in primary forms</t>
  </si>
  <si>
    <t>Polypropylene</t>
  </si>
  <si>
    <t>Polystyrene</t>
  </si>
  <si>
    <t>Propene (propylene)</t>
  </si>
  <si>
    <t>Propylene</t>
  </si>
  <si>
    <t>Ethylene</t>
  </si>
  <si>
    <t>Polyethylene terephthalate</t>
  </si>
  <si>
    <t>Benzene</t>
  </si>
  <si>
    <t>Polyvinyl chloride</t>
  </si>
  <si>
    <t>Phthalic anhydride; terephthalic acid and its salts</t>
  </si>
  <si>
    <t>Terephthalic acid</t>
  </si>
  <si>
    <t>Polyamide -6 (PA 6)</t>
  </si>
  <si>
    <t>Polyamide -6</t>
  </si>
  <si>
    <t>Styrene</t>
  </si>
  <si>
    <t>Polyamide -6,6 (PA 66)</t>
  </si>
  <si>
    <t>Polyamide -6,6</t>
  </si>
  <si>
    <t>Methanol (methyl alcohol)</t>
  </si>
  <si>
    <t>Methanol</t>
  </si>
  <si>
    <t>Buta-1,3-diene and isoprene</t>
  </si>
  <si>
    <t>Butadiene</t>
  </si>
  <si>
    <t>Methyloxirane (propylene oxide)</t>
  </si>
  <si>
    <t>Propylene oxide</t>
  </si>
  <si>
    <t>Polyvinyl acetate</t>
  </si>
  <si>
    <t>Adipic acid; its salts and esters</t>
  </si>
  <si>
    <t>Adipic acid</t>
  </si>
  <si>
    <t>Butene (butylene) and isomers thereof</t>
  </si>
  <si>
    <t>Butylene</t>
  </si>
  <si>
    <t>Acrylonitrile-butadiene-styrene (ABS) copolymers, in primary forms</t>
  </si>
  <si>
    <t>ABS</t>
  </si>
  <si>
    <t>Aniline and its salts (excluding derivatives)</t>
  </si>
  <si>
    <t>Aniline</t>
  </si>
  <si>
    <t>Methylene diphenyl diisocyanate (MDI)</t>
  </si>
  <si>
    <t>Methylene diphenyl diisocyanate</t>
  </si>
  <si>
    <t>Esters of acrylic acid</t>
  </si>
  <si>
    <t>Ethylene glycol (ethanediol)</t>
  </si>
  <si>
    <t>Ethylene glycol</t>
  </si>
  <si>
    <t>Acetone</t>
  </si>
  <si>
    <t>Acetic acid</t>
  </si>
  <si>
    <t>Esters of methacrylic acid</t>
  </si>
  <si>
    <t>Methyl methacrylate</t>
  </si>
  <si>
    <t>Cyclohexane</t>
  </si>
  <si>
    <t>Hexamethylenediamine and its salts; ethylenediamine and its salts</t>
  </si>
  <si>
    <t>Hexamethylenediamine</t>
  </si>
  <si>
    <t>Toluene</t>
  </si>
  <si>
    <t>Oxirane (ethylene oxide)</t>
  </si>
  <si>
    <t>Ethylene oxide</t>
  </si>
  <si>
    <t>Ethylene-vinyl acetate copolymers, in primary forms</t>
  </si>
  <si>
    <t>Ethylene-vinyl acetate</t>
  </si>
  <si>
    <t>Cumene</t>
  </si>
  <si>
    <t>Butan-1-ol (n-butyl alcohol)</t>
  </si>
  <si>
    <t>n-Butanol</t>
  </si>
  <si>
    <t>p-Xylene</t>
  </si>
  <si>
    <t>Propylene glycol (propane-1,2-diol)</t>
  </si>
  <si>
    <t>Propylene glycol</t>
  </si>
  <si>
    <t>Acrylonitrile</t>
  </si>
  <si>
    <t>Propan-1-ol (propyl alcohol) and propan-2-ol (isopropyl alcohol)</t>
  </si>
  <si>
    <t>Isopropanol</t>
  </si>
  <si>
    <t>Vinyl chloride (chloroethylene)</t>
  </si>
  <si>
    <t>Vinyl chloride</t>
  </si>
  <si>
    <t>1,2-Dichloroethane (ethylene dichloride)</t>
  </si>
  <si>
    <t>Ethylene dichloride</t>
  </si>
  <si>
    <t>Butanal (butyraldehyde; normal isomer)</t>
  </si>
  <si>
    <t>Butanal</t>
  </si>
  <si>
    <t>Ethylbenzene</t>
  </si>
  <si>
    <t>Ethyl acetate</t>
  </si>
  <si>
    <t>Toluene diisocyanate (TDI)</t>
  </si>
  <si>
    <t>Toluene diisocyanate</t>
  </si>
  <si>
    <t>Polyacetals, in primary forms</t>
  </si>
  <si>
    <t>Polyoxymethylene</t>
  </si>
  <si>
    <t>Methanal (formaldehyde)</t>
  </si>
  <si>
    <t>Formaldehyde</t>
  </si>
  <si>
    <t>Acetic anhydride</t>
  </si>
  <si>
    <t>4,4-Isopropylidenediphenol (bisphenol A; diphenylolpropane) and its salts</t>
  </si>
  <si>
    <t>Bisphenol A</t>
  </si>
  <si>
    <t>m-Xylene and mixed xylene isomers</t>
  </si>
  <si>
    <t>m-Xylene</t>
  </si>
  <si>
    <t>2,2-Oxydiethanol (diethylene glycol; digol)</t>
  </si>
  <si>
    <t>Diethylene glycol</t>
  </si>
  <si>
    <t>o-Xylene</t>
  </si>
  <si>
    <t>Sheet description:</t>
  </si>
  <si>
    <t>Background data of main manuscript's figure 2</t>
  </si>
  <si>
    <t>Quantity (Mt/yr)</t>
  </si>
  <si>
    <t>Local production share of available quantity (%)</t>
  </si>
  <si>
    <t>Carbon mass share</t>
  </si>
  <si>
    <t>propylene - ecoinvent-3.11-cutoff</t>
  </si>
  <si>
    <t>ethylene - ecoinvent-3.11-cutoff</t>
  </si>
  <si>
    <t>methanol - ecoinvent-3.11-cutoff</t>
  </si>
  <si>
    <t>xylene, mixed - ecoinvent-3.11-cutoff</t>
  </si>
  <si>
    <t>o-xylene - ecoinvent-3.11-cutoff</t>
  </si>
  <si>
    <t>p-xylene - ecoinvent-3.11-cutoff</t>
  </si>
  <si>
    <t>toluene, liquid - ecoinvent-3.11-cutoff</t>
  </si>
  <si>
    <t>benzene - ecoinvent-3.11-cutoff</t>
  </si>
  <si>
    <t>Unit GHG footprint without end-of-life (IPCC 2021 GWP100, kg CO2e/kg) - ecoinvent-3.11-cutoff</t>
  </si>
  <si>
    <t>Unit GHG footprint of local production share (IPCC 2021 GWP100, kg CO2e/kg) - ecoinvent-3.11-cutoff</t>
  </si>
  <si>
    <t>propylene - ecoinvent-3.12-cutoff</t>
  </si>
  <si>
    <t>ethylene - ecoinvent-3.12-cutoff</t>
  </si>
  <si>
    <t>methanol - ecoinvent-3.12-cutoff</t>
  </si>
  <si>
    <t>xylene, mixed - ecoinvent-3.12-cutoff</t>
  </si>
  <si>
    <t>o-xylene - ecoinvent-3.12-cutoff</t>
  </si>
  <si>
    <t>p-xylene - ecoinvent-3.12-cutoff</t>
  </si>
  <si>
    <t>toluene, liquid - ecoinvent-3.12-cutoff</t>
  </si>
  <si>
    <t>benzene - ecoinvent-3.12-cutoff</t>
  </si>
  <si>
    <t>Unit GHG footprint without end-of-life (IPCC 2021 GWP100, kg CO2e/kg) - ecoinvent-3.12-cutoff</t>
  </si>
  <si>
    <t>Unit GHG footprint of local production share (IPCC 2021 GWP100, kg CO2e/kg) - ecoinvent-3.12-cutoff</t>
  </si>
  <si>
    <t>Unit impact of end-of-life (kg CO2/kg)</t>
  </si>
  <si>
    <t>Unit GHG footprint with end-of-life (IPCC 2021 GWP100, kg CO2e/kg) - ecoinvent-3.11-cutoff</t>
  </si>
  <si>
    <t>Total GHG footprint without end-of-life (IPCC 2021 GWP100, kg CO2e/kg) - ecoinvent-3.11-cutoff</t>
  </si>
  <si>
    <t>Total GHG footprint with end-of-life (IPCC 2021 GWP100, kg CO2e/kg) - ecoinvent-3.11-cutoff</t>
  </si>
  <si>
    <t>Unit GHG footprint with end-of-life (IPCC 2021 GWP100, kg CO2e/kg) - ecoinvent-3.12-cutoff</t>
  </si>
  <si>
    <t>Total GHG footprint without end-of-life (IPCC 2021 GWP100, kg CO2e/kg) - ecoinvent-3.12-cutoff</t>
  </si>
  <si>
    <t>Total GHG footprint with end-of-life (IPCC 2021 GWP100, kg CO2e/kg) - ecoinvent-3.12-cutoff</t>
  </si>
  <si>
    <t>Unit GHG footprint of BTX (IPCC 2021 GWP100, kg CO2e/kg) - ecoinvent-3.11-cutoff</t>
  </si>
  <si>
    <t>Unit GHG footprint of BTX (IPCC 2021 GWP100, kg CO2e/kg) - ecoinvent-3.12-cutoff</t>
  </si>
  <si>
    <t>Chloromethane (methyl chloride) and chloroethane (ethyl chloride)</t>
  </si>
  <si>
    <t>Chloromethane</t>
  </si>
  <si>
    <t/>
  </si>
  <si>
    <t>PA 6</t>
  </si>
  <si>
    <t>kg/kg PA6</t>
  </si>
  <si>
    <t>PA 66</t>
  </si>
  <si>
    <t>Hexamethylene diamine</t>
  </si>
  <si>
    <t>kg/kg PA66</t>
  </si>
  <si>
    <t>kg CO2-eq/kg</t>
  </si>
  <si>
    <t>Benzene BTX footprint</t>
  </si>
  <si>
    <t>Adipic acid BTX footprint</t>
  </si>
  <si>
    <t>Hexamethylene diamine propylene footprint</t>
  </si>
  <si>
    <t>PA 6 BTX footprint</t>
  </si>
  <si>
    <t>PA 66 BTX footprint</t>
  </si>
  <si>
    <t>PA 66 propylene footprint</t>
  </si>
  <si>
    <t>% unit footprint with EoL</t>
  </si>
  <si>
    <t>Estimated contribution of some key intermediates to the unit footprint of polyamides</t>
  </si>
  <si>
    <t>Neither Ecoinvent 3.11 nor 3.12 report the raw materials for Polyamide -6,6 and Polyamide -6. We estimate the contribution here, which we adapted onto Figure 2B of the main manuscript</t>
  </si>
  <si>
    <t>PA-6 and PA-6,6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</si>
</sst>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4"/>
      <name val="Arial"/>
      <family val="2"/>
    </font>
    <font>
      <i/>
      <sz val="10"/>
      <color rgb="FFCC6600"/>
      <name val="Arial"/>
      <family val="2"/>
    </font>
    <font>
      <sz val="9"/>
      <color theme="4" tint="0.39997558519241921"/>
      <name val="Arial"/>
      <family val="2"/>
    </font>
    <font>
      <sz val="10"/>
      <name val="Arial"/>
      <family val="2"/>
    </font>
    <font>
      <b/>
      <sz val="11"/>
      <color theme="3"/>
      <name val="Calibri"/>
      <family val="2"/>
      <scheme val="minor"/>
    </font>
    <font>
      <sz val="9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theme="4" tint="0.39997558519241921"/>
      </bottom>
      <diagonal/>
    </border>
  </borders>
  <cellStyleXfs count="11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  <xf numFmtId="0" fontId="4" fillId="2" borderId="0" applyNumberFormat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7" fillId="0" borderId="0" applyNumberFormat="0" applyBorder="0" applyAlignment="0" applyProtection="0"/>
    <xf numFmtId="0" fontId="8" fillId="0" borderId="0" applyNumberFormat="0" applyBorder="0" applyAlignment="0" applyProtection="0">
      <alignment vertical="top"/>
    </xf>
    <xf numFmtId="0" fontId="9" fillId="3" borderId="0" applyNumberFormat="0" applyBorder="0" applyAlignment="0" applyProtection="0"/>
    <xf numFmtId="0" fontId="10" fillId="0" borderId="9" applyNumberFormat="0" applyFill="0" applyAlignment="0" applyProtection="0"/>
    <xf numFmtId="0" fontId="11" fillId="0" borderId="0" applyNumberFormat="0" applyBorder="0" applyAlignment="0" applyProtection="0">
      <alignment horizontal="left" vertical="center" indent="1"/>
    </xf>
  </cellStyleXfs>
  <cellXfs count="22">
    <xf numFmtId="0" fontId="0" fillId="0" borderId="0" xfId="0"/>
    <xf numFmtId="0" fontId="1" fillId="0" borderId="1" xfId="1"/>
    <xf numFmtId="0" fontId="2" fillId="0" borderId="2" xfId="2"/>
    <xf numFmtId="0" fontId="5" fillId="0" borderId="0" xfId="4"/>
    <xf numFmtId="0" fontId="0" fillId="0" borderId="0" xfId="0" applyAlignment="1">
      <alignment wrapText="1"/>
    </xf>
    <xf numFmtId="0" fontId="5" fillId="0" borderId="0" xfId="4" applyAlignment="1">
      <alignment wrapText="1"/>
    </xf>
    <xf numFmtId="0" fontId="3" fillId="2" borderId="3" xfId="3" applyFont="1" applyBorder="1" applyAlignment="1">
      <alignment horizontal="center"/>
    </xf>
    <xf numFmtId="0" fontId="3" fillId="2" borderId="4" xfId="3" applyFont="1" applyBorder="1" applyAlignment="1">
      <alignment horizontal="left"/>
    </xf>
    <xf numFmtId="14" fontId="0" fillId="0" borderId="5" xfId="0" applyNumberFormat="1" applyBorder="1" applyAlignment="1">
      <alignment horizontal="center"/>
    </xf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8" xfId="0" applyBorder="1"/>
    <xf numFmtId="0" fontId="5" fillId="0" borderId="5" xfId="4" applyBorder="1" applyAlignment="1">
      <alignment horizontal="center"/>
    </xf>
    <xf numFmtId="0" fontId="7" fillId="0" borderId="6" xfId="6" applyBorder="1"/>
    <xf numFmtId="0" fontId="0" fillId="0" borderId="0" xfId="0" applyNumberFormat="1"/>
    <xf numFmtId="0" fontId="10" fillId="0" borderId="9" xfId="9"/>
    <xf numFmtId="0" fontId="7" fillId="0" borderId="0" xfId="6"/>
    <xf numFmtId="0" fontId="11" fillId="0" borderId="0" xfId="10" applyAlignment="1">
      <alignment horizontal="center"/>
    </xf>
    <xf numFmtId="0" fontId="6" fillId="0" borderId="0" xfId="5"/>
    <xf numFmtId="10" fontId="6" fillId="0" borderId="0" xfId="5" applyNumberFormat="1"/>
    <xf numFmtId="0" fontId="5" fillId="0" borderId="7" xfId="4" applyBorder="1" applyAlignment="1">
      <alignment horizontal="center"/>
    </xf>
    <xf numFmtId="0" fontId="7" fillId="0" borderId="8" xfId="6" applyBorder="1"/>
  </cellXfs>
  <cellStyles count="11">
    <cellStyle name="Accent1" xfId="3" builtinId="29"/>
    <cellStyle name="Data Linked Cell" xfId="6" xr:uid="{F5AD9819-241D-41A6-B7EC-8077435BA0F0}"/>
    <cellStyle name="Data Reference" xfId="8" xr:uid="{17CB4F51-63C0-4AF8-8DE8-2DED6DBDB61B}"/>
    <cellStyle name="Formula" xfId="5" xr:uid="{2CE69CB3-6A26-4FA5-9758-76DA3956362C}"/>
    <cellStyle name="Heading 1" xfId="1" builtinId="16"/>
    <cellStyle name="Heading 2" xfId="2" builtinId="17"/>
    <cellStyle name="Heading 3" xfId="9" builtinId="18"/>
    <cellStyle name="Hyperlink" xfId="4" builtinId="8"/>
    <cellStyle name="Normal" xfId="0" builtinId="0"/>
    <cellStyle name="Text Formula" xfId="7" xr:uid="{C0954D4B-FAEA-4064-9DAD-E66463950854}"/>
    <cellStyle name="Text Unit" xfId="10" xr:uid="{195A81AA-E493-4FCA-A16E-6634984770E8}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ep%203%20results%20from%20Prodcom%20data%20manip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ADME"/>
      <sheetName val="Filtered Prodcom data"/>
      <sheetName val="Calculations"/>
      <sheetName val="Hotspot products export"/>
      <sheetName val="References"/>
    </sheetNames>
    <sheetDataSet>
      <sheetData sheetId="0"/>
      <sheetData sheetId="1"/>
      <sheetData sheetId="2">
        <row r="13">
          <cell r="C13">
            <v>0.9585499999999999</v>
          </cell>
        </row>
        <row r="21">
          <cell r="C21">
            <v>0.64600000000000002</v>
          </cell>
        </row>
        <row r="22">
          <cell r="C22">
            <v>0.51300000000000001</v>
          </cell>
        </row>
      </sheetData>
      <sheetData sheetId="3"/>
      <sheetData sheetId="4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DA043C22-6C09-4E9E-BCAE-0D7C63BB839F}" autoFormatId="16" applyNumberFormats="0" applyBorderFormats="0" applyFontFormats="0" applyPatternFormats="0" applyAlignmentFormats="0" applyWidthHeightFormats="0">
  <queryTableRefresh nextId="35">
    <queryTableFields count="34">
      <queryTableField id="1" name="Long name" tableColumnId="1"/>
      <queryTableField id="2" name="Figure name" tableColumnId="2"/>
      <queryTableField id="3" name="Quantity (Mt/yr)" tableColumnId="3"/>
      <queryTableField id="4" name="Local production share of available quantity (%)" tableColumnId="4"/>
      <queryTableField id="5" name="Carbon mass share" tableColumnId="5"/>
      <queryTableField id="6" name="propylene - ecoinvent-3.11-cutoff" tableColumnId="6"/>
      <queryTableField id="7" name="ethylene - ecoinvent-3.11-cutoff" tableColumnId="7"/>
      <queryTableField id="8" name="methanol - ecoinvent-3.11-cutoff" tableColumnId="8"/>
      <queryTableField id="9" name="xylene, mixed - ecoinvent-3.11-cutoff" tableColumnId="9"/>
      <queryTableField id="10" name="o-xylene - ecoinvent-3.11-cutoff" tableColumnId="10"/>
      <queryTableField id="11" name="p-xylene - ecoinvent-3.11-cutoff" tableColumnId="11"/>
      <queryTableField id="12" name="toluene, liquid - ecoinvent-3.11-cutoff" tableColumnId="12"/>
      <queryTableField id="13" name="benzene - ecoinvent-3.11-cutoff" tableColumnId="13"/>
      <queryTableField id="14" name="Unit GHG footprint without end-of-life (IPCC 2021 GWP100, kg CO2e/kg) - ecoinvent-3.11-cutoff" tableColumnId="14"/>
      <queryTableField id="15" name="Unit GHG footprint of local production share (IPCC 2021 GWP100, kg CO2e/kg) - ecoinvent-3.11-cutoff" tableColumnId="15"/>
      <queryTableField id="16" name="propylene - ecoinvent-3.12-cutoff" tableColumnId="16"/>
      <queryTableField id="17" name="ethylene - ecoinvent-3.12-cutoff" tableColumnId="17"/>
      <queryTableField id="18" name="methanol - ecoinvent-3.12-cutoff" tableColumnId="18"/>
      <queryTableField id="19" name="xylene, mixed - ecoinvent-3.12-cutoff" tableColumnId="19"/>
      <queryTableField id="20" name="o-xylene - ecoinvent-3.12-cutoff" tableColumnId="20"/>
      <queryTableField id="21" name="p-xylene - ecoinvent-3.12-cutoff" tableColumnId="21"/>
      <queryTableField id="22" name="toluene, liquid - ecoinvent-3.12-cutoff" tableColumnId="22"/>
      <queryTableField id="23" name="benzene - ecoinvent-3.12-cutoff" tableColumnId="23"/>
      <queryTableField id="24" name="Unit GHG footprint without end-of-life (IPCC 2021 GWP100, kg CO2e/kg) - ecoinvent-3.12-cutoff" tableColumnId="24"/>
      <queryTableField id="25" name="Unit GHG footprint of local production share (IPCC 2021 GWP100, kg CO2e/kg) - ecoinvent-3.12-cutoff" tableColumnId="25"/>
      <queryTableField id="26" name="Unit impact of end-of-life (kg CO2/kg)" tableColumnId="26"/>
      <queryTableField id="27" name="Unit GHG footprint with end-of-life (IPCC 2021 GWP100, kg CO2e/kg) - ecoinvent-3.11-cutoff" tableColumnId="27"/>
      <queryTableField id="28" name="Total GHG footprint without end-of-life (IPCC 2021 GWP100, kg CO2e/kg) - ecoinvent-3.11-cutoff" tableColumnId="28"/>
      <queryTableField id="29" name="Total GHG footprint with end-of-life (IPCC 2021 GWP100, kg CO2e/kg) - ecoinvent-3.11-cutoff" tableColumnId="29"/>
      <queryTableField id="30" name="Unit GHG footprint with end-of-life (IPCC 2021 GWP100, kg CO2e/kg) - ecoinvent-3.12-cutoff" tableColumnId="30"/>
      <queryTableField id="31" name="Total GHG footprint without end-of-life (IPCC 2021 GWP100, kg CO2e/kg) - ecoinvent-3.12-cutoff" tableColumnId="31"/>
      <queryTableField id="32" name="Total GHG footprint with end-of-life (IPCC 2021 GWP100, kg CO2e/kg) - ecoinvent-3.12-cutoff" tableColumnId="32"/>
      <queryTableField id="33" name="Unit GHG footprint of BTX (IPCC 2021 GWP100, kg CO2e/kg) - ecoinvent-3.11-cutoff" tableColumnId="33"/>
      <queryTableField id="34" name="Unit GHG footprint of BTX (IPCC 2021 GWP100, kg CO2e/kg) - ecoinvent-3.12-cutoff" tableColumnId="3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DA68156-B0C3-40F6-8F48-676F9654732B}" name="Hotspot_products_with_footprint___processed__2" displayName="Hotspot_products_with_footprint___processed__2" ref="A3:AH54" tableType="queryTable" totalsRowShown="0">
  <autoFilter ref="A3:AH54" xr:uid="{FDA68156-B0C3-40F6-8F48-676F9654732B}"/>
  <tableColumns count="34">
    <tableColumn id="1" xr3:uid="{12A72BAD-CEBD-4D15-A6D3-C81C417D6578}" uniqueName="1" name="Long name" queryTableFieldId="1" dataDxfId="1"/>
    <tableColumn id="2" xr3:uid="{AEEC3F97-3810-4CBB-B156-93D67C7DA6C1}" uniqueName="2" name="Figure name" queryTableFieldId="2" dataDxfId="0"/>
    <tableColumn id="3" xr3:uid="{5C672CCD-F7C5-48E3-88F5-590DFD10B541}" uniqueName="3" name="Quantity (Mt/yr)" queryTableFieldId="3"/>
    <tableColumn id="4" xr3:uid="{5697E3B5-08A7-4BB9-AFE2-D479DA95397E}" uniqueName="4" name="Local production share of available quantity (%)" queryTableFieldId="4"/>
    <tableColumn id="5" xr3:uid="{A992887C-D6F6-43D6-B274-06195636FBDB}" uniqueName="5" name="Carbon mass share" queryTableFieldId="5"/>
    <tableColumn id="6" xr3:uid="{6AF8AA32-7BDB-4F0B-931B-D08214FB71E3}" uniqueName="6" name="propylene - ecoinvent-3.11-cutoff" queryTableFieldId="6"/>
    <tableColumn id="7" xr3:uid="{1A75EB03-1F2D-4E44-8F52-89E51566F6DC}" uniqueName="7" name="ethylene - ecoinvent-3.11-cutoff" queryTableFieldId="7"/>
    <tableColumn id="8" xr3:uid="{4B5CDB8B-8976-41D7-97D7-1EAB1F243F6F}" uniqueName="8" name="methanol - ecoinvent-3.11-cutoff" queryTableFieldId="8"/>
    <tableColumn id="9" xr3:uid="{F4BBB45E-0303-4937-9D1C-B80C3216FAFF}" uniqueName="9" name="xylene, mixed - ecoinvent-3.11-cutoff" queryTableFieldId="9"/>
    <tableColumn id="10" xr3:uid="{A28E0346-E08D-49C5-99A0-18DBF9CD27CA}" uniqueName="10" name="o-xylene - ecoinvent-3.11-cutoff" queryTableFieldId="10"/>
    <tableColumn id="11" xr3:uid="{BF8DF8C9-F64C-488F-A260-2C1DAC065FCF}" uniqueName="11" name="p-xylene - ecoinvent-3.11-cutoff" queryTableFieldId="11"/>
    <tableColumn id="12" xr3:uid="{03CDDC82-3AAC-496A-B7E2-69CBDD70B64E}" uniqueName="12" name="toluene, liquid - ecoinvent-3.11-cutoff" queryTableFieldId="12"/>
    <tableColumn id="13" xr3:uid="{117D3478-2888-452C-9949-C011DE0D4C10}" uniqueName="13" name="benzene - ecoinvent-3.11-cutoff" queryTableFieldId="13"/>
    <tableColumn id="14" xr3:uid="{B906F241-4DC9-4452-9A8E-5D3BB8B31633}" uniqueName="14" name="Unit GHG footprint without end-of-life (IPCC 2021 GWP100, kg CO2e/kg) - ecoinvent-3.11-cutoff" queryTableFieldId="14"/>
    <tableColumn id="15" xr3:uid="{CBF1F2CA-4CA3-44A9-8475-C41D8725321E}" uniqueName="15" name="Unit GHG footprint of local production share (IPCC 2021 GWP100, kg CO2e/kg) - ecoinvent-3.11-cutoff" queryTableFieldId="15"/>
    <tableColumn id="16" xr3:uid="{978FDA35-B7A6-4547-81FF-8399AF7F3270}" uniqueName="16" name="propylene - ecoinvent-3.12-cutoff" queryTableFieldId="16"/>
    <tableColumn id="17" xr3:uid="{0F2BDA4A-B429-41BE-959F-2314203D0CE7}" uniqueName="17" name="ethylene - ecoinvent-3.12-cutoff" queryTableFieldId="17"/>
    <tableColumn id="18" xr3:uid="{DAA77F5F-58EB-4258-966A-51033E9E394C}" uniqueName="18" name="methanol - ecoinvent-3.12-cutoff" queryTableFieldId="18"/>
    <tableColumn id="19" xr3:uid="{A0413D4E-C4A4-42ED-B35F-264C044BFBD6}" uniqueName="19" name="xylene, mixed - ecoinvent-3.12-cutoff" queryTableFieldId="19"/>
    <tableColumn id="20" xr3:uid="{32AE3D1A-ABAC-4403-B521-15C74A0457FB}" uniqueName="20" name="o-xylene - ecoinvent-3.12-cutoff" queryTableFieldId="20"/>
    <tableColumn id="21" xr3:uid="{4004EA13-829B-4DD8-85EB-EE4638FE6E6B}" uniqueName="21" name="p-xylene - ecoinvent-3.12-cutoff" queryTableFieldId="21"/>
    <tableColumn id="22" xr3:uid="{998EA219-80B6-4843-9B9F-4671171A9BF0}" uniqueName="22" name="toluene, liquid - ecoinvent-3.12-cutoff" queryTableFieldId="22"/>
    <tableColumn id="23" xr3:uid="{710A36BC-6AA3-44EB-9DA1-DB00E4AE821D}" uniqueName="23" name="benzene - ecoinvent-3.12-cutoff" queryTableFieldId="23"/>
    <tableColumn id="24" xr3:uid="{4F0A7D75-6F3A-4963-A3C4-D58CDC609D2A}" uniqueName="24" name="Unit GHG footprint without end-of-life (IPCC 2021 GWP100, kg CO2e/kg) - ecoinvent-3.12-cutoff" queryTableFieldId="24"/>
    <tableColumn id="25" xr3:uid="{F3597684-635F-488C-BDC7-8FC46E05E1D5}" uniqueName="25" name="Unit GHG footprint of local production share (IPCC 2021 GWP100, kg CO2e/kg) - ecoinvent-3.12-cutoff" queryTableFieldId="25"/>
    <tableColumn id="26" xr3:uid="{8CB8F906-6030-4D09-9354-A03304E532C3}" uniqueName="26" name="Unit impact of end-of-life (kg CO2/kg)" queryTableFieldId="26"/>
    <tableColumn id="27" xr3:uid="{E550DCCA-65E2-43F6-A7F0-DB46DAE0B5B2}" uniqueName="27" name="Unit GHG footprint with end-of-life (IPCC 2021 GWP100, kg CO2e/kg) - ecoinvent-3.11-cutoff" queryTableFieldId="27"/>
    <tableColumn id="28" xr3:uid="{3282501E-A50E-42CF-B616-AC5C6EDB26C9}" uniqueName="28" name="Total GHG footprint without end-of-life (IPCC 2021 GWP100, kg CO2e/kg) - ecoinvent-3.11-cutoff" queryTableFieldId="28"/>
    <tableColumn id="29" xr3:uid="{1B26D4FD-9517-40BA-8584-3EBF0D4132FE}" uniqueName="29" name="Total GHG footprint with end-of-life (IPCC 2021 GWP100, kg CO2e/kg) - ecoinvent-3.11-cutoff" queryTableFieldId="29"/>
    <tableColumn id="30" xr3:uid="{D8EC1201-6F17-45C6-9066-D65933D4DC37}" uniqueName="30" name="Unit GHG footprint with end-of-life (IPCC 2021 GWP100, kg CO2e/kg) - ecoinvent-3.12-cutoff" queryTableFieldId="30"/>
    <tableColumn id="31" xr3:uid="{1E6A8BB9-C173-4F07-B213-01136CADA346}" uniqueName="31" name="Total GHG footprint without end-of-life (IPCC 2021 GWP100, kg CO2e/kg) - ecoinvent-3.12-cutoff" queryTableFieldId="31"/>
    <tableColumn id="32" xr3:uid="{23844C8E-8631-45DE-97C5-D5DC00C89E36}" uniqueName="32" name="Total GHG footprint with end-of-life (IPCC 2021 GWP100, kg CO2e/kg) - ecoinvent-3.12-cutoff" queryTableFieldId="32"/>
    <tableColumn id="33" xr3:uid="{F0E41FF5-1C78-46E6-8621-ADAE7F66F9EF}" uniqueName="33" name="Unit GHG footprint of BTX (IPCC 2021 GWP100, kg CO2e/kg) - ecoinvent-3.11-cutoff" queryTableFieldId="33"/>
    <tableColumn id="34" xr3:uid="{4AF381E7-95A4-4C8B-BB72-3B4A7742B1F5}" uniqueName="34" name="Unit GHG footprint of BTX (IPCC 2021 GWP100, kg CO2e/kg) - ecoinvent-3.12-cutoff" queryTableFieldId="3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nicolnt/screen-lca-paper-supplementary-code" TargetMode="External"/><Relationship Id="rId2" Type="http://schemas.openxmlformats.org/officeDocument/2006/relationships/hyperlink" Target="mailto:lorie.hamelin@insa-toulouse.fr" TargetMode="External"/><Relationship Id="rId1" Type="http://schemas.openxmlformats.org/officeDocument/2006/relationships/hyperlink" Target="mailto:nicolas.lienart@insa-toulouse.fr" TargetMode="External"/><Relationship Id="rId4" Type="http://schemas.openxmlformats.org/officeDocument/2006/relationships/hyperlink" Target="https://forge.inrae.fr/nicolas.lienart/screen-lca-paper-supplementary-code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6B43A-41A5-4560-9CA9-C4DC2A1F211D}">
  <sheetPr codeName="Sheet1"/>
  <dimension ref="B2:C29"/>
  <sheetViews>
    <sheetView tabSelected="1" zoomScaleNormal="100" workbookViewId="0"/>
  </sheetViews>
  <sheetFormatPr defaultRowHeight="14.4" x14ac:dyDescent="0.3"/>
  <cols>
    <col min="2" max="2" width="35.6640625" customWidth="1"/>
    <col min="3" max="3" width="72.5546875" customWidth="1"/>
    <col min="4" max="4" width="14.5546875" customWidth="1"/>
    <col min="5" max="7" width="15" customWidth="1"/>
  </cols>
  <sheetData>
    <row r="2" spans="2:3" ht="20.399999999999999" thickBot="1" x14ac:dyDescent="0.45">
      <c r="B2" s="1" t="s">
        <v>0</v>
      </c>
    </row>
    <row r="3" spans="2:3" ht="15" thickTop="1" x14ac:dyDescent="0.3"/>
    <row r="5" spans="2:3" ht="18" thickBot="1" x14ac:dyDescent="0.4">
      <c r="B5" s="2" t="s">
        <v>1</v>
      </c>
    </row>
    <row r="6" spans="2:3" ht="15" thickTop="1" x14ac:dyDescent="0.3"/>
    <row r="7" spans="2:3" x14ac:dyDescent="0.3">
      <c r="B7" t="s">
        <v>2</v>
      </c>
      <c r="C7" t="s">
        <v>3</v>
      </c>
    </row>
    <row r="8" spans="2:3" x14ac:dyDescent="0.3">
      <c r="B8" t="s">
        <v>4</v>
      </c>
      <c r="C8" t="s">
        <v>5</v>
      </c>
    </row>
    <row r="9" spans="2:3" x14ac:dyDescent="0.3">
      <c r="B9" t="s">
        <v>6</v>
      </c>
      <c r="C9" s="3" t="s">
        <v>7</v>
      </c>
    </row>
    <row r="10" spans="2:3" x14ac:dyDescent="0.3">
      <c r="B10" t="s">
        <v>8</v>
      </c>
      <c r="C10" s="3" t="s">
        <v>9</v>
      </c>
    </row>
    <row r="11" spans="2:3" x14ac:dyDescent="0.3">
      <c r="B11" t="s">
        <v>10</v>
      </c>
      <c r="C11" s="3" t="s">
        <v>11</v>
      </c>
    </row>
    <row r="12" spans="2:3" ht="43.2" x14ac:dyDescent="0.3">
      <c r="B12" t="s">
        <v>12</v>
      </c>
      <c r="C12" s="4" t="s">
        <v>13</v>
      </c>
    </row>
    <row r="13" spans="2:3" ht="43.2" x14ac:dyDescent="0.3">
      <c r="B13" t="s">
        <v>14</v>
      </c>
      <c r="C13" s="4" t="s">
        <v>15</v>
      </c>
    </row>
    <row r="14" spans="2:3" x14ac:dyDescent="0.3">
      <c r="B14" t="s">
        <v>16</v>
      </c>
      <c r="C14" s="5" t="s">
        <v>17</v>
      </c>
    </row>
    <row r="15" spans="2:3" x14ac:dyDescent="0.3">
      <c r="B15" t="s">
        <v>18</v>
      </c>
      <c r="C15" s="5" t="s">
        <v>19</v>
      </c>
    </row>
    <row r="18" spans="2:3" ht="18" thickBot="1" x14ac:dyDescent="0.4">
      <c r="B18" s="2" t="s">
        <v>20</v>
      </c>
    </row>
    <row r="19" spans="2:3" ht="15.6" thickTop="1" thickBot="1" x14ac:dyDescent="0.35"/>
    <row r="20" spans="2:3" x14ac:dyDescent="0.3">
      <c r="B20" s="6" t="s">
        <v>21</v>
      </c>
      <c r="C20" s="7" t="s">
        <v>14</v>
      </c>
    </row>
    <row r="21" spans="2:3" ht="15" thickBot="1" x14ac:dyDescent="0.35">
      <c r="B21" s="8">
        <v>46147</v>
      </c>
      <c r="C21" s="9" t="s">
        <v>22</v>
      </c>
    </row>
    <row r="24" spans="2:3" ht="18" thickBot="1" x14ac:dyDescent="0.4">
      <c r="B24" s="2" t="s">
        <v>23</v>
      </c>
    </row>
    <row r="25" spans="2:3" ht="15.6" thickTop="1" thickBot="1" x14ac:dyDescent="0.35"/>
    <row r="26" spans="2:3" x14ac:dyDescent="0.3">
      <c r="B26" s="6" t="s">
        <v>24</v>
      </c>
      <c r="C26" s="7" t="s">
        <v>12</v>
      </c>
    </row>
    <row r="27" spans="2:3" x14ac:dyDescent="0.3">
      <c r="B27" s="10" t="s">
        <v>25</v>
      </c>
      <c r="C27" s="11" t="s">
        <v>26</v>
      </c>
    </row>
    <row r="28" spans="2:3" x14ac:dyDescent="0.3">
      <c r="B28" s="20" t="s">
        <v>27</v>
      </c>
      <c r="C28" s="21" t="str">
        <f>'Figure 2 data'!$B$1</f>
        <v>Background data of main manuscript's figure 2</v>
      </c>
    </row>
    <row r="29" spans="2:3" ht="15" thickBot="1" x14ac:dyDescent="0.35">
      <c r="B29" s="12" t="s">
        <v>162</v>
      </c>
      <c r="C29" s="13" t="str">
        <f>'PA-6 and PA-6,6'!$B$1</f>
        <v>Estimated contribution of some key intermediates to the unit footprint of polyamides</v>
      </c>
    </row>
  </sheetData>
  <hyperlinks>
    <hyperlink ref="C9" r:id="rId1" xr:uid="{8321C33C-A89E-479A-9DA0-CD2BD393EB41}"/>
    <hyperlink ref="C11" r:id="rId2" xr:uid="{A55C8539-54D8-49BA-9136-7DA01406DF7A}"/>
    <hyperlink ref="C15" r:id="rId3" xr:uid="{0AD84E2C-9B77-4018-A42F-22A39398A7A3}"/>
    <hyperlink ref="C14" r:id="rId4" xr:uid="{F7D1FB83-556E-418E-B454-CDC30C4C994D}"/>
    <hyperlink ref="B28" location="'Figure 2 data'!A1" display="'Figure 2 data'!A1" xr:uid="{F0388310-AC2B-442E-A5F9-79ACE14EC188}"/>
    <hyperlink ref="B29" location="'PA-6 and PA-6,6'!A1" display="'PA-6 and PA-6,6'!A1" xr:uid="{D89A399C-570F-4975-805B-0DD9B478249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E612D-5809-445D-A327-8A13D7C36D35}">
  <sheetPr codeName="Sheet2"/>
  <dimension ref="A1:AH54"/>
  <sheetViews>
    <sheetView zoomScaleNormal="100" workbookViewId="0"/>
  </sheetViews>
  <sheetFormatPr defaultRowHeight="14.4" x14ac:dyDescent="0.3"/>
  <cols>
    <col min="1" max="1" width="61.33203125" bestFit="1" customWidth="1"/>
    <col min="2" max="2" width="28" bestFit="1" customWidth="1"/>
    <col min="3" max="3" width="17.44140625" bestFit="1" customWidth="1"/>
    <col min="4" max="4" width="44.109375" bestFit="1" customWidth="1"/>
    <col min="5" max="5" width="19.109375" bestFit="1" customWidth="1"/>
    <col min="6" max="6" width="32.21875" bestFit="1" customWidth="1"/>
    <col min="7" max="7" width="30.88671875" bestFit="1" customWidth="1"/>
    <col min="8" max="8" width="31.77734375" bestFit="1" customWidth="1"/>
    <col min="9" max="9" width="35.21875" bestFit="1" customWidth="1"/>
    <col min="10" max="11" width="30.77734375" bestFit="1" customWidth="1"/>
    <col min="12" max="12" width="35.88671875" bestFit="1" customWidth="1"/>
    <col min="13" max="13" width="30.6640625" bestFit="1" customWidth="1"/>
    <col min="14" max="15" width="80.88671875" bestFit="1" customWidth="1"/>
    <col min="16" max="16" width="32.21875" bestFit="1" customWidth="1"/>
    <col min="17" max="17" width="30.88671875" bestFit="1" customWidth="1"/>
    <col min="18" max="18" width="31.77734375" bestFit="1" customWidth="1"/>
    <col min="19" max="19" width="35.21875" bestFit="1" customWidth="1"/>
    <col min="20" max="21" width="30.77734375" bestFit="1" customWidth="1"/>
    <col min="22" max="22" width="35.88671875" bestFit="1" customWidth="1"/>
    <col min="23" max="23" width="30.6640625" bestFit="1" customWidth="1"/>
    <col min="24" max="25" width="80.88671875" bestFit="1" customWidth="1"/>
    <col min="26" max="26" width="35.6640625" bestFit="1" customWidth="1"/>
    <col min="27" max="32" width="80.88671875" bestFit="1" customWidth="1"/>
    <col min="33" max="34" width="74.77734375" bestFit="1" customWidth="1"/>
  </cols>
  <sheetData>
    <row r="1" spans="1:34" x14ac:dyDescent="0.3">
      <c r="A1" t="s">
        <v>110</v>
      </c>
      <c r="B1" s="11" t="s">
        <v>111</v>
      </c>
    </row>
    <row r="3" spans="1:34" x14ac:dyDescent="0.3">
      <c r="A3" t="s">
        <v>28</v>
      </c>
      <c r="B3" t="s">
        <v>29</v>
      </c>
      <c r="C3" t="s">
        <v>112</v>
      </c>
      <c r="D3" t="s">
        <v>113</v>
      </c>
      <c r="E3" t="s">
        <v>114</v>
      </c>
      <c r="F3" t="s">
        <v>115</v>
      </c>
      <c r="G3" t="s">
        <v>116</v>
      </c>
      <c r="H3" t="s">
        <v>117</v>
      </c>
      <c r="I3" t="s">
        <v>118</v>
      </c>
      <c r="J3" t="s">
        <v>119</v>
      </c>
      <c r="K3" t="s">
        <v>120</v>
      </c>
      <c r="L3" t="s">
        <v>121</v>
      </c>
      <c r="M3" t="s">
        <v>122</v>
      </c>
      <c r="N3" t="s">
        <v>123</v>
      </c>
      <c r="O3" t="s">
        <v>124</v>
      </c>
      <c r="P3" t="s">
        <v>125</v>
      </c>
      <c r="Q3" t="s">
        <v>126</v>
      </c>
      <c r="R3" t="s">
        <v>127</v>
      </c>
      <c r="S3" t="s">
        <v>128</v>
      </c>
      <c r="T3" t="s">
        <v>129</v>
      </c>
      <c r="U3" t="s">
        <v>130</v>
      </c>
      <c r="V3" t="s">
        <v>131</v>
      </c>
      <c r="W3" t="s">
        <v>132</v>
      </c>
      <c r="X3" t="s">
        <v>133</v>
      </c>
      <c r="Y3" t="s">
        <v>134</v>
      </c>
      <c r="Z3" t="s">
        <v>135</v>
      </c>
      <c r="AA3" t="s">
        <v>136</v>
      </c>
      <c r="AB3" t="s">
        <v>137</v>
      </c>
      <c r="AC3" t="s">
        <v>138</v>
      </c>
      <c r="AD3" t="s">
        <v>139</v>
      </c>
      <c r="AE3" t="s">
        <v>140</v>
      </c>
      <c r="AF3" t="s">
        <v>141</v>
      </c>
      <c r="AG3" t="s">
        <v>142</v>
      </c>
      <c r="AH3" t="s">
        <v>143</v>
      </c>
    </row>
    <row r="4" spans="1:34" x14ac:dyDescent="0.3">
      <c r="A4" s="14" t="s">
        <v>31</v>
      </c>
      <c r="B4" s="14" t="s">
        <v>32</v>
      </c>
      <c r="C4">
        <v>11.059816489999999</v>
      </c>
      <c r="D4">
        <v>0.86402104899999999</v>
      </c>
      <c r="E4">
        <v>0.85627717999999997</v>
      </c>
      <c r="F4">
        <v>2.2898037647921319</v>
      </c>
      <c r="G4">
        <v>8.7581324337646593E-2</v>
      </c>
      <c r="H4">
        <v>0.46613208861771099</v>
      </c>
      <c r="I4">
        <v>0</v>
      </c>
      <c r="J4">
        <v>0</v>
      </c>
      <c r="K4">
        <v>0</v>
      </c>
      <c r="L4">
        <v>0</v>
      </c>
      <c r="M4">
        <v>0</v>
      </c>
      <c r="N4">
        <v>3.049225589995086</v>
      </c>
      <c r="O4">
        <v>2.6345950929051982</v>
      </c>
      <c r="P4">
        <v>1.841080004334483</v>
      </c>
      <c r="Q4">
        <v>9.7479343773496596E-2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2.3416386163024563</v>
      </c>
      <c r="Y4">
        <v>2.0240234205117176</v>
      </c>
      <c r="Z4">
        <v>3.1374492061127301</v>
      </c>
      <c r="AA4">
        <v>6.1866747961078161</v>
      </c>
      <c r="AB4">
        <v>33.723875461957626</v>
      </c>
      <c r="AC4">
        <v>68.423487928260613</v>
      </c>
      <c r="AD4">
        <v>5.4790878224151864</v>
      </c>
      <c r="AE4">
        <v>25.898093382202688</v>
      </c>
      <c r="AF4">
        <v>60.597705848505669</v>
      </c>
      <c r="AG4">
        <v>0</v>
      </c>
      <c r="AH4">
        <v>0</v>
      </c>
    </row>
    <row r="5" spans="1:34" x14ac:dyDescent="0.3">
      <c r="A5" s="14" t="s">
        <v>36</v>
      </c>
      <c r="B5" s="14" t="s">
        <v>36</v>
      </c>
      <c r="C5">
        <v>10.33749377</v>
      </c>
      <c r="D5">
        <v>0.87904863300000002</v>
      </c>
      <c r="E5">
        <v>0.85639928700000001</v>
      </c>
      <c r="F5">
        <v>0</v>
      </c>
      <c r="G5">
        <v>1.8229857480794645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1.8233934504459255</v>
      </c>
      <c r="O5">
        <v>1.600745290093138</v>
      </c>
      <c r="P5">
        <v>0</v>
      </c>
      <c r="Q5">
        <v>1.8790377165437917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1.8792150734866879</v>
      </c>
      <c r="Y5">
        <v>1.6640826066083536</v>
      </c>
      <c r="Z5">
        <v>3.1378966132364501</v>
      </c>
      <c r="AA5">
        <v>4.9612900636823758</v>
      </c>
      <c r="AB5">
        <v>18.849318434243557</v>
      </c>
      <c r="AC5">
        <v>51.287305124479467</v>
      </c>
      <c r="AD5">
        <v>5.0171116867231378</v>
      </c>
      <c r="AE5">
        <v>19.426374114658728</v>
      </c>
      <c r="AF5">
        <v>51.864360804894631</v>
      </c>
      <c r="AG5">
        <v>0</v>
      </c>
      <c r="AH5">
        <v>0</v>
      </c>
    </row>
    <row r="6" spans="1:34" x14ac:dyDescent="0.3">
      <c r="A6" s="14" t="s">
        <v>34</v>
      </c>
      <c r="B6" s="14" t="s">
        <v>35</v>
      </c>
      <c r="C6">
        <v>9.0817412019999999</v>
      </c>
      <c r="D6">
        <v>0.94409418599999995</v>
      </c>
      <c r="E6">
        <v>0.856297529</v>
      </c>
      <c r="F6">
        <v>1.8227442402215039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1.8227442393058799</v>
      </c>
      <c r="O6">
        <v>1.7191931166211138</v>
      </c>
      <c r="P6">
        <v>1.8872315623150071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1.8874170033805759</v>
      </c>
      <c r="Y6">
        <v>1.787217103395073</v>
      </c>
      <c r="Z6">
        <v>3.1375237660278912</v>
      </c>
      <c r="AA6">
        <v>4.9602680053337709</v>
      </c>
      <c r="AB6">
        <v>16.553691458812356</v>
      </c>
      <c r="AC6">
        <v>45.047870317002065</v>
      </c>
      <c r="AD6">
        <v>5.0249407694084667</v>
      </c>
      <c r="AE6">
        <v>17.141032764956751</v>
      </c>
      <c r="AF6">
        <v>45.635211623146454</v>
      </c>
      <c r="AG6">
        <v>0</v>
      </c>
      <c r="AH6">
        <v>0</v>
      </c>
    </row>
    <row r="7" spans="1:34" x14ac:dyDescent="0.3">
      <c r="A7" s="14" t="s">
        <v>47</v>
      </c>
      <c r="B7" s="14" t="s">
        <v>48</v>
      </c>
      <c r="C7">
        <v>6.9047320579999996</v>
      </c>
      <c r="D7">
        <v>0.14193164799999999</v>
      </c>
      <c r="E7">
        <v>0.37485175700000001</v>
      </c>
      <c r="F7">
        <v>0</v>
      </c>
      <c r="G7">
        <v>0</v>
      </c>
      <c r="H7">
        <v>0.87252981214565128</v>
      </c>
      <c r="I7">
        <v>0</v>
      </c>
      <c r="J7">
        <v>0</v>
      </c>
      <c r="K7">
        <v>0</v>
      </c>
      <c r="L7">
        <v>0</v>
      </c>
      <c r="M7">
        <v>0</v>
      </c>
      <c r="N7">
        <v>0.92062270872432517</v>
      </c>
      <c r="O7">
        <v>0.12771241670399849</v>
      </c>
      <c r="P7">
        <v>0</v>
      </c>
      <c r="Q7">
        <v>0</v>
      </c>
      <c r="R7">
        <v>0.77340937162700008</v>
      </c>
      <c r="S7">
        <v>0</v>
      </c>
      <c r="T7">
        <v>0</v>
      </c>
      <c r="U7">
        <v>0</v>
      </c>
      <c r="V7">
        <v>0</v>
      </c>
      <c r="W7">
        <v>0</v>
      </c>
      <c r="X7">
        <v>0.80693462324516352</v>
      </c>
      <c r="Y7">
        <v>0.100360321720724</v>
      </c>
      <c r="Z7">
        <v>1.3734785591385397</v>
      </c>
      <c r="AA7">
        <v>2.2941012678628647</v>
      </c>
      <c r="AB7">
        <v>6.3566531302516438</v>
      </c>
      <c r="AC7">
        <v>15.840154568511165</v>
      </c>
      <c r="AD7">
        <v>2.1804131823837034</v>
      </c>
      <c r="AE7">
        <v>5.5716673618310324</v>
      </c>
      <c r="AF7">
        <v>15.055168800090557</v>
      </c>
      <c r="AG7">
        <v>0</v>
      </c>
      <c r="AH7">
        <v>0</v>
      </c>
    </row>
    <row r="8" spans="1:34" x14ac:dyDescent="0.3">
      <c r="A8" s="14" t="s">
        <v>38</v>
      </c>
      <c r="B8" s="14" t="s">
        <v>38</v>
      </c>
      <c r="C8">
        <v>6.2344760670000001</v>
      </c>
      <c r="D8">
        <v>0.88287081499999998</v>
      </c>
      <c r="E8">
        <v>0.922621943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2.0397244662790519</v>
      </c>
      <c r="N8">
        <v>2.0708824605839395</v>
      </c>
      <c r="O8">
        <v>1.8229157723490144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2.0795315128667213</v>
      </c>
      <c r="X8">
        <v>2.1111133254052867</v>
      </c>
      <c r="Y8">
        <v>1.8689277277304763</v>
      </c>
      <c r="Z8">
        <v>3.3805402622168845</v>
      </c>
      <c r="AA8">
        <v>5.4514227228008245</v>
      </c>
      <c r="AB8">
        <v>12.910867138080642</v>
      </c>
      <c r="AC8">
        <v>33.986764496401719</v>
      </c>
      <c r="AD8">
        <v>5.4916535876221708</v>
      </c>
      <c r="AE8">
        <v>13.161685501964044</v>
      </c>
      <c r="AF8">
        <v>34.237582860285109</v>
      </c>
      <c r="AG8">
        <v>2.0397244662790519</v>
      </c>
      <c r="AH8">
        <v>2.0795315128667213</v>
      </c>
    </row>
    <row r="9" spans="1:34" x14ac:dyDescent="0.3">
      <c r="A9" s="14" t="s">
        <v>44</v>
      </c>
      <c r="B9" s="14" t="s">
        <v>44</v>
      </c>
      <c r="C9">
        <v>3.6279763919999999</v>
      </c>
      <c r="D9">
        <v>0.82690725499999995</v>
      </c>
      <c r="E9">
        <v>0.922592415</v>
      </c>
      <c r="F9">
        <v>0</v>
      </c>
      <c r="G9">
        <v>0.52495977064546095</v>
      </c>
      <c r="H9">
        <v>0</v>
      </c>
      <c r="I9">
        <v>0</v>
      </c>
      <c r="J9">
        <v>0</v>
      </c>
      <c r="K9">
        <v>0</v>
      </c>
      <c r="L9">
        <v>0</v>
      </c>
      <c r="M9">
        <v>1.6193501668735235</v>
      </c>
      <c r="N9">
        <v>3.2906244921340928</v>
      </c>
      <c r="O9">
        <v>2.6628764205445581</v>
      </c>
      <c r="P9">
        <v>0.1566001004235324</v>
      </c>
      <c r="Q9">
        <v>0.34269784069151771</v>
      </c>
      <c r="R9">
        <v>1.3932949956394099E-2</v>
      </c>
      <c r="S9">
        <v>0</v>
      </c>
      <c r="T9">
        <v>0</v>
      </c>
      <c r="U9">
        <v>0</v>
      </c>
      <c r="V9">
        <v>0</v>
      </c>
      <c r="W9">
        <v>1.320801958232136</v>
      </c>
      <c r="X9">
        <v>3.4341758332706727</v>
      </c>
      <c r="Y9">
        <v>2.7761662964121392</v>
      </c>
      <c r="Z9">
        <v>3.3804320699138293</v>
      </c>
      <c r="AA9">
        <v>6.6710565620479221</v>
      </c>
      <c r="AB9">
        <v>11.938307972399478</v>
      </c>
      <c r="AC9">
        <v>24.202435716806544</v>
      </c>
      <c r="AD9">
        <v>6.8146079031845019</v>
      </c>
      <c r="AE9">
        <v>12.459108849082929</v>
      </c>
      <c r="AF9">
        <v>24.723236593489993</v>
      </c>
      <c r="AG9">
        <v>1.6193501668735235</v>
      </c>
      <c r="AH9">
        <v>1.320801958232136</v>
      </c>
    </row>
    <row r="10" spans="1:34" x14ac:dyDescent="0.3">
      <c r="A10" s="14" t="s">
        <v>40</v>
      </c>
      <c r="B10" s="14" t="s">
        <v>41</v>
      </c>
      <c r="C10">
        <v>3.4912837350000001</v>
      </c>
      <c r="D10">
        <v>0.80199726299999996</v>
      </c>
      <c r="E10">
        <v>0.57839041700000005</v>
      </c>
      <c r="F10">
        <v>0</v>
      </c>
      <c r="G10">
        <v>0</v>
      </c>
      <c r="H10">
        <v>0</v>
      </c>
      <c r="I10">
        <v>0</v>
      </c>
      <c r="J10">
        <v>0</v>
      </c>
      <c r="K10">
        <v>1.6028377513517584</v>
      </c>
      <c r="L10">
        <v>0</v>
      </c>
      <c r="M10">
        <v>0</v>
      </c>
      <c r="N10">
        <v>2.5228001947207361</v>
      </c>
      <c r="O10">
        <v>2.0232788512618969</v>
      </c>
      <c r="P10">
        <v>0</v>
      </c>
      <c r="Q10">
        <v>0</v>
      </c>
      <c r="R10">
        <v>0</v>
      </c>
      <c r="S10">
        <v>0</v>
      </c>
      <c r="T10">
        <v>0</v>
      </c>
      <c r="U10">
        <v>1.5862268127062071</v>
      </c>
      <c r="V10">
        <v>0</v>
      </c>
      <c r="W10">
        <v>0</v>
      </c>
      <c r="X10">
        <v>2.5077724736246974</v>
      </c>
      <c r="Y10">
        <v>2.011226660073747</v>
      </c>
      <c r="Z10">
        <v>2.1192560038092583</v>
      </c>
      <c r="AA10">
        <v>4.6420561985299944</v>
      </c>
      <c r="AB10">
        <v>8.8078112864833393</v>
      </c>
      <c r="AC10">
        <v>16.2067353028837</v>
      </c>
      <c r="AD10">
        <v>4.6270284774339556</v>
      </c>
      <c r="AE10">
        <v>8.7553452482466234</v>
      </c>
      <c r="AF10">
        <v>16.154269264646985</v>
      </c>
      <c r="AG10">
        <v>1.6028377513517584</v>
      </c>
      <c r="AH10">
        <v>1.5862268127062071</v>
      </c>
    </row>
    <row r="11" spans="1:34" x14ac:dyDescent="0.3">
      <c r="A11" s="14" t="s">
        <v>49</v>
      </c>
      <c r="B11" s="14" t="s">
        <v>50</v>
      </c>
      <c r="C11">
        <v>2.8089402570000002</v>
      </c>
      <c r="D11">
        <v>0.99681721400000001</v>
      </c>
      <c r="E11">
        <v>0.88822333099999995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2.6680621959002089</v>
      </c>
      <c r="O11">
        <v>2.6595703248959683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2.7221810111665787</v>
      </c>
      <c r="Y11">
        <v>2.713516891554772</v>
      </c>
      <c r="Z11">
        <v>3.2545017545565731</v>
      </c>
      <c r="AA11">
        <v>5.922563950456782</v>
      </c>
      <c r="AB11">
        <v>7.4944273102439176</v>
      </c>
      <c r="AC11">
        <v>16.63612830509501</v>
      </c>
      <c r="AD11">
        <v>5.9766827657231518</v>
      </c>
      <c r="AE11">
        <v>7.6464438291067696</v>
      </c>
      <c r="AF11">
        <v>16.788144823957861</v>
      </c>
      <c r="AG11">
        <v>0</v>
      </c>
      <c r="AH11">
        <v>0</v>
      </c>
    </row>
    <row r="12" spans="1:34" x14ac:dyDescent="0.3">
      <c r="A12" s="14" t="s">
        <v>56</v>
      </c>
      <c r="B12" s="14" t="s">
        <v>57</v>
      </c>
      <c r="C12">
        <v>2.0000466659999998</v>
      </c>
      <c r="D12">
        <v>0.99997666799999996</v>
      </c>
      <c r="E12">
        <v>0.85632296600000002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1.8237710289510107</v>
      </c>
      <c r="O12">
        <v>1.8237284767253632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1.9168250578465007</v>
      </c>
      <c r="Y12">
        <v>1.9167803344842516</v>
      </c>
      <c r="Z12">
        <v>3.137616968669886</v>
      </c>
      <c r="AA12">
        <v>4.9613879976208963</v>
      </c>
      <c r="AB12">
        <v>3.6476271660008583</v>
      </c>
      <c r="AC12">
        <v>9.9230075233740891</v>
      </c>
      <c r="AD12">
        <v>5.0544420265163872</v>
      </c>
      <c r="AE12">
        <v>3.8337395662511504</v>
      </c>
      <c r="AF12">
        <v>10.109119923624382</v>
      </c>
      <c r="AG12">
        <v>0</v>
      </c>
      <c r="AH12">
        <v>0</v>
      </c>
    </row>
    <row r="13" spans="1:34" x14ac:dyDescent="0.3">
      <c r="A13" s="14" t="s">
        <v>65</v>
      </c>
      <c r="B13" s="14" t="s">
        <v>66</v>
      </c>
      <c r="C13">
        <v>1.7957479670000001</v>
      </c>
      <c r="D13">
        <v>0.55687101900000002</v>
      </c>
      <c r="E13">
        <v>0.38701466099999998</v>
      </c>
      <c r="F13">
        <v>0</v>
      </c>
      <c r="G13">
        <v>1.1060938114769638</v>
      </c>
      <c r="H13">
        <v>6.5547265954885303E-2</v>
      </c>
      <c r="I13">
        <v>0</v>
      </c>
      <c r="J13">
        <v>0</v>
      </c>
      <c r="K13">
        <v>0</v>
      </c>
      <c r="L13">
        <v>0</v>
      </c>
      <c r="M13">
        <v>0</v>
      </c>
      <c r="N13">
        <v>2.3143898688517264</v>
      </c>
      <c r="O13">
        <v>1.0975334988174508</v>
      </c>
      <c r="P13">
        <v>0</v>
      </c>
      <c r="Q13">
        <v>1.038473508069004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2.2670109110048853</v>
      </c>
      <c r="Y13">
        <v>1.1420034085572781</v>
      </c>
      <c r="Z13">
        <v>1.4180441441969027</v>
      </c>
      <c r="AA13">
        <v>3.7324340130486293</v>
      </c>
      <c r="AB13">
        <v>4.1560609018358843</v>
      </c>
      <c r="AC13">
        <v>6.7025107908937276</v>
      </c>
      <c r="AD13">
        <v>3.6850550552017882</v>
      </c>
      <c r="AE13">
        <v>4.0709802346038408</v>
      </c>
      <c r="AF13">
        <v>6.6174301236616841</v>
      </c>
      <c r="AG13">
        <v>0</v>
      </c>
      <c r="AH13">
        <v>0</v>
      </c>
    </row>
    <row r="14" spans="1:34" x14ac:dyDescent="0.3">
      <c r="A14" s="14" t="s">
        <v>51</v>
      </c>
      <c r="B14" s="14" t="s">
        <v>52</v>
      </c>
      <c r="C14">
        <v>1.650938177</v>
      </c>
      <c r="D14">
        <v>0.98168669500000005</v>
      </c>
      <c r="E14">
        <v>0.62040289299999996</v>
      </c>
      <c r="F14">
        <v>1.3987992789953565</v>
      </c>
      <c r="G14">
        <v>0</v>
      </c>
      <c r="H14">
        <v>8.5084549059669997E-3</v>
      </c>
      <c r="I14">
        <v>0</v>
      </c>
      <c r="J14">
        <v>0</v>
      </c>
      <c r="K14">
        <v>0</v>
      </c>
      <c r="L14">
        <v>0</v>
      </c>
      <c r="M14">
        <v>0</v>
      </c>
      <c r="N14">
        <v>3.995652602559848</v>
      </c>
      <c r="O14">
        <v>3.8862974332570448</v>
      </c>
      <c r="P14">
        <v>1.0473606214178051</v>
      </c>
      <c r="Q14">
        <v>9.5733196662494899E-2</v>
      </c>
      <c r="R14">
        <v>0</v>
      </c>
      <c r="S14">
        <v>0</v>
      </c>
      <c r="T14">
        <v>0</v>
      </c>
      <c r="U14">
        <v>0</v>
      </c>
      <c r="V14">
        <v>0</v>
      </c>
      <c r="W14">
        <v>0.44242596588852451</v>
      </c>
      <c r="X14">
        <v>3.8886830623245041</v>
      </c>
      <c r="Y14">
        <v>3.8350203997674202</v>
      </c>
      <c r="Z14">
        <v>2.2731921503652486</v>
      </c>
      <c r="AA14">
        <v>6.2688447529250961</v>
      </c>
      <c r="AB14">
        <v>6.5965754235954615</v>
      </c>
      <c r="AC14">
        <v>10.349475128290173</v>
      </c>
      <c r="AD14">
        <v>6.1618752126897522</v>
      </c>
      <c r="AE14">
        <v>6.4199753258447938</v>
      </c>
      <c r="AF14">
        <v>10.172875030539506</v>
      </c>
      <c r="AG14">
        <v>0</v>
      </c>
      <c r="AH14">
        <v>0.44242596588852451</v>
      </c>
    </row>
    <row r="15" spans="1:34" x14ac:dyDescent="0.3">
      <c r="A15" s="14" t="s">
        <v>90</v>
      </c>
      <c r="B15" s="14" t="s">
        <v>91</v>
      </c>
      <c r="C15">
        <v>1.2029393820000001</v>
      </c>
      <c r="D15">
        <v>0.75648034600000003</v>
      </c>
      <c r="E15">
        <v>0.24274454300000001</v>
      </c>
      <c r="F15">
        <v>0</v>
      </c>
      <c r="G15">
        <v>0.55806994398472587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1.4122204082076308</v>
      </c>
      <c r="O15">
        <v>1.0252944761210612</v>
      </c>
      <c r="P15">
        <v>0</v>
      </c>
      <c r="Q15">
        <v>0.56316968251734068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1.4704610029521381</v>
      </c>
      <c r="Y15">
        <v>1.0738714847165458</v>
      </c>
      <c r="Z15">
        <v>0.88943007184139544</v>
      </c>
      <c r="AA15">
        <v>2.3016504800490263</v>
      </c>
      <c r="AB15">
        <v>1.6988155450970752</v>
      </c>
      <c r="AC15">
        <v>2.7687460060501792</v>
      </c>
      <c r="AD15">
        <v>2.3598910747935333</v>
      </c>
      <c r="AE15">
        <v>1.7688754501463453</v>
      </c>
      <c r="AF15">
        <v>2.838805911099449</v>
      </c>
      <c r="AG15">
        <v>0</v>
      </c>
      <c r="AH15">
        <v>0</v>
      </c>
    </row>
    <row r="16" spans="1:34" x14ac:dyDescent="0.3">
      <c r="A16" s="14" t="s">
        <v>82</v>
      </c>
      <c r="B16" s="14" t="s">
        <v>82</v>
      </c>
      <c r="C16">
        <v>1.191905947</v>
      </c>
      <c r="D16">
        <v>0.46597635900000001</v>
      </c>
      <c r="E16">
        <v>0.90512434100000005</v>
      </c>
      <c r="F16">
        <v>0</v>
      </c>
      <c r="G16">
        <v>0</v>
      </c>
      <c r="H16">
        <v>0</v>
      </c>
      <c r="I16">
        <v>0</v>
      </c>
      <c r="J16">
        <v>0</v>
      </c>
      <c r="K16">
        <v>2.3272589210991561</v>
      </c>
      <c r="L16">
        <v>0</v>
      </c>
      <c r="M16">
        <v>0</v>
      </c>
      <c r="N16">
        <v>2.3702606094396814</v>
      </c>
      <c r="O16">
        <v>1.0511814863312154</v>
      </c>
      <c r="P16">
        <v>0</v>
      </c>
      <c r="Q16">
        <v>0</v>
      </c>
      <c r="R16">
        <v>0</v>
      </c>
      <c r="S16">
        <v>0</v>
      </c>
      <c r="T16">
        <v>0</v>
      </c>
      <c r="U16">
        <v>2.316447848571368</v>
      </c>
      <c r="V16">
        <v>0</v>
      </c>
      <c r="W16">
        <v>0</v>
      </c>
      <c r="X16">
        <v>2.3594663428031559</v>
      </c>
      <c r="Y16">
        <v>1.0582345842310592</v>
      </c>
      <c r="Z16">
        <v>3.316428034557406</v>
      </c>
      <c r="AA16">
        <v>5.686688643997087</v>
      </c>
      <c r="AB16">
        <v>2.8251277163310005</v>
      </c>
      <c r="AC16">
        <v>6.777998013517494</v>
      </c>
      <c r="AD16">
        <v>5.6758943773605619</v>
      </c>
      <c r="AE16">
        <v>2.812261965733422</v>
      </c>
      <c r="AF16">
        <v>6.7651322629199155</v>
      </c>
      <c r="AG16">
        <v>2.3272589210991561</v>
      </c>
      <c r="AH16">
        <v>2.316447848571368</v>
      </c>
    </row>
    <row r="17" spans="1:34" x14ac:dyDescent="0.3">
      <c r="A17" s="14" t="s">
        <v>74</v>
      </c>
      <c r="B17" s="14" t="s">
        <v>74</v>
      </c>
      <c r="C17">
        <v>1.1203816150000001</v>
      </c>
      <c r="D17">
        <v>0.97878772999999997</v>
      </c>
      <c r="E17">
        <v>0.91249186000000004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1.5751177768100937</v>
      </c>
      <c r="M17">
        <v>0</v>
      </c>
      <c r="N17">
        <v>1.6040022599866708</v>
      </c>
      <c r="O17">
        <v>1.5699777309672234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1.5979644063152854</v>
      </c>
      <c r="W17">
        <v>0</v>
      </c>
      <c r="X17">
        <v>1.6269594505199287</v>
      </c>
      <c r="Y17">
        <v>1.5924479473764483</v>
      </c>
      <c r="Z17">
        <v>3.3434230510981604</v>
      </c>
      <c r="AA17">
        <v>4.9474253110848316</v>
      </c>
      <c r="AB17">
        <v>1.7970946425075163</v>
      </c>
      <c r="AC17">
        <v>5.543004360125102</v>
      </c>
      <c r="AD17">
        <v>4.9703825016180891</v>
      </c>
      <c r="AE17">
        <v>1.8228154567130306</v>
      </c>
      <c r="AF17">
        <v>5.5687251743306154</v>
      </c>
      <c r="AG17">
        <v>1.5751177768100937</v>
      </c>
      <c r="AH17">
        <v>1.5979644063152854</v>
      </c>
    </row>
    <row r="18" spans="1:34" x14ac:dyDescent="0.3">
      <c r="A18" s="14" t="s">
        <v>67</v>
      </c>
      <c r="B18" s="14" t="s">
        <v>67</v>
      </c>
      <c r="C18">
        <v>1.0908528070000001</v>
      </c>
      <c r="D18">
        <v>0.92846916000000002</v>
      </c>
      <c r="E18">
        <v>0.62040289299999996</v>
      </c>
      <c r="F18">
        <v>0.53933410168479401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0.90714274642720039</v>
      </c>
      <c r="N18">
        <v>2.3764656540433791</v>
      </c>
      <c r="O18">
        <v>2.1781583807117251</v>
      </c>
      <c r="P18">
        <v>0.554948011517162</v>
      </c>
      <c r="Q18">
        <v>0</v>
      </c>
      <c r="R18">
        <v>8.3501375777510004E-3</v>
      </c>
      <c r="S18">
        <v>0</v>
      </c>
      <c r="T18">
        <v>0</v>
      </c>
      <c r="U18">
        <v>0</v>
      </c>
      <c r="V18">
        <v>0</v>
      </c>
      <c r="W18">
        <v>0.92516332155717718</v>
      </c>
      <c r="X18">
        <v>2.4212604403544682</v>
      </c>
      <c r="Y18">
        <v>2.2186031857520865</v>
      </c>
      <c r="Z18">
        <v>2.2731921503652486</v>
      </c>
      <c r="AA18">
        <v>4.6496578044086281</v>
      </c>
      <c r="AB18">
        <v>2.5923742294523113</v>
      </c>
      <c r="AC18">
        <v>5.0720922675286095</v>
      </c>
      <c r="AD18">
        <v>4.6944525907197168</v>
      </c>
      <c r="AE18">
        <v>2.6412387478387278</v>
      </c>
      <c r="AF18">
        <v>5.120956785915026</v>
      </c>
      <c r="AG18">
        <v>0.90714274642720039</v>
      </c>
      <c r="AH18">
        <v>0.92516332155717718</v>
      </c>
    </row>
    <row r="19" spans="1:34" x14ac:dyDescent="0.3">
      <c r="A19" s="14" t="s">
        <v>100</v>
      </c>
      <c r="B19" s="14" t="s">
        <v>101</v>
      </c>
      <c r="C19">
        <v>0.931200527</v>
      </c>
      <c r="D19">
        <v>0.97723312399999995</v>
      </c>
      <c r="E19">
        <v>0.40001998300000002</v>
      </c>
      <c r="F19">
        <v>0</v>
      </c>
      <c r="G19">
        <v>0</v>
      </c>
      <c r="H19">
        <v>0.94299610442287818</v>
      </c>
      <c r="I19">
        <v>0</v>
      </c>
      <c r="J19">
        <v>0</v>
      </c>
      <c r="K19">
        <v>0</v>
      </c>
      <c r="L19">
        <v>0</v>
      </c>
      <c r="M19">
        <v>0</v>
      </c>
      <c r="N19">
        <v>1.1685226086442286</v>
      </c>
      <c r="O19">
        <v>1.1337710599253783</v>
      </c>
      <c r="P19">
        <v>0</v>
      </c>
      <c r="Q19">
        <v>0</v>
      </c>
      <c r="R19">
        <v>0.74261969972430897</v>
      </c>
      <c r="S19">
        <v>0</v>
      </c>
      <c r="T19">
        <v>0</v>
      </c>
      <c r="U19">
        <v>0</v>
      </c>
      <c r="V19">
        <v>0</v>
      </c>
      <c r="W19">
        <v>0</v>
      </c>
      <c r="X19">
        <v>0.97168134640613002</v>
      </c>
      <c r="Y19">
        <v>0.94140224108412696</v>
      </c>
      <c r="Z19">
        <v>1.4656963976227626</v>
      </c>
      <c r="AA19">
        <v>2.6342190062669912</v>
      </c>
      <c r="AB19">
        <v>1.0881288689809205</v>
      </c>
      <c r="AC19">
        <v>2.4529861268692383</v>
      </c>
      <c r="AD19">
        <v>2.4373777440288924</v>
      </c>
      <c r="AE19">
        <v>0.90483018184945785</v>
      </c>
      <c r="AF19">
        <v>2.2696874397377758</v>
      </c>
      <c r="AG19">
        <v>0</v>
      </c>
      <c r="AH19">
        <v>0</v>
      </c>
    </row>
    <row r="20" spans="1:34" x14ac:dyDescent="0.3">
      <c r="A20" s="14" t="s">
        <v>68</v>
      </c>
      <c r="B20" s="14" t="s">
        <v>68</v>
      </c>
      <c r="C20">
        <v>0.88856497499999998</v>
      </c>
      <c r="D20">
        <v>0.168811515</v>
      </c>
      <c r="E20">
        <v>0.40003330599999998</v>
      </c>
      <c r="F20">
        <v>0</v>
      </c>
      <c r="G20">
        <v>0</v>
      </c>
      <c r="H20">
        <v>0.77958210986643084</v>
      </c>
      <c r="I20">
        <v>0</v>
      </c>
      <c r="J20">
        <v>0</v>
      </c>
      <c r="K20">
        <v>0</v>
      </c>
      <c r="L20">
        <v>0</v>
      </c>
      <c r="M20">
        <v>0</v>
      </c>
      <c r="N20">
        <v>2.6002044602800143</v>
      </c>
      <c r="O20">
        <v>0.43894445424962653</v>
      </c>
      <c r="P20">
        <v>0</v>
      </c>
      <c r="Q20">
        <v>0</v>
      </c>
      <c r="R20">
        <v>0.71727920882427143</v>
      </c>
      <c r="S20">
        <v>0</v>
      </c>
      <c r="T20">
        <v>0</v>
      </c>
      <c r="U20">
        <v>0</v>
      </c>
      <c r="V20">
        <v>0</v>
      </c>
      <c r="W20">
        <v>0</v>
      </c>
      <c r="X20">
        <v>2.5868050198275849</v>
      </c>
      <c r="Y20">
        <v>0.43668247440669961</v>
      </c>
      <c r="Z20">
        <v>1.4657452138667888</v>
      </c>
      <c r="AA20">
        <v>4.0659496741468031</v>
      </c>
      <c r="AB20">
        <v>2.3104506112435992</v>
      </c>
      <c r="AC20">
        <v>3.6128604705595122</v>
      </c>
      <c r="AD20">
        <v>4.0525502336943742</v>
      </c>
      <c r="AE20">
        <v>2.2985443377729724</v>
      </c>
      <c r="AF20">
        <v>3.6009541970888859</v>
      </c>
      <c r="AG20">
        <v>0</v>
      </c>
      <c r="AH20">
        <v>0</v>
      </c>
    </row>
    <row r="21" spans="1:34" x14ac:dyDescent="0.3">
      <c r="A21" s="14" t="s">
        <v>75</v>
      </c>
      <c r="B21" s="14" t="s">
        <v>76</v>
      </c>
      <c r="C21">
        <v>0.88675937800000004</v>
      </c>
      <c r="D21">
        <v>0.99498026100000003</v>
      </c>
      <c r="E21">
        <v>0.54533484700000001</v>
      </c>
      <c r="F21">
        <v>0</v>
      </c>
      <c r="G21">
        <v>1.4494602026406136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2.4847650451141949</v>
      </c>
      <c r="O21">
        <v>2.4722921731113985</v>
      </c>
      <c r="P21">
        <v>0</v>
      </c>
      <c r="Q21">
        <v>1.5022957387047251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2.5852852525943359</v>
      </c>
      <c r="Y21">
        <v>2.5723077953857638</v>
      </c>
      <c r="Z21">
        <v>1.9981384798620432</v>
      </c>
      <c r="AA21">
        <v>4.4829035249762379</v>
      </c>
      <c r="AB21">
        <v>2.2033887058816055</v>
      </c>
      <c r="AC21">
        <v>3.9752567414419362</v>
      </c>
      <c r="AD21">
        <v>4.5834237324563789</v>
      </c>
      <c r="AE21">
        <v>2.2925259425431261</v>
      </c>
      <c r="AF21">
        <v>4.0643939781034568</v>
      </c>
      <c r="AG21">
        <v>0</v>
      </c>
      <c r="AH21">
        <v>0</v>
      </c>
    </row>
    <row r="22" spans="1:34" x14ac:dyDescent="0.3">
      <c r="A22" s="14" t="s">
        <v>88</v>
      </c>
      <c r="B22" s="14" t="s">
        <v>89</v>
      </c>
      <c r="C22">
        <v>0.88227254300000002</v>
      </c>
      <c r="D22">
        <v>0.90674928799999999</v>
      </c>
      <c r="E22">
        <v>0.38435200000000003</v>
      </c>
      <c r="F22">
        <v>0</v>
      </c>
      <c r="G22">
        <v>0.76703565899696691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1.739933572172816</v>
      </c>
      <c r="O22">
        <v>1.5686877051646273</v>
      </c>
      <c r="P22">
        <v>0</v>
      </c>
      <c r="Q22">
        <v>0.80231834516812506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1.807199295588412</v>
      </c>
      <c r="Y22">
        <v>1.6252917963722506</v>
      </c>
      <c r="Z22">
        <v>1.4082880000000002</v>
      </c>
      <c r="AA22">
        <v>3.1482215721728162</v>
      </c>
      <c r="AB22">
        <v>1.5350956173719845</v>
      </c>
      <c r="AC22">
        <v>2.7775894524083684</v>
      </c>
      <c r="AD22">
        <v>3.215487295588412</v>
      </c>
      <c r="AE22">
        <v>1.594442318226597</v>
      </c>
      <c r="AF22">
        <v>2.8369361532629811</v>
      </c>
      <c r="AG22">
        <v>0</v>
      </c>
      <c r="AH22">
        <v>0</v>
      </c>
    </row>
    <row r="23" spans="1:34" x14ac:dyDescent="0.3">
      <c r="A23" s="14" t="s">
        <v>60</v>
      </c>
      <c r="B23" s="14" t="s">
        <v>61</v>
      </c>
      <c r="C23">
        <v>0.88188415799999997</v>
      </c>
      <c r="D23">
        <v>0.54958147999999996</v>
      </c>
      <c r="E23">
        <v>0.77382154000000003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1.7982058689745963</v>
      </c>
      <c r="N23">
        <v>4.0418070015045551</v>
      </c>
      <c r="O23">
        <v>2.0547061408094005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1.8139449147683748</v>
      </c>
      <c r="X23">
        <v>4.0341591699903292</v>
      </c>
      <c r="Y23">
        <v>2.0675814469175813</v>
      </c>
      <c r="Z23">
        <v>2.8353269631054867</v>
      </c>
      <c r="AA23">
        <v>6.8771339646100422</v>
      </c>
      <c r="AB23">
        <v>3.5644055643203494</v>
      </c>
      <c r="AC23">
        <v>6.0648354958333286</v>
      </c>
      <c r="AD23">
        <v>6.8694861330958155</v>
      </c>
      <c r="AE23">
        <v>3.5576610628649004</v>
      </c>
      <c r="AF23">
        <v>6.0580909943778787</v>
      </c>
      <c r="AG23">
        <v>1.7982058689745963</v>
      </c>
      <c r="AH23">
        <v>1.8139449147683748</v>
      </c>
    </row>
    <row r="24" spans="1:34" x14ac:dyDescent="0.3">
      <c r="A24" s="14" t="s">
        <v>83</v>
      </c>
      <c r="B24" s="14" t="s">
        <v>84</v>
      </c>
      <c r="C24">
        <v>0.84802669900000005</v>
      </c>
      <c r="D24">
        <v>0.94336652499999996</v>
      </c>
      <c r="E24">
        <v>0.47355762899999998</v>
      </c>
      <c r="F24">
        <v>1.1345318815647361</v>
      </c>
      <c r="G24">
        <v>0</v>
      </c>
      <c r="H24">
        <v>1.5324447946015301E-2</v>
      </c>
      <c r="I24">
        <v>0</v>
      </c>
      <c r="J24">
        <v>0</v>
      </c>
      <c r="K24">
        <v>0</v>
      </c>
      <c r="L24">
        <v>0</v>
      </c>
      <c r="M24">
        <v>0</v>
      </c>
      <c r="N24">
        <v>3.6807731341739518</v>
      </c>
      <c r="O24">
        <v>3.3946330181231947</v>
      </c>
      <c r="P24">
        <v>0.85972843340074068</v>
      </c>
      <c r="Q24">
        <v>4.33255952904203E-2</v>
      </c>
      <c r="R24">
        <v>1.53548972839565E-2</v>
      </c>
      <c r="S24">
        <v>0</v>
      </c>
      <c r="T24">
        <v>0</v>
      </c>
      <c r="U24">
        <v>0</v>
      </c>
      <c r="V24">
        <v>0</v>
      </c>
      <c r="W24">
        <v>0.3388878718037433</v>
      </c>
      <c r="X24">
        <v>3.626399556729945</v>
      </c>
      <c r="Y24">
        <v>3.3615332324496312</v>
      </c>
      <c r="Z24">
        <v>1.7351425938440597</v>
      </c>
      <c r="AA24">
        <v>5.4159157280180112</v>
      </c>
      <c r="AB24">
        <v>3.1213938907414205</v>
      </c>
      <c r="AC24">
        <v>4.5928411368932958</v>
      </c>
      <c r="AD24">
        <v>5.3615421505740049</v>
      </c>
      <c r="AE24">
        <v>3.0752836453487586</v>
      </c>
      <c r="AF24">
        <v>4.5467308915006344</v>
      </c>
      <c r="AG24">
        <v>0</v>
      </c>
      <c r="AH24">
        <v>0.3388878718037433</v>
      </c>
    </row>
    <row r="25" spans="1:34" x14ac:dyDescent="0.3">
      <c r="A25" s="14" t="s">
        <v>58</v>
      </c>
      <c r="B25" s="14" t="s">
        <v>59</v>
      </c>
      <c r="C25">
        <v>0.84621718300000004</v>
      </c>
      <c r="D25">
        <v>0.71535186100000003</v>
      </c>
      <c r="E25">
        <v>0.85265025999999999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4.6525060440900159</v>
      </c>
      <c r="O25">
        <v>3.3281788569535409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4.6563133766000337</v>
      </c>
      <c r="Y25">
        <v>3.3309024393500279</v>
      </c>
      <c r="Z25">
        <v>3.1241599610640245</v>
      </c>
      <c r="AA25">
        <v>7.7766660051540404</v>
      </c>
      <c r="AB25">
        <v>3.9370305585203274</v>
      </c>
      <c r="AC25">
        <v>6.5807484000133156</v>
      </c>
      <c r="AD25">
        <v>7.7804733376640582</v>
      </c>
      <c r="AE25">
        <v>3.9402523887116989</v>
      </c>
      <c r="AF25">
        <v>6.5839702302046872</v>
      </c>
      <c r="AG25">
        <v>0</v>
      </c>
      <c r="AH25">
        <v>0</v>
      </c>
    </row>
    <row r="26" spans="1:34" x14ac:dyDescent="0.3">
      <c r="A26" s="14" t="s">
        <v>105</v>
      </c>
      <c r="B26" s="14" t="s">
        <v>106</v>
      </c>
      <c r="C26">
        <v>0.82143353699999999</v>
      </c>
      <c r="D26">
        <v>0.973907156</v>
      </c>
      <c r="E26">
        <v>0.90512434100000005</v>
      </c>
      <c r="F26">
        <v>0</v>
      </c>
      <c r="G26">
        <v>0</v>
      </c>
      <c r="H26">
        <v>0</v>
      </c>
      <c r="I26">
        <v>1.4880413743609309</v>
      </c>
      <c r="J26">
        <v>0</v>
      </c>
      <c r="K26">
        <v>0</v>
      </c>
      <c r="L26">
        <v>0</v>
      </c>
      <c r="M26">
        <v>0</v>
      </c>
      <c r="N26">
        <v>1.5177448452169764</v>
      </c>
      <c r="O26">
        <v>1.4761644857132832</v>
      </c>
      <c r="P26">
        <v>0</v>
      </c>
      <c r="Q26">
        <v>0</v>
      </c>
      <c r="R26">
        <v>0</v>
      </c>
      <c r="S26">
        <v>1.4998748802747066</v>
      </c>
      <c r="T26">
        <v>0</v>
      </c>
      <c r="U26">
        <v>0</v>
      </c>
      <c r="V26">
        <v>0</v>
      </c>
      <c r="W26">
        <v>0</v>
      </c>
      <c r="X26">
        <v>1.5296835500090231</v>
      </c>
      <c r="Y26">
        <v>1.4890714458167511</v>
      </c>
      <c r="Z26">
        <v>3.316428034557406</v>
      </c>
      <c r="AA26">
        <v>4.8341728797743819</v>
      </c>
      <c r="AB26">
        <v>1.2467265164700985</v>
      </c>
      <c r="AC26">
        <v>3.9709517271025461</v>
      </c>
      <c r="AD26">
        <v>4.8461115845664295</v>
      </c>
      <c r="AE26">
        <v>1.2565333689746283</v>
      </c>
      <c r="AF26">
        <v>3.9807585796070768</v>
      </c>
      <c r="AG26">
        <v>1.4880413743609309</v>
      </c>
      <c r="AH26">
        <v>1.4998748802747066</v>
      </c>
    </row>
    <row r="27" spans="1:34" x14ac:dyDescent="0.3">
      <c r="A27" s="14" t="s">
        <v>79</v>
      </c>
      <c r="B27" s="14" t="s">
        <v>79</v>
      </c>
      <c r="C27">
        <v>0.77849552700000002</v>
      </c>
      <c r="D27">
        <v>0.93458211999999996</v>
      </c>
      <c r="E27">
        <v>0.89940094800000003</v>
      </c>
      <c r="F27">
        <v>0.6704358100725063</v>
      </c>
      <c r="G27">
        <v>0</v>
      </c>
      <c r="H27">
        <v>5.6968128416820998E-3</v>
      </c>
      <c r="I27">
        <v>0</v>
      </c>
      <c r="J27">
        <v>0</v>
      </c>
      <c r="K27">
        <v>0</v>
      </c>
      <c r="L27">
        <v>0</v>
      </c>
      <c r="M27">
        <v>1.3125434928424282</v>
      </c>
      <c r="N27">
        <v>2.3120532378796192</v>
      </c>
      <c r="O27">
        <v>2.138970283954067</v>
      </c>
      <c r="P27">
        <v>0.69615598934897049</v>
      </c>
      <c r="Q27">
        <v>0</v>
      </c>
      <c r="R27">
        <v>1.4758325816242999E-2</v>
      </c>
      <c r="S27">
        <v>0</v>
      </c>
      <c r="T27">
        <v>0</v>
      </c>
      <c r="U27">
        <v>0</v>
      </c>
      <c r="V27">
        <v>0</v>
      </c>
      <c r="W27">
        <v>1.3391295538122949</v>
      </c>
      <c r="X27">
        <v>2.373499806389364</v>
      </c>
      <c r="Y27">
        <v>2.1949361958265854</v>
      </c>
      <c r="Z27">
        <v>3.2954571909526269</v>
      </c>
      <c r="AA27">
        <v>5.6075104288322457</v>
      </c>
      <c r="AB27">
        <v>1.7999231038751506</v>
      </c>
      <c r="AC27">
        <v>4.3654217864517548</v>
      </c>
      <c r="AD27">
        <v>5.6689569973419909</v>
      </c>
      <c r="AE27">
        <v>1.847758982609486</v>
      </c>
      <c r="AF27">
        <v>4.4132576651860909</v>
      </c>
      <c r="AG27">
        <v>1.3125434928424282</v>
      </c>
      <c r="AH27">
        <v>1.3391295538122949</v>
      </c>
    </row>
    <row r="28" spans="1:34" x14ac:dyDescent="0.3">
      <c r="A28" s="14" t="s">
        <v>85</v>
      </c>
      <c r="B28" s="14" t="s">
        <v>85</v>
      </c>
      <c r="C28">
        <v>0.70506910199999995</v>
      </c>
      <c r="D28">
        <v>0.85098041899999999</v>
      </c>
      <c r="E28">
        <v>0.67909913300000002</v>
      </c>
      <c r="F28">
        <v>2.025610689810081</v>
      </c>
      <c r="G28">
        <v>0</v>
      </c>
      <c r="H28">
        <v>0.33981588555559411</v>
      </c>
      <c r="I28">
        <v>0</v>
      </c>
      <c r="J28">
        <v>0</v>
      </c>
      <c r="K28">
        <v>0</v>
      </c>
      <c r="L28">
        <v>0</v>
      </c>
      <c r="M28">
        <v>0</v>
      </c>
      <c r="N28">
        <v>4.2530783336652549</v>
      </c>
      <c r="O28">
        <v>3.6192863824222798</v>
      </c>
      <c r="P28">
        <v>2.3811099896521606</v>
      </c>
      <c r="Q28">
        <v>0</v>
      </c>
      <c r="R28">
        <v>0.72735490324023389</v>
      </c>
      <c r="S28">
        <v>0</v>
      </c>
      <c r="T28">
        <v>0</v>
      </c>
      <c r="U28">
        <v>0</v>
      </c>
      <c r="V28">
        <v>0</v>
      </c>
      <c r="W28">
        <v>0</v>
      </c>
      <c r="X28">
        <v>4.5602019829066371</v>
      </c>
      <c r="Y28">
        <v>3.880642594138521</v>
      </c>
      <c r="Z28">
        <v>2.4882585749893433</v>
      </c>
      <c r="AA28">
        <v>6.7413369086545982</v>
      </c>
      <c r="AB28">
        <v>2.9987141214530175</v>
      </c>
      <c r="AC28">
        <v>4.7531083604645534</v>
      </c>
      <c r="AD28">
        <v>7.0484605578959805</v>
      </c>
      <c r="AE28">
        <v>3.2152575170266018</v>
      </c>
      <c r="AF28">
        <v>4.9696517560381377</v>
      </c>
      <c r="AG28">
        <v>0</v>
      </c>
      <c r="AH28">
        <v>0</v>
      </c>
    </row>
    <row r="29" spans="1:34" x14ac:dyDescent="0.3">
      <c r="A29" s="14" t="s">
        <v>71</v>
      </c>
      <c r="B29" s="14" t="s">
        <v>71</v>
      </c>
      <c r="C29">
        <v>0.683315016</v>
      </c>
      <c r="D29">
        <v>0.35122892700000002</v>
      </c>
      <c r="E29">
        <v>0.856297529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2.1042734450647611</v>
      </c>
      <c r="N29">
        <v>3.3468109549469149</v>
      </c>
      <c r="O29">
        <v>1.1754968205778504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2.0204269211831121</v>
      </c>
      <c r="X29">
        <v>3.2313182200490407</v>
      </c>
      <c r="Y29">
        <v>1.1349324312233746</v>
      </c>
      <c r="Z29">
        <v>3.1375237660278912</v>
      </c>
      <c r="AA29">
        <v>6.4843347209748057</v>
      </c>
      <c r="AB29">
        <v>2.2869261812285266</v>
      </c>
      <c r="AC29">
        <v>4.4308432836122549</v>
      </c>
      <c r="AD29">
        <v>6.3688419860769319</v>
      </c>
      <c r="AE29">
        <v>2.2080082612339016</v>
      </c>
      <c r="AF29">
        <v>4.3519253636176307</v>
      </c>
      <c r="AG29">
        <v>2.1042734450647611</v>
      </c>
      <c r="AH29">
        <v>2.0204269211831121</v>
      </c>
    </row>
    <row r="30" spans="1:34" x14ac:dyDescent="0.3">
      <c r="A30" s="14" t="s">
        <v>54</v>
      </c>
      <c r="B30" s="14" t="s">
        <v>55</v>
      </c>
      <c r="C30">
        <v>0.667655569</v>
      </c>
      <c r="D30">
        <v>0.85514301199999998</v>
      </c>
      <c r="E30">
        <v>0.493129875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1.4184179167328674</v>
      </c>
      <c r="N30">
        <v>9.3705513735792021</v>
      </c>
      <c r="O30">
        <v>8.0131615257032554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1.361899876262209</v>
      </c>
      <c r="X30">
        <v>9.2674947960691441</v>
      </c>
      <c r="Y30">
        <v>7.9250334136048934</v>
      </c>
      <c r="Z30">
        <v>1.8068564373386895</v>
      </c>
      <c r="AA30">
        <v>11.177407810917892</v>
      </c>
      <c r="AB30">
        <v>6.2563008091707539</v>
      </c>
      <c r="AC30">
        <v>7.4626585719434297</v>
      </c>
      <c r="AD30">
        <v>11.074351233407834</v>
      </c>
      <c r="AE30">
        <v>6.1874945112740836</v>
      </c>
      <c r="AF30">
        <v>7.3938522740467594</v>
      </c>
      <c r="AG30">
        <v>1.4184179167328674</v>
      </c>
      <c r="AH30">
        <v>1.361899876262209</v>
      </c>
    </row>
    <row r="31" spans="1:34" x14ac:dyDescent="0.3">
      <c r="A31" s="14" t="s">
        <v>86</v>
      </c>
      <c r="B31" s="14" t="s">
        <v>87</v>
      </c>
      <c r="C31">
        <v>0.66734765100000004</v>
      </c>
      <c r="D31">
        <v>0.80917344800000002</v>
      </c>
      <c r="E31">
        <v>0.59955074900000005</v>
      </c>
      <c r="F31">
        <v>1.4236029187682464</v>
      </c>
      <c r="G31">
        <v>0</v>
      </c>
      <c r="H31">
        <v>7.3966685964979295E-2</v>
      </c>
      <c r="I31">
        <v>0</v>
      </c>
      <c r="J31">
        <v>0</v>
      </c>
      <c r="K31">
        <v>0</v>
      </c>
      <c r="L31">
        <v>0</v>
      </c>
      <c r="M31">
        <v>0</v>
      </c>
      <c r="N31">
        <v>2.3609799766492601</v>
      </c>
      <c r="O31">
        <v>1.803442562343444</v>
      </c>
      <c r="P31">
        <v>1.5337033955320207</v>
      </c>
      <c r="Q31">
        <v>0</v>
      </c>
      <c r="R31">
        <v>0.14204221541102249</v>
      </c>
      <c r="S31">
        <v>0</v>
      </c>
      <c r="T31">
        <v>0</v>
      </c>
      <c r="U31">
        <v>0</v>
      </c>
      <c r="V31">
        <v>0</v>
      </c>
      <c r="W31">
        <v>0</v>
      </c>
      <c r="X31">
        <v>2.4626811912145801</v>
      </c>
      <c r="Y31">
        <v>1.8462845901510121</v>
      </c>
      <c r="Z31">
        <v>2.1967886864325203</v>
      </c>
      <c r="AA31">
        <v>4.5577686630817809</v>
      </c>
      <c r="AB31">
        <v>1.5755944414749186</v>
      </c>
      <c r="AC31">
        <v>3.0416162111090372</v>
      </c>
      <c r="AD31">
        <v>4.6594698776471004</v>
      </c>
      <c r="AE31">
        <v>1.6434645081189319</v>
      </c>
      <c r="AF31">
        <v>3.1094862777530499</v>
      </c>
      <c r="AG31">
        <v>0</v>
      </c>
      <c r="AH31">
        <v>0</v>
      </c>
    </row>
    <row r="32" spans="1:34" x14ac:dyDescent="0.3">
      <c r="A32" s="14" t="s">
        <v>94</v>
      </c>
      <c r="B32" s="14" t="s">
        <v>94</v>
      </c>
      <c r="C32">
        <v>0.64249725999999996</v>
      </c>
      <c r="D32">
        <v>0.93385612299999998</v>
      </c>
      <c r="E32">
        <v>0.90512434100000005</v>
      </c>
      <c r="F32">
        <v>0</v>
      </c>
      <c r="G32">
        <v>0.47407234724115038</v>
      </c>
      <c r="H32">
        <v>0</v>
      </c>
      <c r="I32">
        <v>0</v>
      </c>
      <c r="J32">
        <v>0</v>
      </c>
      <c r="K32">
        <v>0</v>
      </c>
      <c r="L32">
        <v>0</v>
      </c>
      <c r="M32">
        <v>1.5328938716295522</v>
      </c>
      <c r="N32">
        <v>2.6707240109587675</v>
      </c>
      <c r="O32">
        <v>2.4956500228657124</v>
      </c>
      <c r="P32">
        <v>0</v>
      </c>
      <c r="Q32">
        <v>0.4839127030145402</v>
      </c>
      <c r="R32">
        <v>0</v>
      </c>
      <c r="S32">
        <v>0</v>
      </c>
      <c r="T32">
        <v>0</v>
      </c>
      <c r="U32">
        <v>0</v>
      </c>
      <c r="V32">
        <v>0</v>
      </c>
      <c r="W32">
        <v>1.5703090267072028</v>
      </c>
      <c r="X32">
        <v>2.3873646716043595</v>
      </c>
      <c r="Y32">
        <v>2.2307271297497486</v>
      </c>
      <c r="Z32">
        <v>3.316428034557406</v>
      </c>
      <c r="AA32">
        <v>5.987152045516174</v>
      </c>
      <c r="AB32">
        <v>1.7159328592572181</v>
      </c>
      <c r="AC32">
        <v>3.8467287844475369</v>
      </c>
      <c r="AD32">
        <v>5.7037927061617655</v>
      </c>
      <c r="AE32">
        <v>1.5338752601266006</v>
      </c>
      <c r="AF32">
        <v>3.6646711853169194</v>
      </c>
      <c r="AG32">
        <v>1.5328938716295522</v>
      </c>
      <c r="AH32">
        <v>1.5703090267072028</v>
      </c>
    </row>
    <row r="33" spans="1:34" x14ac:dyDescent="0.3">
      <c r="A33" s="14" t="s">
        <v>64</v>
      </c>
      <c r="B33" s="14" t="s">
        <v>64</v>
      </c>
      <c r="C33">
        <v>0.60486187300000005</v>
      </c>
      <c r="D33">
        <v>0.66130800700000003</v>
      </c>
      <c r="E33">
        <v>0.65598545699999999</v>
      </c>
      <c r="F33">
        <v>1.5141786364768763</v>
      </c>
      <c r="G33">
        <v>0</v>
      </c>
      <c r="H33">
        <v>8.4834186786094001E-2</v>
      </c>
      <c r="I33">
        <v>0</v>
      </c>
      <c r="J33">
        <v>0</v>
      </c>
      <c r="K33">
        <v>0</v>
      </c>
      <c r="L33">
        <v>0</v>
      </c>
      <c r="M33">
        <v>0</v>
      </c>
      <c r="N33">
        <v>5.047447528572425</v>
      </c>
      <c r="O33">
        <v>3.2582523159068781</v>
      </c>
      <c r="P33">
        <v>1.6122144512275498</v>
      </c>
      <c r="Q33">
        <v>0</v>
      </c>
      <c r="R33">
        <v>0.31633236193296921</v>
      </c>
      <c r="S33">
        <v>0</v>
      </c>
      <c r="T33">
        <v>0</v>
      </c>
      <c r="U33">
        <v>0</v>
      </c>
      <c r="V33">
        <v>0</v>
      </c>
      <c r="W33">
        <v>0</v>
      </c>
      <c r="X33">
        <v>4.7059810859545754</v>
      </c>
      <c r="Y33">
        <v>2.958358711865372</v>
      </c>
      <c r="Z33">
        <v>2.4035687267598869</v>
      </c>
      <c r="AA33">
        <v>7.4510162553323118</v>
      </c>
      <c r="AB33">
        <v>3.0530085660015382</v>
      </c>
      <c r="AC33">
        <v>4.506835647953749</v>
      </c>
      <c r="AD33">
        <v>7.1095498127144623</v>
      </c>
      <c r="AE33">
        <v>2.8464685339530589</v>
      </c>
      <c r="AF33">
        <v>4.3002956159052692</v>
      </c>
      <c r="AG33">
        <v>0</v>
      </c>
      <c r="AH33">
        <v>0</v>
      </c>
    </row>
    <row r="34" spans="1:34" x14ac:dyDescent="0.3">
      <c r="A34" s="14" t="s">
        <v>77</v>
      </c>
      <c r="B34" s="14" t="s">
        <v>78</v>
      </c>
      <c r="C34">
        <v>0.593659673</v>
      </c>
      <c r="D34">
        <v>0.84223339200000003</v>
      </c>
      <c r="E34">
        <v>0.63138251300000003</v>
      </c>
      <c r="F34">
        <v>0</v>
      </c>
      <c r="G34">
        <v>1.6906664497876711</v>
      </c>
      <c r="H34">
        <v>0.1138749484018097</v>
      </c>
      <c r="I34">
        <v>0</v>
      </c>
      <c r="J34">
        <v>0</v>
      </c>
      <c r="K34">
        <v>0</v>
      </c>
      <c r="L34">
        <v>0</v>
      </c>
      <c r="M34">
        <v>0</v>
      </c>
      <c r="N34">
        <v>2.8356192500360549</v>
      </c>
      <c r="O34">
        <v>2.319138752300471</v>
      </c>
      <c r="P34">
        <v>0</v>
      </c>
      <c r="Q34">
        <v>1.7354208899937484</v>
      </c>
      <c r="R34">
        <v>0.13105913372481939</v>
      </c>
      <c r="S34">
        <v>0</v>
      </c>
      <c r="T34">
        <v>0</v>
      </c>
      <c r="U34">
        <v>0</v>
      </c>
      <c r="V34">
        <v>0</v>
      </c>
      <c r="W34">
        <v>0</v>
      </c>
      <c r="X34">
        <v>2.8972221100610112</v>
      </c>
      <c r="Y34">
        <v>2.3809520144326046</v>
      </c>
      <c r="Z34">
        <v>2.3134221142799936</v>
      </c>
      <c r="AA34">
        <v>5.149041364316048</v>
      </c>
      <c r="AB34">
        <v>1.6833927967289095</v>
      </c>
      <c r="AC34">
        <v>3.0567782126033389</v>
      </c>
      <c r="AD34">
        <v>5.2106442243410047</v>
      </c>
      <c r="AE34">
        <v>1.7199639304671899</v>
      </c>
      <c r="AF34">
        <v>3.0933493463416193</v>
      </c>
      <c r="AG34">
        <v>0</v>
      </c>
      <c r="AH34">
        <v>0</v>
      </c>
    </row>
    <row r="35" spans="1:34" x14ac:dyDescent="0.3">
      <c r="A35" s="14" t="s">
        <v>80</v>
      </c>
      <c r="B35" s="14" t="s">
        <v>81</v>
      </c>
      <c r="C35">
        <v>0.507331541</v>
      </c>
      <c r="D35">
        <v>0.78843905400000003</v>
      </c>
      <c r="E35">
        <v>0.64819212100000001</v>
      </c>
      <c r="F35">
        <v>1.266791658703962</v>
      </c>
      <c r="G35">
        <v>0</v>
      </c>
      <c r="H35">
        <v>0.13736522315767599</v>
      </c>
      <c r="I35">
        <v>0</v>
      </c>
      <c r="J35">
        <v>0</v>
      </c>
      <c r="K35">
        <v>0</v>
      </c>
      <c r="L35">
        <v>0</v>
      </c>
      <c r="M35">
        <v>0</v>
      </c>
      <c r="N35">
        <v>3.8441285166322872</v>
      </c>
      <c r="O35">
        <v>3.0308610511079834</v>
      </c>
      <c r="P35">
        <v>1.3655939761416696</v>
      </c>
      <c r="Q35">
        <v>0</v>
      </c>
      <c r="R35">
        <v>0.35586226465943033</v>
      </c>
      <c r="S35">
        <v>0</v>
      </c>
      <c r="T35">
        <v>0</v>
      </c>
      <c r="U35">
        <v>0</v>
      </c>
      <c r="V35">
        <v>0</v>
      </c>
      <c r="W35">
        <v>0</v>
      </c>
      <c r="X35">
        <v>4.0076892623466893</v>
      </c>
      <c r="Y35">
        <v>3.1598187307305818</v>
      </c>
      <c r="Z35">
        <v>2.375013492056365</v>
      </c>
      <c r="AA35">
        <v>6.2191420086886522</v>
      </c>
      <c r="AB35">
        <v>1.9502476441451024</v>
      </c>
      <c r="AC35">
        <v>3.1551668989658492</v>
      </c>
      <c r="AD35">
        <v>6.3827027544030539</v>
      </c>
      <c r="AE35">
        <v>2.0332271693154991</v>
      </c>
      <c r="AF35">
        <v>3.2381464241362456</v>
      </c>
      <c r="AG35">
        <v>0</v>
      </c>
      <c r="AH35">
        <v>0</v>
      </c>
    </row>
    <row r="36" spans="1:34" x14ac:dyDescent="0.3">
      <c r="A36" s="14" t="s">
        <v>72</v>
      </c>
      <c r="B36" s="14" t="s">
        <v>73</v>
      </c>
      <c r="C36">
        <v>0.44373955900000001</v>
      </c>
      <c r="D36">
        <v>0.90142966000000002</v>
      </c>
      <c r="E36">
        <v>0.62018932900000001</v>
      </c>
      <c r="F36">
        <v>0.4381389622386978</v>
      </c>
      <c r="G36">
        <v>0</v>
      </c>
      <c r="H36">
        <v>1.06527491441762E-2</v>
      </c>
      <c r="I36">
        <v>0</v>
      </c>
      <c r="J36">
        <v>0</v>
      </c>
      <c r="K36">
        <v>0</v>
      </c>
      <c r="L36">
        <v>0</v>
      </c>
      <c r="M36">
        <v>0</v>
      </c>
      <c r="N36">
        <v>5.571048078687225</v>
      </c>
      <c r="O36">
        <v>4.9930564492611929</v>
      </c>
      <c r="P36">
        <v>0.13472933319248531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4.5649665399072781</v>
      </c>
      <c r="Y36">
        <v>4.0400037694527926</v>
      </c>
      <c r="Z36">
        <v>2.2724096394938806</v>
      </c>
      <c r="AA36">
        <v>7.8434577181811056</v>
      </c>
      <c r="AB36">
        <v>2.4720944176044664</v>
      </c>
      <c r="AC36">
        <v>3.4804524689008303</v>
      </c>
      <c r="AD36">
        <v>6.8373761794011587</v>
      </c>
      <c r="AE36">
        <v>2.0256562392682116</v>
      </c>
      <c r="AF36">
        <v>3.0340142905645751</v>
      </c>
      <c r="AG36">
        <v>0</v>
      </c>
      <c r="AH36">
        <v>0</v>
      </c>
    </row>
    <row r="37" spans="1:34" x14ac:dyDescent="0.3">
      <c r="A37" s="14" t="s">
        <v>95</v>
      </c>
      <c r="B37" s="14" t="s">
        <v>95</v>
      </c>
      <c r="C37">
        <v>0.37760138599999998</v>
      </c>
      <c r="D37">
        <v>0.119173291</v>
      </c>
      <c r="E37">
        <v>0.54527295399999998</v>
      </c>
      <c r="F37">
        <v>0</v>
      </c>
      <c r="G37">
        <v>0.54659435561312542</v>
      </c>
      <c r="H37">
        <v>0.36114895315636419</v>
      </c>
      <c r="I37">
        <v>0</v>
      </c>
      <c r="J37">
        <v>0</v>
      </c>
      <c r="K37">
        <v>0</v>
      </c>
      <c r="L37">
        <v>0</v>
      </c>
      <c r="M37">
        <v>0</v>
      </c>
      <c r="N37">
        <v>3.9863813884265951</v>
      </c>
      <c r="O37">
        <v>0.47507018923994659</v>
      </c>
      <c r="P37">
        <v>0</v>
      </c>
      <c r="Q37">
        <v>0.4467178305436369</v>
      </c>
      <c r="R37">
        <v>0.334776908470448</v>
      </c>
      <c r="S37">
        <v>0</v>
      </c>
      <c r="T37">
        <v>0</v>
      </c>
      <c r="U37">
        <v>0</v>
      </c>
      <c r="V37">
        <v>0</v>
      </c>
      <c r="W37">
        <v>0</v>
      </c>
      <c r="X37">
        <v>3.9540845949728891</v>
      </c>
      <c r="Y37">
        <v>0.47122127407532127</v>
      </c>
      <c r="Z37">
        <v>1.9979117003235367</v>
      </c>
      <c r="AA37">
        <v>5.9842930887501318</v>
      </c>
      <c r="AB37">
        <v>1.5052631373944867</v>
      </c>
      <c r="AC37">
        <v>2.2596773645422705</v>
      </c>
      <c r="AD37">
        <v>5.9519962952964258</v>
      </c>
      <c r="AE37">
        <v>1.4930678234230115</v>
      </c>
      <c r="AF37">
        <v>2.2474820505707958</v>
      </c>
      <c r="AG37">
        <v>0</v>
      </c>
      <c r="AH37">
        <v>0</v>
      </c>
    </row>
    <row r="38" spans="1:34" x14ac:dyDescent="0.3">
      <c r="A38" s="14" t="s">
        <v>98</v>
      </c>
      <c r="B38" s="14" t="s">
        <v>99</v>
      </c>
      <c r="C38">
        <v>0.334412816</v>
      </c>
      <c r="D38">
        <v>0.59226283999999996</v>
      </c>
      <c r="E38">
        <v>0.40001998300000002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3.64</v>
      </c>
      <c r="O38">
        <v>2.1558367376000001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3.64</v>
      </c>
      <c r="Y38">
        <v>2.1558367376000001</v>
      </c>
      <c r="Z38">
        <v>1.4656963976227626</v>
      </c>
      <c r="AA38">
        <v>5.1056963976227632</v>
      </c>
      <c r="AB38">
        <v>1.2172626502400001</v>
      </c>
      <c r="AC38">
        <v>1.7074103099700839</v>
      </c>
      <c r="AD38">
        <v>5.1056963976227632</v>
      </c>
      <c r="AE38">
        <v>1.2172626502400001</v>
      </c>
      <c r="AF38">
        <v>1.7074103099700839</v>
      </c>
      <c r="AG38">
        <v>0</v>
      </c>
      <c r="AH38">
        <v>0</v>
      </c>
    </row>
    <row r="39" spans="1:34" x14ac:dyDescent="0.3">
      <c r="A39" s="14" t="s">
        <v>107</v>
      </c>
      <c r="B39" s="14" t="s">
        <v>108</v>
      </c>
      <c r="C39">
        <v>0.32184670100000001</v>
      </c>
      <c r="D39">
        <v>0.18642415700000001</v>
      </c>
      <c r="E39">
        <v>0.45273275499999999</v>
      </c>
      <c r="F39">
        <v>0</v>
      </c>
      <c r="G39">
        <v>1.3623866679935863</v>
      </c>
      <c r="H39">
        <v>0.13767174470284241</v>
      </c>
      <c r="I39">
        <v>0</v>
      </c>
      <c r="J39">
        <v>0</v>
      </c>
      <c r="K39">
        <v>0</v>
      </c>
      <c r="L39">
        <v>0</v>
      </c>
      <c r="M39">
        <v>0</v>
      </c>
      <c r="N39">
        <v>3.0184667058855856</v>
      </c>
      <c r="O39">
        <v>0.42890022597880212</v>
      </c>
      <c r="P39">
        <v>0</v>
      </c>
      <c r="Q39">
        <v>1.2139605831302398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2.8446504964868105</v>
      </c>
      <c r="Y39">
        <v>0.44631197332135408</v>
      </c>
      <c r="Z39">
        <v>1.6588390487715428</v>
      </c>
      <c r="AA39">
        <v>4.6773057546571284</v>
      </c>
      <c r="AB39">
        <v>0.97148355136761311</v>
      </c>
      <c r="AC39">
        <v>1.5053754267047121</v>
      </c>
      <c r="AD39">
        <v>4.5034895452583532</v>
      </c>
      <c r="AE39">
        <v>0.91554137779229205</v>
      </c>
      <c r="AF39">
        <v>1.4494332531293912</v>
      </c>
      <c r="AG39">
        <v>0</v>
      </c>
      <c r="AH39">
        <v>0</v>
      </c>
    </row>
    <row r="40" spans="1:34" x14ac:dyDescent="0.3">
      <c r="A40" s="14" t="s">
        <v>69</v>
      </c>
      <c r="B40" s="14" t="s">
        <v>70</v>
      </c>
      <c r="C40">
        <v>0.32163824499999999</v>
      </c>
      <c r="D40">
        <v>0.27981747000000001</v>
      </c>
      <c r="E40">
        <v>0.59983020399999998</v>
      </c>
      <c r="F40">
        <v>0.6456541390273508</v>
      </c>
      <c r="G40">
        <v>0</v>
      </c>
      <c r="H40">
        <v>0.45141496234373552</v>
      </c>
      <c r="I40">
        <v>0</v>
      </c>
      <c r="J40">
        <v>0</v>
      </c>
      <c r="K40">
        <v>0</v>
      </c>
      <c r="L40">
        <v>0</v>
      </c>
      <c r="M40">
        <v>0.56239860491190585</v>
      </c>
      <c r="N40">
        <v>6.62288749073993</v>
      </c>
      <c r="O40">
        <v>1.6926826345137254</v>
      </c>
      <c r="P40">
        <v>0.26262701939790439</v>
      </c>
      <c r="Q40">
        <v>0</v>
      </c>
      <c r="R40">
        <v>0.35355697289739829</v>
      </c>
      <c r="S40">
        <v>0</v>
      </c>
      <c r="T40">
        <v>0</v>
      </c>
      <c r="U40">
        <v>0</v>
      </c>
      <c r="V40">
        <v>0</v>
      </c>
      <c r="W40">
        <v>0.54962947619904823</v>
      </c>
      <c r="X40">
        <v>6.1897525400891711</v>
      </c>
      <c r="Y40">
        <v>1.5039940334375268</v>
      </c>
      <c r="Z40">
        <v>2.197812625746066</v>
      </c>
      <c r="AA40">
        <v>8.8207001164859964</v>
      </c>
      <c r="AB40">
        <v>2.1301739093540446</v>
      </c>
      <c r="AC40">
        <v>2.8370745051378514</v>
      </c>
      <c r="AD40">
        <v>8.3875651658352375</v>
      </c>
      <c r="AE40">
        <v>1.9908611439785731</v>
      </c>
      <c r="AF40">
        <v>2.6977617397623797</v>
      </c>
      <c r="AG40">
        <v>0.56239860491190585</v>
      </c>
      <c r="AH40">
        <v>0.54962947619904823</v>
      </c>
    </row>
    <row r="41" spans="1:34" x14ac:dyDescent="0.3">
      <c r="A41" s="14" t="s">
        <v>109</v>
      </c>
      <c r="B41" s="14" t="s">
        <v>109</v>
      </c>
      <c r="C41">
        <v>0.31820840700000003</v>
      </c>
      <c r="D41">
        <v>0.448046167</v>
      </c>
      <c r="E41">
        <v>0.90512434100000005</v>
      </c>
      <c r="F41">
        <v>0</v>
      </c>
      <c r="G41">
        <v>0</v>
      </c>
      <c r="H41">
        <v>0</v>
      </c>
      <c r="I41">
        <v>0</v>
      </c>
      <c r="J41">
        <v>2.345892251185357</v>
      </c>
      <c r="K41">
        <v>0</v>
      </c>
      <c r="L41">
        <v>0</v>
      </c>
      <c r="M41">
        <v>0</v>
      </c>
      <c r="N41">
        <v>2.3880757128713821</v>
      </c>
      <c r="O41">
        <v>1.021185324556529</v>
      </c>
      <c r="P41">
        <v>0</v>
      </c>
      <c r="Q41">
        <v>0</v>
      </c>
      <c r="R41">
        <v>0</v>
      </c>
      <c r="S41">
        <v>0</v>
      </c>
      <c r="T41">
        <v>2.3364409353031168</v>
      </c>
      <c r="U41">
        <v>0</v>
      </c>
      <c r="V41">
        <v>0</v>
      </c>
      <c r="W41">
        <v>0</v>
      </c>
      <c r="X41">
        <v>2.3786465401490444</v>
      </c>
      <c r="Y41">
        <v>1.0279338475038386</v>
      </c>
      <c r="Z41">
        <v>3.316428034557406</v>
      </c>
      <c r="AA41">
        <v>5.7045037474287881</v>
      </c>
      <c r="AB41">
        <v>0.7599057683881919</v>
      </c>
      <c r="AC41">
        <v>1.8152210501948451</v>
      </c>
      <c r="AD41">
        <v>5.6950745747064504</v>
      </c>
      <c r="AE41">
        <v>0.75690532635688901</v>
      </c>
      <c r="AF41">
        <v>1.8122206081635421</v>
      </c>
      <c r="AG41">
        <v>2.345892251185357</v>
      </c>
      <c r="AH41">
        <v>2.3364409353031168</v>
      </c>
    </row>
    <row r="42" spans="1:34" x14ac:dyDescent="0.3">
      <c r="A42" s="14" t="s">
        <v>144</v>
      </c>
      <c r="B42" s="14" t="s">
        <v>145</v>
      </c>
      <c r="C42">
        <v>0.30089410599999999</v>
      </c>
      <c r="D42">
        <v>0.99702850300000001</v>
      </c>
      <c r="E42">
        <v>0.23788869100000001</v>
      </c>
      <c r="F42">
        <v>0</v>
      </c>
      <c r="G42">
        <v>0</v>
      </c>
      <c r="H42">
        <v>0.59860106058735263</v>
      </c>
      <c r="I42">
        <v>0</v>
      </c>
      <c r="J42">
        <v>0</v>
      </c>
      <c r="K42">
        <v>0</v>
      </c>
      <c r="L42">
        <v>0</v>
      </c>
      <c r="M42">
        <v>0</v>
      </c>
      <c r="N42">
        <v>2.8318777886917186</v>
      </c>
      <c r="O42">
        <v>2.8234628723382547</v>
      </c>
      <c r="P42">
        <v>0</v>
      </c>
      <c r="Q42">
        <v>0</v>
      </c>
      <c r="R42">
        <v>0.47039901501630871</v>
      </c>
      <c r="S42">
        <v>0</v>
      </c>
      <c r="T42">
        <v>0</v>
      </c>
      <c r="U42">
        <v>0</v>
      </c>
      <c r="V42">
        <v>0</v>
      </c>
      <c r="W42">
        <v>0</v>
      </c>
      <c r="X42">
        <v>2.7229849974393479</v>
      </c>
      <c r="Y42">
        <v>2.714893655688412</v>
      </c>
      <c r="Z42">
        <v>0.87163794873191247</v>
      </c>
      <c r="AA42">
        <v>3.7035157374236309</v>
      </c>
      <c r="AB42">
        <v>0.85209533552965155</v>
      </c>
      <c r="AC42">
        <v>1.1143660568690141</v>
      </c>
      <c r="AD42">
        <v>3.5946229461712602</v>
      </c>
      <c r="AE42">
        <v>0.8193301364559249</v>
      </c>
      <c r="AF42">
        <v>1.0816008577952874</v>
      </c>
      <c r="AG42">
        <v>0</v>
      </c>
      <c r="AH42">
        <v>0</v>
      </c>
    </row>
    <row r="43" spans="1:34" x14ac:dyDescent="0.3">
      <c r="A43" s="14" t="s">
        <v>92</v>
      </c>
      <c r="B43" s="14" t="s">
        <v>93</v>
      </c>
      <c r="C43">
        <v>0.3</v>
      </c>
      <c r="D43">
        <v>1</v>
      </c>
      <c r="E43">
        <v>0.666259881</v>
      </c>
      <c r="F43">
        <v>1.266791658703962</v>
      </c>
      <c r="G43">
        <v>0</v>
      </c>
      <c r="H43">
        <v>0.13736522315767599</v>
      </c>
      <c r="I43">
        <v>0</v>
      </c>
      <c r="J43">
        <v>0</v>
      </c>
      <c r="K43">
        <v>0</v>
      </c>
      <c r="L43">
        <v>0</v>
      </c>
      <c r="M43">
        <v>0</v>
      </c>
      <c r="N43">
        <v>3.8441285166322872</v>
      </c>
      <c r="O43">
        <v>3.8441285166322872</v>
      </c>
      <c r="P43">
        <v>1.3655939761416696</v>
      </c>
      <c r="Q43">
        <v>0</v>
      </c>
      <c r="R43">
        <v>0.35586226465943033</v>
      </c>
      <c r="S43">
        <v>0</v>
      </c>
      <c r="T43">
        <v>0</v>
      </c>
      <c r="U43">
        <v>0</v>
      </c>
      <c r="V43">
        <v>0</v>
      </c>
      <c r="W43">
        <v>0</v>
      </c>
      <c r="X43">
        <v>4.0076892623466893</v>
      </c>
      <c r="Y43">
        <v>4.0076892623466893</v>
      </c>
      <c r="Z43">
        <v>2.4412148116667223</v>
      </c>
      <c r="AA43">
        <v>6.2853433282990094</v>
      </c>
      <c r="AB43">
        <v>1.1532385549896862</v>
      </c>
      <c r="AC43">
        <v>1.8856029984897027</v>
      </c>
      <c r="AD43">
        <v>6.4489040740134111</v>
      </c>
      <c r="AE43">
        <v>1.2023067787040067</v>
      </c>
      <c r="AF43">
        <v>1.9346712222040232</v>
      </c>
      <c r="AG43">
        <v>0</v>
      </c>
      <c r="AH43">
        <v>0</v>
      </c>
    </row>
    <row r="44" spans="1:34" x14ac:dyDescent="0.3">
      <c r="A44" s="14" t="s">
        <v>103</v>
      </c>
      <c r="B44" s="14" t="s">
        <v>104</v>
      </c>
      <c r="C44">
        <v>0.25803222599999998</v>
      </c>
      <c r="D44">
        <v>0.77509698299999996</v>
      </c>
      <c r="E44">
        <v>0.78919357000000001</v>
      </c>
      <c r="F44">
        <v>0.63465989927449329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1.2382214411926995</v>
      </c>
      <c r="N44">
        <v>3.955693448032608</v>
      </c>
      <c r="O44">
        <v>2.9423180931443542</v>
      </c>
      <c r="P44">
        <v>0.59963709615113958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1.2234230060695188</v>
      </c>
      <c r="X44">
        <v>4.0124705604948616</v>
      </c>
      <c r="Y44">
        <v>2.9845207724366918</v>
      </c>
      <c r="Z44">
        <v>2.8916509717866958</v>
      </c>
      <c r="AA44">
        <v>6.8473444198193043</v>
      </c>
      <c r="AB44">
        <v>1.0206963857694691</v>
      </c>
      <c r="AC44">
        <v>1.7668355228346535</v>
      </c>
      <c r="AD44">
        <v>6.9041215322815574</v>
      </c>
      <c r="AE44">
        <v>1.0353467104839567</v>
      </c>
      <c r="AF44">
        <v>1.7814858475491409</v>
      </c>
      <c r="AG44">
        <v>1.2382214411926995</v>
      </c>
      <c r="AH44">
        <v>1.2234230060695188</v>
      </c>
    </row>
    <row r="45" spans="1:34" x14ac:dyDescent="0.3">
      <c r="A45" s="14" t="s">
        <v>102</v>
      </c>
      <c r="B45" s="14" t="s">
        <v>102</v>
      </c>
      <c r="C45">
        <v>0.21527363199999999</v>
      </c>
      <c r="D45">
        <v>1.1148602000000001E-2</v>
      </c>
      <c r="E45">
        <v>0.47060436900000002</v>
      </c>
      <c r="F45">
        <v>0</v>
      </c>
      <c r="G45">
        <v>0.32362400820997828</v>
      </c>
      <c r="H45">
        <v>0.6979407038043185</v>
      </c>
      <c r="I45">
        <v>0</v>
      </c>
      <c r="J45">
        <v>0</v>
      </c>
      <c r="K45">
        <v>0</v>
      </c>
      <c r="L45">
        <v>0</v>
      </c>
      <c r="M45">
        <v>0</v>
      </c>
      <c r="N45">
        <v>5.1742298606148518</v>
      </c>
      <c r="O45">
        <v>5.7685429372510401E-2</v>
      </c>
      <c r="P45">
        <v>0</v>
      </c>
      <c r="Q45">
        <v>0.20549934959292041</v>
      </c>
      <c r="R45">
        <v>0.63866689865668014</v>
      </c>
      <c r="S45">
        <v>0</v>
      </c>
      <c r="T45">
        <v>0</v>
      </c>
      <c r="U45">
        <v>0</v>
      </c>
      <c r="V45">
        <v>0</v>
      </c>
      <c r="W45">
        <v>0</v>
      </c>
      <c r="X45">
        <v>5.1444222468186958</v>
      </c>
      <c r="Y45">
        <v>5.73531161497274E-2</v>
      </c>
      <c r="Z45">
        <v>1.7243216780718509</v>
      </c>
      <c r="AA45">
        <v>6.8985515386867027</v>
      </c>
      <c r="AB45">
        <v>1.1138752548974129</v>
      </c>
      <c r="AC45">
        <v>1.485076245272275</v>
      </c>
      <c r="AD45">
        <v>6.8687439248905466</v>
      </c>
      <c r="AE45">
        <v>1.1074584616142611</v>
      </c>
      <c r="AF45">
        <v>1.4786594519891232</v>
      </c>
      <c r="AG45">
        <v>0</v>
      </c>
      <c r="AH45">
        <v>0</v>
      </c>
    </row>
    <row r="46" spans="1:34" x14ac:dyDescent="0.3">
      <c r="A46" s="14" t="s">
        <v>96</v>
      </c>
      <c r="B46" s="14" t="s">
        <v>97</v>
      </c>
      <c r="C46">
        <v>0.24214196800000001</v>
      </c>
      <c r="D46">
        <v>0.88632047700000005</v>
      </c>
      <c r="E46">
        <v>0.62068787299999995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0.92025843936136476</v>
      </c>
      <c r="M46">
        <v>0</v>
      </c>
      <c r="N46">
        <v>5.7956536973142718</v>
      </c>
      <c r="O46">
        <v>4.9807190465795621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0.91416605743157642</v>
      </c>
      <c r="W46">
        <v>0</v>
      </c>
      <c r="X46">
        <v>5.80094731985242</v>
      </c>
      <c r="Y46">
        <v>4.9877019468288104</v>
      </c>
      <c r="Z46">
        <v>2.2742363335989508</v>
      </c>
      <c r="AA46">
        <v>8.0698900309132231</v>
      </c>
      <c r="AB46">
        <v>1.4033709921141542</v>
      </c>
      <c r="AC46">
        <v>1.9540590536289089</v>
      </c>
      <c r="AD46">
        <v>8.0751836534513703</v>
      </c>
      <c r="AE46">
        <v>1.4046528002933905</v>
      </c>
      <c r="AF46">
        <v>1.9553408618081449</v>
      </c>
      <c r="AG46">
        <v>0.92025843936136476</v>
      </c>
      <c r="AH46">
        <v>0.91416605743157642</v>
      </c>
    </row>
    <row r="47" spans="1:34" x14ac:dyDescent="0.3">
      <c r="A47" s="14" t="s">
        <v>62</v>
      </c>
      <c r="B47" s="14" t="s">
        <v>63</v>
      </c>
      <c r="C47">
        <v>0.80713989399999997</v>
      </c>
      <c r="D47">
        <v>0.88632047700000005</v>
      </c>
      <c r="E47">
        <v>0.71994005999999999</v>
      </c>
      <c r="F47">
        <v>0</v>
      </c>
      <c r="G47">
        <v>0</v>
      </c>
      <c r="H47">
        <v>0.14056402424018849</v>
      </c>
      <c r="I47">
        <v>0</v>
      </c>
      <c r="J47">
        <v>0</v>
      </c>
      <c r="K47">
        <v>0</v>
      </c>
      <c r="L47">
        <v>0</v>
      </c>
      <c r="M47">
        <v>1.2785377039034731</v>
      </c>
      <c r="N47">
        <v>4.3594129295144084</v>
      </c>
      <c r="O47">
        <v>3.68845266311927</v>
      </c>
      <c r="P47">
        <v>0</v>
      </c>
      <c r="Q47">
        <v>0</v>
      </c>
      <c r="R47">
        <v>0.1123607398802067</v>
      </c>
      <c r="S47">
        <v>0</v>
      </c>
      <c r="T47">
        <v>0</v>
      </c>
      <c r="U47">
        <v>0</v>
      </c>
      <c r="V47">
        <v>0</v>
      </c>
      <c r="W47">
        <v>1.2984376861299811</v>
      </c>
      <c r="X47">
        <v>4.3702366136598609</v>
      </c>
      <c r="Y47">
        <v>3.7085235024319312</v>
      </c>
      <c r="Z47">
        <v>2.6379020981217218</v>
      </c>
      <c r="AA47">
        <v>6.9973150276361302</v>
      </c>
      <c r="AB47">
        <v>3.5186560898304888</v>
      </c>
      <c r="AC47">
        <v>5.6478121096908334</v>
      </c>
      <c r="AD47">
        <v>7.0081387117815828</v>
      </c>
      <c r="AE47">
        <v>3.5273923171043391</v>
      </c>
      <c r="AF47">
        <v>5.6565483369646827</v>
      </c>
      <c r="AG47">
        <v>1.2785377039034731</v>
      </c>
      <c r="AH47">
        <v>1.2984376861299811</v>
      </c>
    </row>
    <row r="48" spans="1:34" x14ac:dyDescent="0.3">
      <c r="A48" s="14" t="s">
        <v>45</v>
      </c>
      <c r="B48" s="14" t="s">
        <v>46</v>
      </c>
      <c r="C48">
        <v>1.0891084179999999</v>
      </c>
      <c r="D48">
        <v>0.87748442599999998</v>
      </c>
      <c r="E48">
        <v>0.642585823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8.2583219149978468</v>
      </c>
      <c r="O48">
        <v>7.241229475936513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8.2585579514556535</v>
      </c>
      <c r="Y48">
        <v>7.241448818998415</v>
      </c>
      <c r="Z48">
        <v>2.3544716913168764</v>
      </c>
      <c r="AA48">
        <v>10.612793606314723</v>
      </c>
      <c r="AB48">
        <v>8.9942079161780342</v>
      </c>
      <c r="AC48">
        <v>11.558482855133942</v>
      </c>
      <c r="AD48">
        <v>10.613029642772529</v>
      </c>
      <c r="AE48">
        <v>8.9944649854711862</v>
      </c>
      <c r="AF48">
        <v>11.558739924427094</v>
      </c>
      <c r="AG48">
        <v>0</v>
      </c>
      <c r="AH48">
        <v>0</v>
      </c>
    </row>
    <row r="49" spans="1:34" x14ac:dyDescent="0.3">
      <c r="A49" s="14" t="s">
        <v>42</v>
      </c>
      <c r="B49" s="14" t="s">
        <v>43</v>
      </c>
      <c r="C49">
        <v>1.281304022</v>
      </c>
      <c r="D49">
        <v>0.87748442599999998</v>
      </c>
      <c r="E49">
        <v>0.61827385000000001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9.3128698681962003</v>
      </c>
      <c r="O49">
        <v>8.1663569932874012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9.3133569965030301</v>
      </c>
      <c r="Y49">
        <v>8.1667954009049168</v>
      </c>
      <c r="Z49">
        <v>2.2653912134418452</v>
      </c>
      <c r="AA49">
        <v>11.578261081638045</v>
      </c>
      <c r="AB49">
        <v>11.932617618482402</v>
      </c>
      <c r="AC49">
        <v>14.835272491668897</v>
      </c>
      <c r="AD49">
        <v>11.578748209944875</v>
      </c>
      <c r="AE49">
        <v>11.933241777941173</v>
      </c>
      <c r="AF49">
        <v>14.835896651127669</v>
      </c>
      <c r="AG49">
        <v>0</v>
      </c>
      <c r="AH49">
        <v>0</v>
      </c>
    </row>
    <row r="50" spans="1:34" x14ac:dyDescent="0.3">
      <c r="A50" s="14" t="s">
        <v>146</v>
      </c>
      <c r="B50" s="14" t="s">
        <v>30</v>
      </c>
      <c r="C50">
        <v>16.341803400000003</v>
      </c>
      <c r="D50">
        <v>0.79716715241793024</v>
      </c>
      <c r="E50">
        <v>0.85627717999999986</v>
      </c>
      <c r="F50">
        <v>0</v>
      </c>
      <c r="G50">
        <v>2.0253247207813589</v>
      </c>
      <c r="H50">
        <v>0.20909821864091332</v>
      </c>
      <c r="I50">
        <v>0</v>
      </c>
      <c r="J50">
        <v>0</v>
      </c>
      <c r="K50">
        <v>0</v>
      </c>
      <c r="L50">
        <v>0</v>
      </c>
      <c r="M50">
        <v>0</v>
      </c>
      <c r="N50">
        <v>2.8520679301439484</v>
      </c>
      <c r="O50">
        <v>2.2731411394179712</v>
      </c>
      <c r="P50">
        <v>0</v>
      </c>
      <c r="Q50">
        <v>1.8783382578563803</v>
      </c>
      <c r="R50">
        <v>0.10352275046508241</v>
      </c>
      <c r="S50">
        <v>0</v>
      </c>
      <c r="T50">
        <v>0</v>
      </c>
      <c r="U50">
        <v>0</v>
      </c>
      <c r="V50">
        <v>0</v>
      </c>
      <c r="W50">
        <v>0</v>
      </c>
      <c r="X50">
        <v>2.5203887477588371</v>
      </c>
      <c r="Y50">
        <v>1.9489411783225767</v>
      </c>
      <c r="Z50">
        <v>3.1374492061127297</v>
      </c>
      <c r="AA50">
        <v>5.9895171362566781</v>
      </c>
      <c r="AB50">
        <v>46.607933397857352</v>
      </c>
      <c r="AC50">
        <v>97.879511501637666</v>
      </c>
      <c r="AD50">
        <v>5.6578379538715673</v>
      </c>
      <c r="AE50">
        <v>41.187697407447118</v>
      </c>
      <c r="AF50">
        <v>92.459275511227446</v>
      </c>
      <c r="AG50">
        <v>0</v>
      </c>
      <c r="AH50">
        <v>0</v>
      </c>
    </row>
    <row r="51" spans="1:34" x14ac:dyDescent="0.3">
      <c r="A51" s="14" t="s">
        <v>146</v>
      </c>
      <c r="B51" s="14" t="s">
        <v>37</v>
      </c>
      <c r="C51">
        <v>4.2215208759999996</v>
      </c>
      <c r="D51">
        <v>0.62536703653777503</v>
      </c>
      <c r="E51">
        <v>0.64854211699999997</v>
      </c>
      <c r="F51">
        <v>0</v>
      </c>
      <c r="G51">
        <v>0.3804677936268156</v>
      </c>
      <c r="H51">
        <v>0</v>
      </c>
      <c r="I51">
        <v>0</v>
      </c>
      <c r="J51">
        <v>0</v>
      </c>
      <c r="K51">
        <v>1.396252000674409</v>
      </c>
      <c r="L51">
        <v>0</v>
      </c>
      <c r="M51">
        <v>0</v>
      </c>
      <c r="N51">
        <v>3.7524038529688259</v>
      </c>
      <c r="O51">
        <v>2.3466296774240432</v>
      </c>
      <c r="P51">
        <v>0</v>
      </c>
      <c r="Q51">
        <v>0.21620964009079552</v>
      </c>
      <c r="R51">
        <v>0</v>
      </c>
      <c r="S51">
        <v>0</v>
      </c>
      <c r="T51">
        <v>0</v>
      </c>
      <c r="U51">
        <v>1.3817820043835358</v>
      </c>
      <c r="V51">
        <v>0</v>
      </c>
      <c r="W51">
        <v>0</v>
      </c>
      <c r="X51">
        <v>3.700445568512595</v>
      </c>
      <c r="Y51">
        <v>2.3141366790500633</v>
      </c>
      <c r="Z51">
        <v>2.3762958976815418</v>
      </c>
      <c r="AA51">
        <v>6.1286997506503678</v>
      </c>
      <c r="AB51">
        <v>15.840851200490732</v>
      </c>
      <c r="AC51">
        <v>25.872433940106518</v>
      </c>
      <c r="AD51">
        <v>6.0767414661941368</v>
      </c>
      <c r="AE51">
        <v>15.621508217977606</v>
      </c>
      <c r="AF51">
        <v>25.653090957593395</v>
      </c>
      <c r="AG51">
        <v>1.396252000674409</v>
      </c>
      <c r="AH51">
        <v>1.3817820043835358</v>
      </c>
    </row>
    <row r="52" spans="1:34" x14ac:dyDescent="0.3">
      <c r="A52" s="14" t="s">
        <v>146</v>
      </c>
      <c r="B52" s="14" t="s">
        <v>33</v>
      </c>
      <c r="C52">
        <v>3.4565416359999999</v>
      </c>
      <c r="D52">
        <v>0.90760447259866495</v>
      </c>
      <c r="E52">
        <v>0.922574699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6.8079036848399719</v>
      </c>
      <c r="O52">
        <v>6.2553832824846705</v>
      </c>
      <c r="P52">
        <v>8.1772114658816286E-2</v>
      </c>
      <c r="Q52">
        <v>0.19288022990449111</v>
      </c>
      <c r="R52">
        <v>0</v>
      </c>
      <c r="S52">
        <v>0</v>
      </c>
      <c r="T52">
        <v>0</v>
      </c>
      <c r="U52">
        <v>0</v>
      </c>
      <c r="V52">
        <v>0</v>
      </c>
      <c r="W52">
        <v>1.0552573131028635</v>
      </c>
      <c r="X52">
        <v>6.8441379930501398</v>
      </c>
      <c r="Y52">
        <v>6.2668995080855838</v>
      </c>
      <c r="Z52">
        <v>3.3803671574632421</v>
      </c>
      <c r="AA52">
        <v>10.188270842303215</v>
      </c>
      <c r="AB52">
        <v>23.531802540527185</v>
      </c>
      <c r="AC52">
        <v>35.216182365265851</v>
      </c>
      <c r="AD52">
        <v>10.224505150513382</v>
      </c>
      <c r="AE52">
        <v>23.657047935507286</v>
      </c>
      <c r="AF52">
        <v>35.341427760245949</v>
      </c>
      <c r="AG52">
        <v>0</v>
      </c>
      <c r="AH52">
        <v>1.0552573131028635</v>
      </c>
    </row>
    <row r="53" spans="1:34" x14ac:dyDescent="0.3">
      <c r="A53" s="14" t="s">
        <v>146</v>
      </c>
      <c r="B53" s="14" t="s">
        <v>53</v>
      </c>
      <c r="C53">
        <v>1.165635864</v>
      </c>
      <c r="D53">
        <v>0.94369093632121537</v>
      </c>
      <c r="E53">
        <v>0.55806846366410212</v>
      </c>
      <c r="F53">
        <v>0</v>
      </c>
      <c r="G53">
        <v>0.60815483282248917</v>
      </c>
      <c r="H53">
        <v>0.54204056026589398</v>
      </c>
      <c r="I53">
        <v>0</v>
      </c>
      <c r="J53">
        <v>0</v>
      </c>
      <c r="K53">
        <v>0</v>
      </c>
      <c r="L53">
        <v>0</v>
      </c>
      <c r="M53">
        <v>0</v>
      </c>
      <c r="N53">
        <v>3.7664818367844579</v>
      </c>
      <c r="O53">
        <v>3.5316816585163449</v>
      </c>
      <c r="P53">
        <v>0</v>
      </c>
      <c r="Q53">
        <v>0.62808393380447014</v>
      </c>
      <c r="R53">
        <v>0.49158701194795562</v>
      </c>
      <c r="S53">
        <v>0</v>
      </c>
      <c r="T53">
        <v>0</v>
      </c>
      <c r="U53">
        <v>0</v>
      </c>
      <c r="V53">
        <v>0</v>
      </c>
      <c r="W53">
        <v>0</v>
      </c>
      <c r="X53">
        <v>3.7929504180900353</v>
      </c>
      <c r="Y53">
        <v>3.5579418492636288</v>
      </c>
      <c r="Z53">
        <v>2.0447951891926959</v>
      </c>
      <c r="AA53">
        <v>5.8112770259771533</v>
      </c>
      <c r="AB53">
        <v>4.3903463100605586</v>
      </c>
      <c r="AC53">
        <v>6.773832917118229</v>
      </c>
      <c r="AD53">
        <v>5.8377456072827307</v>
      </c>
      <c r="AE53">
        <v>4.4211990376995391</v>
      </c>
      <c r="AF53">
        <v>6.8046856447572104</v>
      </c>
      <c r="AG53">
        <v>0</v>
      </c>
      <c r="AH53">
        <v>0</v>
      </c>
    </row>
    <row r="54" spans="1:34" x14ac:dyDescent="0.3">
      <c r="A54" s="14" t="s">
        <v>146</v>
      </c>
      <c r="B54" s="14" t="s">
        <v>39</v>
      </c>
      <c r="C54">
        <v>5.7987684980000003</v>
      </c>
      <c r="D54">
        <v>0.89855347100401728</v>
      </c>
      <c r="E54">
        <v>0.38435200000000003</v>
      </c>
      <c r="F54">
        <v>0</v>
      </c>
      <c r="G54">
        <v>0.77474741292228766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2.3898169088201087</v>
      </c>
      <c r="O54">
        <v>2.1059847318922329</v>
      </c>
      <c r="P54">
        <v>0</v>
      </c>
      <c r="Q54">
        <v>0.80805098981775503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2.4470808920183122</v>
      </c>
      <c r="Y54">
        <v>2.168122774275222</v>
      </c>
      <c r="Z54">
        <v>1.4082880000000002</v>
      </c>
      <c r="AA54">
        <v>3.7981049088201089</v>
      </c>
      <c r="AB54">
        <v>13.857995006853786</v>
      </c>
      <c r="AC54">
        <v>22.024331097365209</v>
      </c>
      <c r="AD54">
        <v>3.8553688920183125</v>
      </c>
      <c r="AE54">
        <v>14.190055588693529</v>
      </c>
      <c r="AF54">
        <v>22.356391679204954</v>
      </c>
      <c r="AG54">
        <v>0</v>
      </c>
      <c r="AH54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A3F3-3636-4493-87BD-CB90E85CCE53}">
  <sheetPr codeName="Sheet3"/>
  <dimension ref="A1:D22"/>
  <sheetViews>
    <sheetView zoomScaleNormal="100" workbookViewId="0"/>
  </sheetViews>
  <sheetFormatPr defaultRowHeight="14.4" x14ac:dyDescent="0.3"/>
  <cols>
    <col min="2" max="2" width="39.109375" bestFit="1" customWidth="1"/>
  </cols>
  <sheetData>
    <row r="1" spans="1:4" x14ac:dyDescent="0.3">
      <c r="A1" t="s">
        <v>110</v>
      </c>
      <c r="B1" s="11" t="s">
        <v>160</v>
      </c>
    </row>
    <row r="2" spans="1:4" x14ac:dyDescent="0.3">
      <c r="B2" t="s">
        <v>161</v>
      </c>
    </row>
    <row r="4" spans="1:4" ht="15" thickBot="1" x14ac:dyDescent="0.35">
      <c r="B4" s="15" t="s">
        <v>147</v>
      </c>
    </row>
    <row r="6" spans="1:4" x14ac:dyDescent="0.3">
      <c r="B6" t="s">
        <v>38</v>
      </c>
      <c r="C6" s="16">
        <f>[1]Calculations!$C$13</f>
        <v>0.9585499999999999</v>
      </c>
      <c r="D6" s="17" t="s">
        <v>148</v>
      </c>
    </row>
    <row r="8" spans="1:4" x14ac:dyDescent="0.3">
      <c r="B8" t="s">
        <v>153</v>
      </c>
      <c r="C8" s="16">
        <f>'Figure 2 data'!AH8</f>
        <v>2.0795315128667213</v>
      </c>
      <c r="D8" t="s">
        <v>152</v>
      </c>
    </row>
    <row r="9" spans="1:4" x14ac:dyDescent="0.3">
      <c r="B9" t="s">
        <v>156</v>
      </c>
      <c r="C9" s="18">
        <f>C8*C6</f>
        <v>1.9933349316583955</v>
      </c>
      <c r="D9" t="s">
        <v>152</v>
      </c>
    </row>
    <row r="10" spans="1:4" x14ac:dyDescent="0.3">
      <c r="B10" t="s">
        <v>156</v>
      </c>
      <c r="C10" s="19">
        <f>C9/'Figure 2 data'!AD49</f>
        <v>0.17215461425668963</v>
      </c>
      <c r="D10" t="s">
        <v>159</v>
      </c>
    </row>
    <row r="12" spans="1:4" ht="15" thickBot="1" x14ac:dyDescent="0.35">
      <c r="B12" s="15" t="s">
        <v>149</v>
      </c>
    </row>
    <row r="14" spans="1:4" x14ac:dyDescent="0.3">
      <c r="B14" t="s">
        <v>55</v>
      </c>
      <c r="C14" s="16">
        <f>[1]Calculations!$C$21</f>
        <v>0.64600000000000002</v>
      </c>
      <c r="D14" t="s">
        <v>151</v>
      </c>
    </row>
    <row r="15" spans="1:4" x14ac:dyDescent="0.3">
      <c r="B15" t="s">
        <v>150</v>
      </c>
      <c r="C15" s="16">
        <f>[1]Calculations!$C$22</f>
        <v>0.51300000000000001</v>
      </c>
      <c r="D15" t="s">
        <v>151</v>
      </c>
    </row>
    <row r="17" spans="2:4" x14ac:dyDescent="0.3">
      <c r="B17" t="s">
        <v>154</v>
      </c>
      <c r="C17" s="16">
        <f>'Figure 2 data'!$AH$30</f>
        <v>1.361899876262209</v>
      </c>
      <c r="D17" t="s">
        <v>152</v>
      </c>
    </row>
    <row r="18" spans="2:4" x14ac:dyDescent="0.3">
      <c r="B18" t="s">
        <v>155</v>
      </c>
      <c r="C18" s="16">
        <f>'Figure 2 data'!$P$36</f>
        <v>0.13472933319248531</v>
      </c>
      <c r="D18" t="s">
        <v>152</v>
      </c>
    </row>
    <row r="19" spans="2:4" x14ac:dyDescent="0.3">
      <c r="B19" t="s">
        <v>157</v>
      </c>
      <c r="C19" s="18">
        <f>C17*C14</f>
        <v>0.87978732006538707</v>
      </c>
      <c r="D19" t="s">
        <v>152</v>
      </c>
    </row>
    <row r="20" spans="2:4" x14ac:dyDescent="0.3">
      <c r="B20" t="s">
        <v>158</v>
      </c>
      <c r="C20" s="18">
        <f>C18*C15</f>
        <v>6.9116147927744967E-2</v>
      </c>
      <c r="D20" t="s">
        <v>152</v>
      </c>
    </row>
    <row r="21" spans="2:4" x14ac:dyDescent="0.3">
      <c r="B21" t="s">
        <v>157</v>
      </c>
      <c r="C21" s="19">
        <f>C19/'Figure 2 data'!AD48</f>
        <v>8.289690594283057E-2</v>
      </c>
      <c r="D21" t="s">
        <v>159</v>
      </c>
    </row>
    <row r="22" spans="2:4" x14ac:dyDescent="0.3">
      <c r="B22" t="s">
        <v>158</v>
      </c>
      <c r="C22" s="19">
        <f>C20/'Figure 2 data'!AD48</f>
        <v>6.5123862133762197E-3</v>
      </c>
      <c r="D22" t="s">
        <v>159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4AF39AFB91D254FB182AF94C5DC49BB" ma:contentTypeVersion="11" ma:contentTypeDescription="Crée un document." ma:contentTypeScope="" ma:versionID="dbf3a68182155b17bdc3666382daf776">
  <xsd:schema xmlns:xsd="http://www.w3.org/2001/XMLSchema" xmlns:xs="http://www.w3.org/2001/XMLSchema" xmlns:p="http://schemas.microsoft.com/office/2006/metadata/properties" xmlns:ns2="e3526620-295c-4e7a-bc15-71d5d129bc8a" xmlns:ns3="f89e107a-002f-47cb-94f0-e5bf57bc2a72" targetNamespace="http://schemas.microsoft.com/office/2006/metadata/properties" ma:root="true" ma:fieldsID="ccb4e8835da535e86e7998c3a5e457f2" ns2:_="" ns3:_="">
    <xsd:import namespace="e3526620-295c-4e7a-bc15-71d5d129bc8a"/>
    <xsd:import namespace="f89e107a-002f-47cb-94f0-e5bf57bc2a7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3526620-295c-4e7a-bc15-71d5d129bc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89d98ed-d87d-4b5f-8cfd-2c453ac98cb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9e107a-002f-47cb-94f0-e5bf57bc2a7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339249a1-d208-40d2-81eb-01a4abb22e02}" ma:internalName="TaxCatchAll" ma:showField="CatchAllData" ma:web="f89e107a-002f-47cb-94f0-e5bf57bc2a7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89e107a-002f-47cb-94f0-e5bf57bc2a72" xsi:nil="true"/>
    <lcf76f155ced4ddcb4097134ff3c332f xmlns="e3526620-295c-4e7a-bc15-71d5d129bc8a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1C0DBCB-3D5C-4C6E-BB20-3FBB6EA99F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C14E0D2-7C99-4782-8FA8-7A925306F29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3526620-295c-4e7a-bc15-71d5d129bc8a"/>
    <ds:schemaRef ds:uri="f89e107a-002f-47cb-94f0-e5bf57bc2a7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D201825-E6AC-4921-997C-6D5C57E9EAE5}">
  <ds:schemaRefs>
    <ds:schemaRef ds:uri="http://schemas.microsoft.com/office/2006/metadata/properties"/>
    <ds:schemaRef ds:uri="http://schemas.microsoft.com/office/infopath/2007/PartnerControls"/>
    <ds:schemaRef ds:uri="f89e107a-002f-47cb-94f0-e5bf57bc2a72"/>
    <ds:schemaRef ds:uri="e3526620-295c-4e7a-bc15-71d5d129bc8a"/>
  </ds:schemaRefs>
</ds:datastoreItem>
</file>

<file path=customXml/itemProps4.xml><?xml version="1.0" encoding="utf-8"?>
<ds:datastoreItem xmlns:ds="http://schemas.openxmlformats.org/officeDocument/2006/customXml" ds:itemID="{8EF77A7B-00BC-4525-B850-1EF8A0FD725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Figure 2 data</vt:lpstr>
      <vt:lpstr>PA-6 and PA-6,6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Nicolas Lienart</dc:creator>
  <cp:keywords/>
  <dc:description/>
  <cp:lastModifiedBy>Nicolas Lienart</cp:lastModifiedBy>
  <cp:revision/>
  <dcterms:created xsi:type="dcterms:W3CDTF">2026-05-05T08:18:00Z</dcterms:created>
  <dcterms:modified xsi:type="dcterms:W3CDTF">2026-08-16T14:36:05Z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0x010100E4AF39AFB91D254FB182AF94C5DC49BB</vt:lpwstr>
  </property>
  <property fmtid="{D5CDD505-2E9C-101B-9397-08002B2CF9AE}" pid="3" name="MediaServiceImageTags">
    <vt:lpwstr/>
  </property>
</Properties>
</file>