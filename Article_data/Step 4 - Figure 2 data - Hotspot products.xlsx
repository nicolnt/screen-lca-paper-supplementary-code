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E502AB90-5262-4035-B7EF-391E72D0C3C8}" xr6:coauthVersionLast="47" xr6:coauthVersionMax="47" xr10:uidLastSave="{00000000-0000-0000-0000-000000000000}"/>
  <bookViews>
    <workbookView xWindow="-28920" yWindow="-30" windowWidth="29040" windowHeight="15720" xr2:uid="{3AE344CB-1894-47AD-A205-3A52A8D8A89E}"/>
  </bookViews>
  <sheets>
    <sheet name="README" sheetId="2" r:id="rId1"/>
    <sheet name="Figure 2 data" sheetId="1" r:id="rId2"/>
    <sheet name="Location sensitivity analysis" sheetId="6" r:id="rId3"/>
    <sheet name="EI version total sensitivity" sheetId="8" r:id="rId4"/>
    <sheet name="PA-6 and PA-6,6" sheetId="5" r:id="rId5"/>
  </sheets>
  <externalReferences>
    <externalReference r:id="rId6"/>
  </externalReferences>
  <definedNames>
    <definedName name="ExternalData_1" localSheetId="1" hidden="1">'Figure 2 data'!$A$4:$AH$55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8" l="1"/>
  <c r="C8" i="8"/>
  <c r="C7" i="8"/>
  <c r="C6" i="8"/>
  <c r="C5" i="8"/>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K6" i="1" l="1"/>
  <c r="AK7" i="1"/>
  <c r="AK9" i="1"/>
  <c r="AK18" i="1"/>
  <c r="AK10" i="1"/>
  <c r="AK13" i="1"/>
  <c r="AK15" i="1"/>
  <c r="AK16" i="1"/>
  <c r="AK21" i="1"/>
  <c r="AK23" i="1"/>
  <c r="AK19" i="1"/>
  <c r="AK42" i="1"/>
  <c r="AK27" i="1"/>
  <c r="AK32" i="1"/>
  <c r="AK30" i="1"/>
  <c r="AK50" i="1"/>
  <c r="AK35" i="1"/>
  <c r="AK34" i="1"/>
  <c r="AK45" i="1"/>
  <c r="AK25" i="1"/>
  <c r="AK29" i="1"/>
  <c r="AK24" i="1"/>
  <c r="AK44" i="1"/>
  <c r="AK36" i="1"/>
  <c r="AK28" i="1"/>
  <c r="AK33" i="1"/>
  <c r="AK20" i="1"/>
  <c r="AK43" i="1"/>
  <c r="AK40" i="1"/>
  <c r="AK31" i="1"/>
  <c r="AK41" i="1"/>
  <c r="AK37" i="1"/>
  <c r="AK38" i="1"/>
  <c r="AK46" i="1"/>
  <c r="AK49" i="1"/>
  <c r="AK53" i="1"/>
  <c r="AK39" i="1"/>
  <c r="AK54" i="1"/>
  <c r="AK55" i="1"/>
  <c r="AK48" i="1"/>
  <c r="AK51" i="1"/>
  <c r="AK52" i="1"/>
  <c r="AK47" i="1"/>
  <c r="AK26" i="1"/>
  <c r="AK17" i="1"/>
  <c r="AK14" i="1"/>
  <c r="AK5" i="1"/>
  <c r="AK11" i="1"/>
  <c r="AK8" i="1"/>
  <c r="AK22" i="1"/>
  <c r="AK12" i="1"/>
  <c r="AJ6" i="1"/>
  <c r="AJ7" i="1"/>
  <c r="AJ9" i="1"/>
  <c r="AJ18" i="1"/>
  <c r="AJ10" i="1"/>
  <c r="AJ13" i="1"/>
  <c r="AJ15" i="1"/>
  <c r="AJ16" i="1"/>
  <c r="AJ21" i="1"/>
  <c r="AJ23" i="1"/>
  <c r="AJ19" i="1"/>
  <c r="AJ42" i="1"/>
  <c r="AJ27" i="1"/>
  <c r="AJ32" i="1"/>
  <c r="AJ30" i="1"/>
  <c r="AJ50" i="1"/>
  <c r="AJ35" i="1"/>
  <c r="AJ34" i="1"/>
  <c r="AJ45" i="1"/>
  <c r="AJ25" i="1"/>
  <c r="AJ29" i="1"/>
  <c r="AJ24" i="1"/>
  <c r="AJ44" i="1"/>
  <c r="AJ36" i="1"/>
  <c r="AJ28" i="1"/>
  <c r="AJ33" i="1"/>
  <c r="AJ20" i="1"/>
  <c r="AJ43" i="1"/>
  <c r="AJ40" i="1"/>
  <c r="AJ31" i="1"/>
  <c r="AJ41" i="1"/>
  <c r="AJ37" i="1"/>
  <c r="AJ38" i="1"/>
  <c r="AJ46" i="1"/>
  <c r="AJ49" i="1"/>
  <c r="AJ53" i="1"/>
  <c r="AJ39" i="1"/>
  <c r="AJ54" i="1"/>
  <c r="AJ55" i="1"/>
  <c r="AJ48" i="1"/>
  <c r="AJ51" i="1"/>
  <c r="AJ52" i="1"/>
  <c r="AJ47" i="1"/>
  <c r="AJ26" i="1"/>
  <c r="AJ17" i="1"/>
  <c r="AJ14" i="1"/>
  <c r="AJ5" i="1"/>
  <c r="AJ11" i="1"/>
  <c r="AJ8" i="1"/>
  <c r="AJ22" i="1"/>
  <c r="AJ12" i="1"/>
  <c r="C36" i="2" l="1"/>
  <c r="C35" i="2"/>
  <c r="C34" i="2"/>
  <c r="C33" i="2"/>
  <c r="B7" i="6"/>
  <c r="C7" i="6"/>
  <c r="D7" i="6"/>
  <c r="E7" i="6"/>
  <c r="F7" i="6"/>
  <c r="B8" i="6"/>
  <c r="C8" i="6"/>
  <c r="D8" i="6"/>
  <c r="E8" i="6"/>
  <c r="F8" i="6"/>
  <c r="B9" i="6"/>
  <c r="C9" i="6"/>
  <c r="D9" i="6"/>
  <c r="E9" i="6"/>
  <c r="F9" i="6"/>
  <c r="B10" i="6"/>
  <c r="C10" i="6"/>
  <c r="D10" i="6"/>
  <c r="E10" i="6"/>
  <c r="F10" i="6"/>
  <c r="B11" i="6"/>
  <c r="C11" i="6"/>
  <c r="D11" i="6"/>
  <c r="E11" i="6"/>
  <c r="F11" i="6"/>
  <c r="B12" i="6"/>
  <c r="C12" i="6"/>
  <c r="D12" i="6"/>
  <c r="E12" i="6"/>
  <c r="F12" i="6"/>
  <c r="B13" i="6"/>
  <c r="C13" i="6"/>
  <c r="D13" i="6"/>
  <c r="E13" i="6"/>
  <c r="F13" i="6"/>
  <c r="B14" i="6"/>
  <c r="C14" i="6"/>
  <c r="D14" i="6"/>
  <c r="E14" i="6"/>
  <c r="F14" i="6"/>
  <c r="B15" i="6"/>
  <c r="C15" i="6"/>
  <c r="D15" i="6"/>
  <c r="E15" i="6"/>
  <c r="F15" i="6"/>
  <c r="B16" i="6"/>
  <c r="C16" i="6"/>
  <c r="D16" i="6"/>
  <c r="E16" i="6"/>
  <c r="F16" i="6"/>
  <c r="B17" i="6"/>
  <c r="C17" i="6"/>
  <c r="D17" i="6"/>
  <c r="E17" i="6"/>
  <c r="F17" i="6"/>
  <c r="B18" i="6"/>
  <c r="C18" i="6"/>
  <c r="D18" i="6"/>
  <c r="E18" i="6"/>
  <c r="F18" i="6"/>
  <c r="B19" i="6"/>
  <c r="C19" i="6"/>
  <c r="D19" i="6"/>
  <c r="E19" i="6"/>
  <c r="F19" i="6"/>
  <c r="B20" i="6"/>
  <c r="C20" i="6"/>
  <c r="D20" i="6"/>
  <c r="E20" i="6"/>
  <c r="F20" i="6"/>
  <c r="B21" i="6"/>
  <c r="C21" i="6"/>
  <c r="D21" i="6"/>
  <c r="E21" i="6"/>
  <c r="F21" i="6"/>
  <c r="B22" i="6"/>
  <c r="C22" i="6"/>
  <c r="D22" i="6"/>
  <c r="E22" i="6"/>
  <c r="F22" i="6"/>
  <c r="B23" i="6"/>
  <c r="C23" i="6"/>
  <c r="D23" i="6"/>
  <c r="E23" i="6"/>
  <c r="F23" i="6"/>
  <c r="B24" i="6"/>
  <c r="C24" i="6"/>
  <c r="D24" i="6"/>
  <c r="E24" i="6"/>
  <c r="F24" i="6"/>
  <c r="B25" i="6"/>
  <c r="C25" i="6"/>
  <c r="D25" i="6"/>
  <c r="E25" i="6"/>
  <c r="F25" i="6"/>
  <c r="B26" i="6"/>
  <c r="C26" i="6"/>
  <c r="D26" i="6"/>
  <c r="E26" i="6"/>
  <c r="F26" i="6"/>
  <c r="B27" i="6"/>
  <c r="C27" i="6"/>
  <c r="D27" i="6"/>
  <c r="E27" i="6"/>
  <c r="F27" i="6"/>
  <c r="B28" i="6"/>
  <c r="C28" i="6"/>
  <c r="D28" i="6"/>
  <c r="E28" i="6"/>
  <c r="F28" i="6"/>
  <c r="B29" i="6"/>
  <c r="C29" i="6"/>
  <c r="D29" i="6"/>
  <c r="E29" i="6"/>
  <c r="F29" i="6"/>
  <c r="B30" i="6"/>
  <c r="C30" i="6"/>
  <c r="D30" i="6"/>
  <c r="E30" i="6"/>
  <c r="F30" i="6"/>
  <c r="B31" i="6"/>
  <c r="C31" i="6"/>
  <c r="D31" i="6"/>
  <c r="E31" i="6"/>
  <c r="F31" i="6"/>
  <c r="B32" i="6"/>
  <c r="C32" i="6"/>
  <c r="D32" i="6"/>
  <c r="E32" i="6"/>
  <c r="F32" i="6"/>
  <c r="B33" i="6"/>
  <c r="C33" i="6"/>
  <c r="D33" i="6"/>
  <c r="E33" i="6"/>
  <c r="F33" i="6"/>
  <c r="B34" i="6"/>
  <c r="C34" i="6"/>
  <c r="D34" i="6"/>
  <c r="E34" i="6"/>
  <c r="F34" i="6"/>
  <c r="B35" i="6"/>
  <c r="C35" i="6"/>
  <c r="D35" i="6"/>
  <c r="E35" i="6"/>
  <c r="F35" i="6"/>
  <c r="B36" i="6"/>
  <c r="C36" i="6"/>
  <c r="D36" i="6"/>
  <c r="E36" i="6"/>
  <c r="F36" i="6"/>
  <c r="B37" i="6"/>
  <c r="C37" i="6"/>
  <c r="D37" i="6"/>
  <c r="E37" i="6"/>
  <c r="F37" i="6"/>
  <c r="B38" i="6"/>
  <c r="C38" i="6"/>
  <c r="D38" i="6"/>
  <c r="E38" i="6"/>
  <c r="F38" i="6"/>
  <c r="B39" i="6"/>
  <c r="C39" i="6"/>
  <c r="D39" i="6"/>
  <c r="E39" i="6"/>
  <c r="F39" i="6"/>
  <c r="B40" i="6"/>
  <c r="C40" i="6"/>
  <c r="D40" i="6"/>
  <c r="E40" i="6"/>
  <c r="F40" i="6"/>
  <c r="B41" i="6"/>
  <c r="C41" i="6"/>
  <c r="D41" i="6"/>
  <c r="E41" i="6"/>
  <c r="F41" i="6"/>
  <c r="B42" i="6"/>
  <c r="C42" i="6"/>
  <c r="D42" i="6"/>
  <c r="E42" i="6"/>
  <c r="F42" i="6"/>
  <c r="B43" i="6"/>
  <c r="C43" i="6"/>
  <c r="D43" i="6"/>
  <c r="E43" i="6"/>
  <c r="F43" i="6"/>
  <c r="B44" i="6"/>
  <c r="C44" i="6"/>
  <c r="D44" i="6"/>
  <c r="E44" i="6"/>
  <c r="F44" i="6"/>
  <c r="B45" i="6"/>
  <c r="C45" i="6"/>
  <c r="D45" i="6"/>
  <c r="E45" i="6"/>
  <c r="F45" i="6"/>
  <c r="B46" i="6"/>
  <c r="C46" i="6"/>
  <c r="D46" i="6"/>
  <c r="E46" i="6"/>
  <c r="F46" i="6"/>
  <c r="B47" i="6"/>
  <c r="C47" i="6"/>
  <c r="D47" i="6"/>
  <c r="E47" i="6"/>
  <c r="F47" i="6"/>
  <c r="B48" i="6"/>
  <c r="C48" i="6"/>
  <c r="D48" i="6"/>
  <c r="E48" i="6"/>
  <c r="F48" i="6"/>
  <c r="B49" i="6"/>
  <c r="C49" i="6"/>
  <c r="D49" i="6"/>
  <c r="E49" i="6"/>
  <c r="F49" i="6"/>
  <c r="B50" i="6"/>
  <c r="C50" i="6"/>
  <c r="D50" i="6"/>
  <c r="E50" i="6"/>
  <c r="F50" i="6"/>
  <c r="B51" i="6"/>
  <c r="C51" i="6"/>
  <c r="D51" i="6"/>
  <c r="E51" i="6"/>
  <c r="F51" i="6"/>
  <c r="B52" i="6"/>
  <c r="C52" i="6"/>
  <c r="D52" i="6"/>
  <c r="E52" i="6"/>
  <c r="F52" i="6"/>
  <c r="B53" i="6"/>
  <c r="C53" i="6"/>
  <c r="D53" i="6"/>
  <c r="E53" i="6"/>
  <c r="F53" i="6"/>
  <c r="B54" i="6"/>
  <c r="C54" i="6"/>
  <c r="D54" i="6"/>
  <c r="E54" i="6"/>
  <c r="F54" i="6"/>
  <c r="B55" i="6"/>
  <c r="C55" i="6"/>
  <c r="D55" i="6"/>
  <c r="E55" i="6"/>
  <c r="F55" i="6"/>
  <c r="B56" i="6"/>
  <c r="C56" i="6"/>
  <c r="D56" i="6"/>
  <c r="E56" i="6"/>
  <c r="F56" i="6"/>
  <c r="B57" i="6"/>
  <c r="C57" i="6"/>
  <c r="D57" i="6"/>
  <c r="E57" i="6"/>
  <c r="F57" i="6"/>
  <c r="B58" i="6"/>
  <c r="C58" i="6"/>
  <c r="D58" i="6"/>
  <c r="E58" i="6"/>
  <c r="F58" i="6"/>
  <c r="B59" i="6"/>
  <c r="C59" i="6"/>
  <c r="D59" i="6"/>
  <c r="E59" i="6"/>
  <c r="F59" i="6"/>
  <c r="H59" i="6"/>
  <c r="C21" i="5"/>
  <c r="C24" i="5" s="1"/>
  <c r="C20" i="5"/>
  <c r="C23" i="5" s="1"/>
  <c r="C9" i="5"/>
  <c r="C11" i="5" s="1"/>
  <c r="L9" i="6" l="1"/>
  <c r="L10" i="6"/>
  <c r="L12" i="6"/>
  <c r="L7" i="6" a="1"/>
  <c r="L7" i="6" s="1"/>
  <c r="L8" i="6"/>
  <c r="L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EAD19A-32AF-480A-AB03-869D84C02257}" keepAlive="1" name="Query - Hotspot products with footprint - processed (2)" description="Connection to the 'Hotspot products with footprint - processed (2)' query in the workbook." type="5" refreshedVersion="7" background="1" saveData="1">
    <dbPr connection="Provider=Microsoft.Mashup.OleDb.1;Data Source=$Workbook$;Location=&quot;Hotspot products with footprint - processed (2)&quot;;Extended Properties=&quot;&quot;" command="SELECT * FROM [Hotspot products with footprint - processed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<sst xmlns="http://schemas.openxmlformats.org/spreadsheetml/2006/main" count="332" uniqueCount="282">
  <si>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</si>
  <si>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</si>
  <si>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</si>
  <si>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</si>
  <si>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</si>
  <si>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</si>
  <si>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</si>
  <si>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</si>
  <si>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(Thibaut Lecompte)</t>
  </si>
  <si>
    <t>thibaut.lecompte@univ-ubs.fr</t>
  </si>
  <si>
    <t>Contact (Lorie Hamelin)</t>
  </si>
  <si>
    <t>lorie.hamelin@insa-toulouse.fr</t>
  </si>
  <si>
    <t>Description</t>
  </si>
  <si>
    <t>Note</t>
  </si>
  <si>
    <t>Git repository (Forge INRAE)</t>
  </si>
  <si>
    <t>https://forge.inrae.fr/nicolas.lienart/screen-lca-paper-supplementary-code</t>
  </si>
  <si>
    <t>Git repository (GitHub)</t>
  </si>
  <si>
    <t>https://github.com/nicolnt/screen-lca-paper-supplementary-code</t>
  </si>
  <si>
    <t>Updates</t>
  </si>
  <si>
    <t>Date</t>
  </si>
  <si>
    <t>Ready for submission</t>
  </si>
  <si>
    <t>Sheet structure</t>
  </si>
  <si>
    <t>Sheet name</t>
  </si>
  <si>
    <t>README</t>
  </si>
  <si>
    <t>This sheet. Contains meta information about this Excel file and its structure.</t>
  </si>
  <si>
    <t>Figure 2 data</t>
  </si>
  <si>
    <t>Long name</t>
  </si>
  <si>
    <t>Figure name</t>
  </si>
  <si>
    <t>Polyethylene</t>
  </si>
  <si>
    <t>Polypropylene, in primary forms</t>
  </si>
  <si>
    <t>Polypropylene</t>
  </si>
  <si>
    <t>Polystyrene</t>
  </si>
  <si>
    <t>Propene (propylene)</t>
  </si>
  <si>
    <t>Propylene</t>
  </si>
  <si>
    <t>Ethylene</t>
  </si>
  <si>
    <t>Polyethylene terephthalate</t>
  </si>
  <si>
    <t>Benzene</t>
  </si>
  <si>
    <t>Polyvinyl chloride</t>
  </si>
  <si>
    <t>Phthalic anhydride; terephthalic acid and its salts</t>
  </si>
  <si>
    <t>Terephthalic acid</t>
  </si>
  <si>
    <t>Polyamide -6 (PA 6)</t>
  </si>
  <si>
    <t>Polyamide -6</t>
  </si>
  <si>
    <t>Styrene</t>
  </si>
  <si>
    <t>Polyamide -6,6 (PA 66)</t>
  </si>
  <si>
    <t>Polyamide -6,6</t>
  </si>
  <si>
    <t>Methanol (methyl alcohol)</t>
  </si>
  <si>
    <t>Methanol</t>
  </si>
  <si>
    <t>Buta-1,3-diene and isoprene</t>
  </si>
  <si>
    <t>Butadiene</t>
  </si>
  <si>
    <t>Methyloxirane (propylene oxide)</t>
  </si>
  <si>
    <t>Propylene oxide</t>
  </si>
  <si>
    <t>Polyvinyl acetate</t>
  </si>
  <si>
    <t>Adipic acid; its salts and esters</t>
  </si>
  <si>
    <t>Adipic acid</t>
  </si>
  <si>
    <t>Butene (butylene) and isomers thereof</t>
  </si>
  <si>
    <t>Butylene</t>
  </si>
  <si>
    <t>Acrylonitrile-butadiene-styrene (ABS) copolymers, in primary forms</t>
  </si>
  <si>
    <t>ABS</t>
  </si>
  <si>
    <t>Aniline and its salts (excluding derivatives)</t>
  </si>
  <si>
    <t>Aniline</t>
  </si>
  <si>
    <t>Methylene diphenyl diisocyanate (MDI)</t>
  </si>
  <si>
    <t>Methylene diphenyl diisocyanate</t>
  </si>
  <si>
    <t>Esters of acrylic acid</t>
  </si>
  <si>
    <t>Ethylene glycol (ethanediol)</t>
  </si>
  <si>
    <t>Ethylene glycol</t>
  </si>
  <si>
    <t>Acetone</t>
  </si>
  <si>
    <t>Acetic acid</t>
  </si>
  <si>
    <t>Esters of methacrylic acid</t>
  </si>
  <si>
    <t>Methyl methacrylate</t>
  </si>
  <si>
    <t>Cyclohexane</t>
  </si>
  <si>
    <t>Hexamethylenediamine and its salts; ethylenediamine and its salts</t>
  </si>
  <si>
    <t>Hexamethylenediamine</t>
  </si>
  <si>
    <t>Toluene</t>
  </si>
  <si>
    <t>Oxirane (ethylene oxide)</t>
  </si>
  <si>
    <t>Ethylene oxide</t>
  </si>
  <si>
    <t>Ethylene-vinyl acetate copolymers, in primary forms</t>
  </si>
  <si>
    <t>Ethylene-vinyl acetate</t>
  </si>
  <si>
    <t>Cumene</t>
  </si>
  <si>
    <t>Butan-1-ol (n-butyl alcohol)</t>
  </si>
  <si>
    <t>n-Butanol</t>
  </si>
  <si>
    <t>p-Xylene</t>
  </si>
  <si>
    <t>Propylene glycol (propane-1,2-diol)</t>
  </si>
  <si>
    <t>Propylene glycol</t>
  </si>
  <si>
    <t>Acrylonitrile</t>
  </si>
  <si>
    <t>Propan-1-ol (propyl alcohol) and propan-2-ol (isopropyl alcohol)</t>
  </si>
  <si>
    <t>Isopropanol</t>
  </si>
  <si>
    <t>Vinyl chloride (chloroethylene)</t>
  </si>
  <si>
    <t>Vinyl chloride</t>
  </si>
  <si>
    <t>1,2-Dichloroethane (ethylene dichloride)</t>
  </si>
  <si>
    <t>Ethylene dichloride</t>
  </si>
  <si>
    <t>Butanal (butyraldehyde; normal isomer)</t>
  </si>
  <si>
    <t>Butanal</t>
  </si>
  <si>
    <t>Ethylbenzene</t>
  </si>
  <si>
    <t>Ethyl acetate</t>
  </si>
  <si>
    <t>Toluene diisocyanate (TDI)</t>
  </si>
  <si>
    <t>Toluene diisocyanate</t>
  </si>
  <si>
    <t>Polyacetals, in primary forms</t>
  </si>
  <si>
    <t>Polyoxymethylene</t>
  </si>
  <si>
    <t>Methanal (formaldehyde)</t>
  </si>
  <si>
    <t>Formaldehyde</t>
  </si>
  <si>
    <t>Acetic anhydride</t>
  </si>
  <si>
    <t>4,4-Isopropylidenediphenol (bisphenol A; diphenylolpropane) and its salts</t>
  </si>
  <si>
    <t>Bisphenol A</t>
  </si>
  <si>
    <t>m-Xylene and mixed xylene isomers</t>
  </si>
  <si>
    <t>m-Xylene</t>
  </si>
  <si>
    <t>2,2-Oxydiethanol (diethylene glycol; digol)</t>
  </si>
  <si>
    <t>Diethylene glycol</t>
  </si>
  <si>
    <t>o-Xylene</t>
  </si>
  <si>
    <t>Sheet description:</t>
  </si>
  <si>
    <t>Quantity (Mt/yr)</t>
  </si>
  <si>
    <t>Local production share of available quantity (%)</t>
  </si>
  <si>
    <t>Carbon mass share</t>
  </si>
  <si>
    <t>propylene - ecoinvent-3.11-cutoff</t>
  </si>
  <si>
    <t>ethylene - ecoinvent-3.11-cutoff</t>
  </si>
  <si>
    <t>methanol - ecoinvent-3.11-cutoff</t>
  </si>
  <si>
    <t>xylene, mixed - ecoinvent-3.11-cutoff</t>
  </si>
  <si>
    <t>o-xylene - ecoinvent-3.11-cutoff</t>
  </si>
  <si>
    <t>p-xylene - ecoinvent-3.11-cutoff</t>
  </si>
  <si>
    <t>toluene, liquid - ecoinvent-3.11-cutoff</t>
  </si>
  <si>
    <t>benzene - ecoinvent-3.11-cutoff</t>
  </si>
  <si>
    <t>Unit GHG footprint without end-of-life (IPCC 2021 GWP100, kg CO2e/kg) - ecoinvent-3.11-cutoff</t>
  </si>
  <si>
    <t>Unit GHG footprint of local production share (IPCC 2021 GWP100, kg CO2e/kg) - ecoinvent-3.11-cutoff</t>
  </si>
  <si>
    <t>propylene - ecoinvent-3.12-cutoff</t>
  </si>
  <si>
    <t>ethylene - ecoinvent-3.12-cutoff</t>
  </si>
  <si>
    <t>methanol - ecoinvent-3.12-cutoff</t>
  </si>
  <si>
    <t>xylene, mixed - ecoinvent-3.12-cutoff</t>
  </si>
  <si>
    <t>o-xylene - ecoinvent-3.12-cutoff</t>
  </si>
  <si>
    <t>p-xylene - ecoinvent-3.12-cutoff</t>
  </si>
  <si>
    <t>toluene, liquid - ecoinvent-3.12-cutoff</t>
  </si>
  <si>
    <t>benzene - ecoinvent-3.12-cutoff</t>
  </si>
  <si>
    <t>Unit GHG footprint without end-of-life (IPCC 2021 GWP100, kg CO2e/kg) - ecoinvent-3.12-cutoff</t>
  </si>
  <si>
    <t>Unit GHG footprint of local production share (IPCC 2021 GWP100, kg CO2e/kg) - ecoinvent-3.12-cutoff</t>
  </si>
  <si>
    <t>Unit GHG footprint with end-of-life (IPCC 2021 GWP100, kg CO2e/kg) - ecoinvent-3.11-cutoff</t>
  </si>
  <si>
    <t>Total GHG footprint without end-of-life (IPCC 2021 GWP100, kg CO2e/kg) - ecoinvent-3.11-cutoff</t>
  </si>
  <si>
    <t>Total GHG footprint with end-of-life (IPCC 2021 GWP100, kg CO2e/kg) - ecoinvent-3.11-cutoff</t>
  </si>
  <si>
    <t>Unit GHG footprint with end-of-life (IPCC 2021 GWP100, kg CO2e/kg) - ecoinvent-3.12-cutoff</t>
  </si>
  <si>
    <t>Total GHG footprint without end-of-life (IPCC 2021 GWP100, kg CO2e/kg) - ecoinvent-3.12-cutoff</t>
  </si>
  <si>
    <t>Total GHG footprint with end-of-life (IPCC 2021 GWP100, kg CO2e/kg) - ecoinvent-3.12-cutoff</t>
  </si>
  <si>
    <t>Unit GHG footprint of BTX (IPCC 2021 GWP100, kg CO2e/kg) - ecoinvent-3.11-cutoff</t>
  </si>
  <si>
    <t>Unit GHG footprint of BTX (IPCC 2021 GWP100, kg CO2e/kg) - ecoinvent-3.12-cutoff</t>
  </si>
  <si>
    <t>Chloromethane (methyl chloride) and chloroethane (ethyl chloride)</t>
  </si>
  <si>
    <t>Chloromethane</t>
  </si>
  <si>
    <t/>
  </si>
  <si>
    <t>PA 6</t>
  </si>
  <si>
    <t>kg/kg PA6</t>
  </si>
  <si>
    <t>PA 66</t>
  </si>
  <si>
    <t>Hexamethylene diamine</t>
  </si>
  <si>
    <t>kg/kg PA66</t>
  </si>
  <si>
    <t>kg CO2-eq/kg</t>
  </si>
  <si>
    <t>Adipic acid BTX footprint</t>
  </si>
  <si>
    <t>Hexamethylene diamine propylene footprint</t>
  </si>
  <si>
    <t>PA-6 and PA-6,6</t>
  </si>
  <si>
    <t>% change from 3.11 to 3.12</t>
  </si>
  <si>
    <t>GLO</t>
  </si>
  <si>
    <t>CN</t>
  </si>
  <si>
    <t>ZA</t>
  </si>
  <si>
    <t>RER</t>
  </si>
  <si>
    <t>US</t>
  </si>
  <si>
    <t>activity</t>
  </si>
  <si>
    <t>market for polypropylene, granulate</t>
  </si>
  <si>
    <t>market for ethylene</t>
  </si>
  <si>
    <t>market for propylene</t>
  </si>
  <si>
    <t>market for polyethylene, high density, granulate</t>
  </si>
  <si>
    <t>market for methanol</t>
  </si>
  <si>
    <t>market for benzene</t>
  </si>
  <si>
    <t>market for polyvinyl chloride, emulsion polymerised</t>
  </si>
  <si>
    <t>market for polyethylene, low density, granulate</t>
  </si>
  <si>
    <t>market for polyethylene, linear low density, granulate</t>
  </si>
  <si>
    <t>market for styrene</t>
  </si>
  <si>
    <t>market for purified terephthalic acid</t>
  </si>
  <si>
    <t>market for polyethylene terephthalate, granulate, amorphous</t>
  </si>
  <si>
    <t>market for butadiene</t>
  </si>
  <si>
    <t>market for butene, mixed</t>
  </si>
  <si>
    <t>market for polystyrene, expandable</t>
  </si>
  <si>
    <t>market for ethylene glycol</t>
  </si>
  <si>
    <t>market for propylene oxide, liquid</t>
  </si>
  <si>
    <t>market for polystyrene, extruded</t>
  </si>
  <si>
    <t>market for ethylene dichloride</t>
  </si>
  <si>
    <t>market for p-xylene</t>
  </si>
  <si>
    <t>market for toluene, liquid</t>
  </si>
  <si>
    <t>market for acetone, liquid</t>
  </si>
  <si>
    <t>market for formaldehyde</t>
  </si>
  <si>
    <t>market for vinyl acetate</t>
  </si>
  <si>
    <t>market for acetic acid</t>
  </si>
  <si>
    <t>market for ethylene oxide</t>
  </si>
  <si>
    <t>market for vinyl chloride</t>
  </si>
  <si>
    <t>market for aniline</t>
  </si>
  <si>
    <t>market for propylene glycol, liquid</t>
  </si>
  <si>
    <t>market for acrylonitrile-butadiene-styrene copolymer</t>
  </si>
  <si>
    <t>market for xylene, mixed</t>
  </si>
  <si>
    <t>market for polyvinyl chloride, suspension polymerised</t>
  </si>
  <si>
    <t>market for cumene</t>
  </si>
  <si>
    <t>market for acrylonitrile</t>
  </si>
  <si>
    <t>market for cyclohexane</t>
  </si>
  <si>
    <t>market for adipic acid</t>
  </si>
  <si>
    <t>market for isopropanol</t>
  </si>
  <si>
    <t>market for ethyl benzene</t>
  </si>
  <si>
    <t>market for butyl acrylate</t>
  </si>
  <si>
    <t>market for ethylene vinyl acetate copolymer</t>
  </si>
  <si>
    <t>market for n-butanol</t>
  </si>
  <si>
    <t>market for hexamethylenediamine</t>
  </si>
  <si>
    <t>market for ethyl acetate</t>
  </si>
  <si>
    <t>market for diethylene glycol</t>
  </si>
  <si>
    <t>market for methyl methacrylate</t>
  </si>
  <si>
    <t>market for o-xylene</t>
  </si>
  <si>
    <t>market for methyl chloride</t>
  </si>
  <si>
    <t>market for bisphenol A, powder</t>
  </si>
  <si>
    <t>market for acetic anhydride</t>
  </si>
  <si>
    <t>market for toluene diisocyanate</t>
  </si>
  <si>
    <t>market for methylene diphenyl diisocyanate</t>
  </si>
  <si>
    <t>market for nylon 6-6</t>
  </si>
  <si>
    <t>market for nylon 6</t>
  </si>
  <si>
    <t>location</t>
  </si>
  <si>
    <t>MEAN</t>
  </si>
  <si>
    <t>MEDIAN</t>
  </si>
  <si>
    <t>MIN</t>
  </si>
  <si>
    <t>MAX</t>
  </si>
  <si>
    <t>STDEV.P</t>
  </si>
  <si>
    <t>N (not empty)</t>
  </si>
  <si>
    <t>Note:</t>
  </si>
  <si>
    <t>Unit footprint difference from 3.11 to 3.12</t>
  </si>
  <si>
    <t>Add sensitivity analysis</t>
  </si>
  <si>
    <t>Update data and add Polyamides calculations</t>
  </si>
  <si>
    <t>Location sensitivity analysis</t>
  </si>
  <si>
    <t>EI version total sensitivity</t>
  </si>
  <si>
    <t>Column: "Unit GHG footprint of BTX (IPCC 2021 GWP100, kg CO2e/kg) - ecoinvent-3.12-cutoff"</t>
  </si>
  <si>
    <t>Column: "propylene - ecoinvent-3.12-cutoff"</t>
  </si>
  <si>
    <t>PA-6,6 unit production footprint (without EoL)</t>
  </si>
  <si>
    <t>PA-6,6 propylene footprint</t>
  </si>
  <si>
    <t>PA-6,6 BTX footprint</t>
  </si>
  <si>
    <t>PA-6 BTX footprint</t>
  </si>
  <si>
    <t>PA-6 unit production footprint (without EoL)</t>
  </si>
  <si>
    <t>Column: "Unit GHG footprint without end-of-life (IPCC 2021 GWP100, kg CO2e/kg) - ecoinvent-3.12-cutoff"</t>
  </si>
  <si>
    <t>% unit production footprint (without EoL)</t>
  </si>
  <si>
    <t>Fixed PA-6 and PA-6,6 contributions</t>
  </si>
  <si>
    <t>Unit impact of end-of-life (kg CO2/kg) - ecoinvent-3.11-cutoff</t>
  </si>
  <si>
    <t>Unit impact of end-of-life (kg CO2/kg) - ecoinvent-3.12-cutoff</t>
  </si>
  <si>
    <t>Total GHG footprint with end-of-life (IPCC 2021 GWP100, ranking) - ecoinvent-3.12-cutoff</t>
  </si>
  <si>
    <t>Total GHG footprint with end-of-life (IPCC 2021 GWP100, ranking) - ecoinvent-3.11-cutoff</t>
  </si>
  <si>
    <t>Results</t>
  </si>
  <si>
    <t>Cell color nomenclature</t>
  </si>
  <si>
    <t>Style name</t>
  </si>
  <si>
    <t>Color</t>
  </si>
  <si>
    <t>Example 1</t>
  </si>
  <si>
    <t>Example 2</t>
  </si>
  <si>
    <t>Example 3</t>
  </si>
  <si>
    <t>Data Reference</t>
  </si>
  <si>
    <t>Data with reference (input)</t>
  </si>
  <si>
    <t>grey background</t>
  </si>
  <si>
    <t>Formula</t>
  </si>
  <si>
    <t>Cell performing calculations using other cells</t>
  </si>
  <si>
    <t>blue</t>
  </si>
  <si>
    <t>Data Linked Cell</t>
  </si>
  <si>
    <t>Cell refering to another, without transformation</t>
  </si>
  <si>
    <t>brown, italics</t>
  </si>
  <si>
    <t>Text Reference</t>
  </si>
  <si>
    <t>Reference text</t>
  </si>
  <si>
    <t>small, grey, italic</t>
  </si>
  <si>
    <t>Bohers, 2024 - Com. Pers.</t>
  </si>
  <si>
    <t>(Muñoz and Weidema, 2024, p. 4)</t>
  </si>
  <si>
    <t>[2]</t>
  </si>
  <si>
    <t>Text Unit</t>
  </si>
  <si>
    <t>Unit</t>
  </si>
  <si>
    <t>small, centered</t>
  </si>
  <si>
    <t>kt.km</t>
  </si>
  <si>
    <t>MJ LHV/kg DM</t>
  </si>
  <si>
    <t>°C</t>
  </si>
  <si>
    <t>Update figure 2 data and cleanings</t>
  </si>
  <si>
    <t>='[Step 3 - PRODCOM results.xlsx]Split Polyamides &amp; Isocyanates'!$C$21</t>
  </si>
  <si>
    <t>='[Step 3 - PRODCOM results.xlsx]Split Polyamides &amp; Isocyanates'!$C$22</t>
  </si>
  <si>
    <t>='[Step 3 - PRODCOM results.xlsx]Split Polyamides &amp; Isocyanates'!$C$13</t>
  </si>
  <si>
    <t>Neither Ecoinvent 3.11 nor 3.12 report the raw materials for "nylon 6-6" (PA-6,6) and "nylon 6" (PA-6). We estimate the contribution here, which we adapted onto Figure 2B of the main manuscript (signaled by an asterisk).</t>
  </si>
  <si>
    <t>Sensitivity analysis of Ecoinvent versions 3.11 and 3.12 after aggration of the footprint across regions.</t>
  </si>
  <si>
    <t>Statistical analysis of the relative differences between the unit production footprints calculated using Ecoinvent 3.12, compared to when calculated with Ecoinvent 3.11. Remember that the footprint is an aggregated result which often represents a mix of supplying regions. Accounted without the end of life (only production). Refer to SM document for additional information.</t>
  </si>
  <si>
    <t>Sensitivity analysis of Ecoinvent versions 3.11 and 3.12 for similar selected products and regions.</t>
  </si>
  <si>
    <t xml:space="preserve">Ecoinvent licence does not allow to provide raw unit footprint data.
</t>
  </si>
  <si>
    <t>Background data of main manuscript's figure 2 and hotspot products ranking.</t>
  </si>
  <si>
    <t>Some columns were added to the input file "Hotspot products with footprint - processed.csv". These are: "Unit footprint difference from 3.11 to 3.12" which you can find the use in the sheet "EI version total sensitivity". Whereas the two last columns at the right list products rank in terms of their total GHG footprint including end-of-life.</t>
  </si>
  <si>
    <t>Estimated contribution of some key intermediates to the unit footprint of polyamides (PA-6 and PA-6,6).</t>
  </si>
  <si>
    <t>This file is contains the underlying data used to generate the Figure 2 in the main manuscript. It is corresponds to "Output_data/Hotspot products with footprint - processed.csv" file, generated by the following Python notebook: "Python_notebooks/Calculate hotspot products footprints and contributions.ipynb".
The estimated GHG footprint of the production of the top products in the EU27, derived from the different representative origins. The upstream GHG footprint contribution of ethylene, propylene, methanol and BTX to the products’ footprint. GHG footprint estimated of the end of life of these products. Estimated total footprint, excluding the use phase, considered irrelevant due to the scope of this study.</t>
  </si>
  <si>
    <t>This file is part of a set of supplementary materials. Please refer to the main manuscript and the accompanying document to find other materials and for more information on the usage.</t>
  </si>
  <si>
    <t>Update descriptions (README and sheets) + cleanings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</si>
</sst>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6"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0"/>
      <color theme="4"/>
      <name val="Arial"/>
      <family val="2"/>
    </font>
    <font>
      <i/>
      <sz val="10"/>
      <color rgb="FFCC6600"/>
      <name val="Arial"/>
      <family val="2"/>
    </font>
    <font>
      <sz val="9"/>
      <color theme="4" tint="0.39997558519241921"/>
      <name val="Arial"/>
      <family val="2"/>
    </font>
    <font>
      <sz val="10"/>
      <name val="Arial"/>
      <family val="2"/>
    </font>
    <font>
      <b/>
      <sz val="11"/>
      <color theme="3"/>
      <name val="Calibri"/>
      <family val="2"/>
      <scheme val="minor"/>
    </font>
    <font>
      <sz val="9"/>
      <color theme="1"/>
      <name val="Arial"/>
      <family val="2"/>
    </font>
    <font>
      <sz val="18"/>
      <color theme="3"/>
      <name val="Calibri Light"/>
      <family val="2"/>
      <scheme val="major"/>
    </font>
    <font>
      <sz val="8"/>
      <name val="Calibri"/>
      <family val="2"/>
      <scheme val="minor"/>
    </font>
    <font>
      <sz val="9"/>
      <color rgb="FFFF0000"/>
      <name val="Arial"/>
      <family val="2"/>
    </font>
    <font>
      <i/>
      <sz val="9"/>
      <color rgb="FF808080"/>
      <name val="Arial"/>
      <family val="2"/>
    </font>
  </fonts>
  <fills count="7">
    <fill>
      <patternFill patternType="none"/>
    </fill>
    <fill>
      <patternFill patternType="gray125"/>
    </fill>
    <fill>
      <patternFill patternType="solid">
        <fgColor theme="4"/>
      </patternFill>
    </fill>
    <fill>
      <patternFill patternType="solid">
        <fgColor theme="2"/>
        <bgColor indexed="64"/>
      </patternFill>
    </fill>
    <fill>
      <patternFill patternType="solid">
        <fgColor rgb="FFFFE1E1"/>
        <bgColor indexed="64"/>
      </patternFill>
    </fill>
    <fill>
      <patternFill patternType="solid">
        <fgColor rgb="FFFFC000"/>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theme="4" tint="0.39997558519241921"/>
      </bottom>
      <diagonal/>
    </border>
    <border>
      <left/>
      <right/>
      <top style="medium">
        <color indexed="64"/>
      </top>
      <bottom/>
      <diagonal/>
    </border>
    <border>
      <left/>
      <right/>
      <top/>
      <bottom style="medium">
        <color indexed="64"/>
      </bottom>
      <diagonal/>
    </border>
  </borders>
  <cellStyleXfs count="16">
    <xf numFmtId="0" fontId="0" fillId="0" borderId="0"/>
    <xf numFmtId="0" fontId="1" fillId="0" borderId="1" applyNumberFormat="0" applyFill="0" applyAlignment="0" applyProtection="0"/>
    <xf numFmtId="0" fontId="2" fillId="0" borderId="2" applyNumberFormat="0" applyFill="0" applyAlignment="0" applyProtection="0"/>
    <xf numFmtId="0" fontId="4" fillId="2" borderId="0" applyNumberFormat="0" applyBorder="0" applyAlignment="0" applyProtection="0"/>
    <xf numFmtId="0" fontId="5" fillId="0" borderId="0" applyNumberFormat="0" applyFill="0" applyBorder="0" applyAlignment="0" applyProtection="0"/>
    <xf numFmtId="0" fontId="6" fillId="0" borderId="0" applyNumberFormat="0" applyBorder="0" applyAlignment="0" applyProtection="0"/>
    <xf numFmtId="0" fontId="7" fillId="0" borderId="0" applyNumberFormat="0" applyBorder="0" applyAlignment="0" applyProtection="0"/>
    <xf numFmtId="0" fontId="8" fillId="0" borderId="0" applyNumberFormat="0" applyBorder="0" applyAlignment="0" applyProtection="0">
      <alignment vertical="top"/>
    </xf>
    <xf numFmtId="0" fontId="9" fillId="3" borderId="0" applyNumberFormat="0" applyBorder="0" applyAlignment="0" applyProtection="0"/>
    <xf numFmtId="0" fontId="10" fillId="0" borderId="9" applyNumberFormat="0" applyFill="0" applyAlignment="0" applyProtection="0"/>
    <xf numFmtId="0" fontId="11" fillId="0" borderId="0" applyNumberFormat="0" applyBorder="0" applyAlignment="0" applyProtection="0">
      <alignment horizontal="left" vertical="center" indent="1"/>
    </xf>
    <xf numFmtId="0" fontId="12" fillId="0" borderId="0" applyNumberFormat="0" applyFill="0" applyBorder="0" applyAlignment="0" applyProtection="0"/>
    <xf numFmtId="0" fontId="9" fillId="4" borderId="0" applyNumberFormat="0" applyBorder="0" applyAlignment="0" applyProtection="0"/>
    <xf numFmtId="0" fontId="9" fillId="5" borderId="0" applyNumberFormat="0" applyBorder="0" applyAlignment="0" applyProtection="0"/>
    <xf numFmtId="0" fontId="14" fillId="6" borderId="0" applyNumberFormat="0" applyBorder="0" applyAlignment="0" applyProtection="0"/>
    <xf numFmtId="0" fontId="15" fillId="0" borderId="0" applyNumberFormat="0" applyBorder="0" applyAlignment="0" applyProtection="0"/>
  </cellStyleXfs>
  <cellXfs count="55">
    <xf numFmtId="0" fontId="0" fillId="0" borderId="0" xfId="0"/>
    <xf numFmtId="0" fontId="6" fillId="0" borderId="0" xfId="5" applyBorder="1"/>
    <xf numFmtId="0" fontId="1" fillId="0" borderId="1" xfId="1"/>
    <xf numFmtId="0" fontId="2" fillId="0" borderId="2" xfId="2"/>
    <xf numFmtId="0" fontId="5" fillId="0" borderId="0" xfId="4"/>
    <xf numFmtId="0" fontId="0" fillId="0" borderId="0" xfId="0" applyAlignment="1">
      <alignment wrapText="1"/>
    </xf>
    <xf numFmtId="0" fontId="5" fillId="0" borderId="0" xfId="4" applyAlignment="1">
      <alignment wrapText="1"/>
    </xf>
    <xf numFmtId="0" fontId="3" fillId="2" borderId="3" xfId="3" applyFont="1" applyBorder="1" applyAlignment="1">
      <alignment horizontal="center"/>
    </xf>
    <xf numFmtId="0" fontId="3" fillId="2" borderId="4" xfId="3" applyFont="1" applyBorder="1" applyAlignment="1">
      <alignment horizontal="left"/>
    </xf>
    <xf numFmtId="14" fontId="0" fillId="0" borderId="5" xfId="0" applyNumberFormat="1"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5" fillId="0" borderId="5" xfId="4" applyBorder="1" applyAlignment="1">
      <alignment horizontal="center"/>
    </xf>
    <xf numFmtId="0" fontId="7" fillId="0" borderId="6" xfId="6" applyBorder="1"/>
    <xf numFmtId="0" fontId="0" fillId="0" borderId="0" xfId="0" applyNumberFormat="1"/>
    <xf numFmtId="0" fontId="10" fillId="0" borderId="9" xfId="9"/>
    <xf numFmtId="0" fontId="6" fillId="0" borderId="0" xfId="5"/>
    <xf numFmtId="10" fontId="6" fillId="0" borderId="0" xfId="5" applyNumberFormat="1"/>
    <xf numFmtId="0" fontId="5" fillId="0" borderId="7" xfId="4" applyBorder="1" applyAlignment="1">
      <alignment horizontal="center"/>
    </xf>
    <xf numFmtId="0" fontId="7" fillId="0" borderId="8" xfId="6" applyBorder="1"/>
    <xf numFmtId="0" fontId="0" fillId="0" borderId="0" xfId="0" applyBorder="1"/>
    <xf numFmtId="14" fontId="0" fillId="0" borderId="7" xfId="0" applyNumberFormat="1" applyBorder="1" applyAlignment="1">
      <alignment horizontal="center"/>
    </xf>
    <xf numFmtId="0" fontId="6" fillId="0" borderId="0" xfId="5" applyNumberFormat="1"/>
    <xf numFmtId="0" fontId="12" fillId="0" borderId="8" xfId="11" applyBorder="1"/>
    <xf numFmtId="0" fontId="3" fillId="2" borderId="7" xfId="3" applyFont="1" applyBorder="1" applyAlignment="1">
      <alignment horizontal="center"/>
    </xf>
    <xf numFmtId="0" fontId="3" fillId="2" borderId="5" xfId="3" applyFont="1" applyBorder="1" applyAlignment="1">
      <alignment horizontal="center"/>
    </xf>
    <xf numFmtId="0" fontId="6" fillId="0" borderId="4" xfId="5" applyBorder="1" applyAlignment="1">
      <alignment horizontal="center"/>
    </xf>
    <xf numFmtId="164" fontId="6" fillId="0" borderId="8" xfId="5" applyNumberFormat="1" applyBorder="1" applyAlignment="1">
      <alignment horizontal="center"/>
    </xf>
    <xf numFmtId="164" fontId="6" fillId="0" borderId="6" xfId="5" applyNumberFormat="1" applyBorder="1" applyAlignment="1">
      <alignment horizontal="center"/>
    </xf>
    <xf numFmtId="164" fontId="6" fillId="0" borderId="4" xfId="5" applyNumberFormat="1" applyBorder="1" applyAlignment="1">
      <alignment horizontal="center"/>
    </xf>
    <xf numFmtId="0" fontId="0" fillId="0" borderId="5" xfId="0" applyBorder="1" applyAlignment="1">
      <alignment horizontal="center"/>
    </xf>
    <xf numFmtId="9" fontId="6" fillId="0" borderId="0" xfId="5" applyNumberFormat="1"/>
    <xf numFmtId="0" fontId="0" fillId="0" borderId="0" xfId="0" applyBorder="1" applyAlignment="1">
      <alignment wrapText="1"/>
    </xf>
    <xf numFmtId="0" fontId="11" fillId="0" borderId="6" xfId="10" applyBorder="1" applyAlignment="1">
      <alignment horizontal="left"/>
    </xf>
    <xf numFmtId="0" fontId="11" fillId="0" borderId="11" xfId="10" applyBorder="1" applyAlignment="1">
      <alignment horizontal="left"/>
    </xf>
    <xf numFmtId="0" fontId="11" fillId="0" borderId="0" xfId="10" applyAlignment="1">
      <alignment horizontal="left"/>
    </xf>
    <xf numFmtId="0" fontId="0" fillId="0" borderId="0" xfId="0"/>
    <xf numFmtId="0" fontId="15" fillId="0" borderId="0" xfId="15" applyBorder="1"/>
    <xf numFmtId="0" fontId="2" fillId="0" borderId="2" xfId="2"/>
    <xf numFmtId="0" fontId="3" fillId="2" borderId="3" xfId="3" applyFont="1" applyBorder="1" applyAlignment="1">
      <alignment horizontal="center"/>
    </xf>
    <xf numFmtId="0" fontId="0" fillId="0" borderId="7" xfId="0" applyBorder="1" applyAlignment="1">
      <alignment horizontal="center"/>
    </xf>
    <xf numFmtId="0" fontId="3" fillId="2" borderId="10" xfId="3" applyFont="1" applyBorder="1" applyAlignment="1">
      <alignment horizontal="center"/>
    </xf>
    <xf numFmtId="0" fontId="3" fillId="2" borderId="4" xfId="3" applyFont="1" applyBorder="1" applyAlignment="1">
      <alignment horizontal="center"/>
    </xf>
    <xf numFmtId="0" fontId="7" fillId="0" borderId="0" xfId="6" applyBorder="1"/>
    <xf numFmtId="11" fontId="7" fillId="0" borderId="8" xfId="6" applyNumberFormat="1" applyBorder="1"/>
    <xf numFmtId="0" fontId="0" fillId="0" borderId="11" xfId="0" applyBorder="1"/>
    <xf numFmtId="0" fontId="11" fillId="0" borderId="0" xfId="10" applyAlignment="1"/>
    <xf numFmtId="0" fontId="15" fillId="0" borderId="8" xfId="15" applyBorder="1"/>
    <xf numFmtId="0" fontId="15" fillId="0" borderId="0" xfId="15"/>
    <xf numFmtId="0" fontId="9" fillId="3" borderId="0" xfId="8"/>
    <xf numFmtId="0" fontId="9" fillId="3" borderId="0" xfId="8" applyBorder="1"/>
    <xf numFmtId="11" fontId="9" fillId="3" borderId="8" xfId="8" applyNumberFormat="1" applyBorder="1"/>
    <xf numFmtId="165" fontId="6" fillId="0" borderId="0" xfId="5" applyNumberFormat="1" applyBorder="1"/>
    <xf numFmtId="11" fontId="6" fillId="0" borderId="8" xfId="5" applyNumberFormat="1" applyBorder="1"/>
  </cellXfs>
  <cellStyles count="16">
    <cellStyle name="Accent1" xfId="3" builtinId="29"/>
    <cellStyle name="Data Assumption" xfId="12" xr:uid="{026C39E6-73D5-4485-AFDC-5AD4482769B7}"/>
    <cellStyle name="Data Linked Cell" xfId="6" xr:uid="{F5AD9819-241D-41A6-B7EC-8077435BA0F0}"/>
    <cellStyle name="Data Reference" xfId="8" xr:uid="{17CB4F51-63C0-4AF8-8DE8-2DED6DBDB61B}"/>
    <cellStyle name="Formula" xfId="5" xr:uid="{2CE69CB3-6A26-4FA5-9758-76DA3956362C}"/>
    <cellStyle name="Heading 1" xfId="1" builtinId="16"/>
    <cellStyle name="Heading 2" xfId="2" builtinId="17"/>
    <cellStyle name="Heading 3" xfId="9" builtinId="18"/>
    <cellStyle name="Hyperlink" xfId="4" builtinId="8"/>
    <cellStyle name="Normal" xfId="0" builtinId="0"/>
    <cellStyle name="Required User Input" xfId="13" xr:uid="{C381778F-8BD9-4719-B294-74031A86C1A8}"/>
    <cellStyle name="Text Formula" xfId="7" xr:uid="{C0954D4B-FAEA-4064-9DAD-E66463950854}"/>
    <cellStyle name="Text Note Highlight" xfId="14" xr:uid="{E03B5261-3FCA-4E8B-BAC2-849A6B97B9B4}"/>
    <cellStyle name="Text Reference" xfId="15" xr:uid="{DCF24904-3E30-433B-8E08-F0C0B5175FE6}"/>
    <cellStyle name="Text Unit" xfId="10" xr:uid="{195A81AA-E493-4FCA-A16E-6634984770E8}"/>
    <cellStyle name="Title" xfId="11" builtinId="15"/>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coinvent%20data%20for%20sensitivity%20analysis%20-%20confident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oinvent 3.11-3.12 location 1"/>
      <sheetName val="Ecoinvent 3.11-3.12 location 2"/>
    </sheetNames>
    <sheetDataSet>
      <sheetData sheetId="0"/>
      <sheetData sheetId="1">
        <row r="4">
          <cell r="B4">
            <v>3.0492255899950802</v>
          </cell>
          <cell r="G4" t="str">
            <v/>
          </cell>
          <cell r="H4">
            <v>4.5973609309705799</v>
          </cell>
          <cell r="I4" t="str">
            <v/>
          </cell>
          <cell r="J4">
            <v>2.34256262952653</v>
          </cell>
          <cell r="K4" t="str">
            <v/>
          </cell>
        </row>
        <row r="5">
          <cell r="C5">
            <v>3.2988643553907502</v>
          </cell>
          <cell r="D5">
            <v>15.7492042275861</v>
          </cell>
          <cell r="E5">
            <v>1.82099741698038</v>
          </cell>
          <cell r="G5" t="str">
            <v/>
          </cell>
          <cell r="H5">
            <v>3.2283316452405901</v>
          </cell>
          <cell r="I5">
            <v>8.99629830456111</v>
          </cell>
          <cell r="J5" t="str">
            <v/>
          </cell>
          <cell r="K5">
            <v>1.6417784245281399</v>
          </cell>
        </row>
        <row r="6">
          <cell r="C6">
            <v>3.9552091749654901</v>
          </cell>
          <cell r="D6">
            <v>13.294172321364499</v>
          </cell>
          <cell r="E6">
            <v>1.8209974620277001</v>
          </cell>
          <cell r="G6" t="str">
            <v/>
          </cell>
          <cell r="H6">
            <v>3.8277729820133</v>
          </cell>
          <cell r="I6">
            <v>12.6488846692957</v>
          </cell>
          <cell r="J6" t="str">
            <v/>
          </cell>
          <cell r="K6">
            <v>1.7359450517903701</v>
          </cell>
        </row>
        <row r="7">
          <cell r="B7">
            <v>2.83039130211634</v>
          </cell>
          <cell r="G7" t="str">
            <v/>
          </cell>
          <cell r="H7" t="str">
            <v/>
          </cell>
          <cell r="I7" t="str">
            <v/>
          </cell>
          <cell r="J7">
            <v>2.3982407558404901</v>
          </cell>
          <cell r="K7">
            <v>2.2843914315473999</v>
          </cell>
        </row>
        <row r="8">
          <cell r="C8">
            <v>2.0239417118322001</v>
          </cell>
          <cell r="E8">
            <v>0.89981634472389505</v>
          </cell>
          <cell r="F8">
            <v>0.88250761002894595</v>
          </cell>
          <cell r="G8" t="str">
            <v/>
          </cell>
          <cell r="H8">
            <v>2.0316842776601098</v>
          </cell>
          <cell r="I8" t="str">
            <v/>
          </cell>
          <cell r="J8" t="str">
            <v/>
          </cell>
          <cell r="K8">
            <v>0.77208312467665696</v>
          </cell>
        </row>
        <row r="9">
          <cell r="E9">
            <v>2.0647593525322399</v>
          </cell>
          <cell r="G9" t="str">
            <v/>
          </cell>
          <cell r="H9" t="str">
            <v/>
          </cell>
          <cell r="I9" t="str">
            <v/>
          </cell>
          <cell r="J9">
            <v>2.1168756470112502</v>
          </cell>
          <cell r="K9" t="str">
            <v/>
          </cell>
        </row>
        <row r="10">
          <cell r="E10">
            <v>2.38493094470534</v>
          </cell>
          <cell r="G10" t="str">
            <v/>
          </cell>
          <cell r="H10">
            <v>3.59458168499265</v>
          </cell>
          <cell r="I10" t="str">
            <v/>
          </cell>
          <cell r="J10">
            <v>2.4546185720544198</v>
          </cell>
          <cell r="K10" t="str">
            <v/>
          </cell>
        </row>
        <row r="11">
          <cell r="B11">
            <v>2.9663245718670299</v>
          </cell>
          <cell r="G11" t="str">
            <v/>
          </cell>
          <cell r="H11" t="str">
            <v/>
          </cell>
          <cell r="I11" t="str">
            <v/>
          </cell>
          <cell r="J11">
            <v>2.4088076878045599</v>
          </cell>
          <cell r="K11">
            <v>2.3195844672743302</v>
          </cell>
        </row>
        <row r="12">
          <cell r="B12">
            <v>2.7704770062690001</v>
          </cell>
          <cell r="G12">
            <v>2.5615379350931202</v>
          </cell>
          <cell r="H12" t="str">
            <v/>
          </cell>
          <cell r="I12" t="str">
            <v/>
          </cell>
          <cell r="J12" t="str">
            <v/>
          </cell>
          <cell r="K12" t="str">
            <v/>
          </cell>
        </row>
        <row r="13">
          <cell r="E13">
            <v>3.2202842633719002</v>
          </cell>
          <cell r="G13" t="str">
            <v/>
          </cell>
          <cell r="H13">
            <v>3.9540328078318998</v>
          </cell>
          <cell r="I13" t="str">
            <v/>
          </cell>
          <cell r="J13">
            <v>3.3572885950941802</v>
          </cell>
          <cell r="K13">
            <v>3.6035787599816498</v>
          </cell>
        </row>
        <row r="14">
          <cell r="B14">
            <v>2.5228001947207299</v>
          </cell>
          <cell r="G14">
            <v>2.5077724736246898</v>
          </cell>
          <cell r="H14" t="str">
            <v/>
          </cell>
          <cell r="I14" t="str">
            <v/>
          </cell>
          <cell r="J14" t="str">
            <v/>
          </cell>
          <cell r="K14" t="str">
            <v/>
          </cell>
        </row>
        <row r="15">
          <cell r="B15">
            <v>3.7524038529688202</v>
          </cell>
          <cell r="G15">
            <v>3.7004455685125901</v>
          </cell>
          <cell r="H15" t="str">
            <v/>
          </cell>
          <cell r="I15" t="str">
            <v/>
          </cell>
          <cell r="J15" t="str">
            <v/>
          </cell>
          <cell r="K15" t="str">
            <v/>
          </cell>
        </row>
        <row r="16">
          <cell r="E16">
            <v>2.6680621959002</v>
          </cell>
          <cell r="G16" t="str">
            <v/>
          </cell>
          <cell r="H16">
            <v>2.8141385237989698</v>
          </cell>
          <cell r="I16">
            <v>3.2005277720121099</v>
          </cell>
          <cell r="J16" t="str">
            <v/>
          </cell>
          <cell r="K16">
            <v>2.5915533286229802</v>
          </cell>
        </row>
        <row r="17">
          <cell r="E17">
            <v>1.8237710289510101</v>
          </cell>
          <cell r="G17" t="str">
            <v/>
          </cell>
          <cell r="H17">
            <v>2.4934937029263402</v>
          </cell>
          <cell r="I17">
            <v>2.1238428853578402</v>
          </cell>
          <cell r="J17" t="str">
            <v/>
          </cell>
          <cell r="K17">
            <v>1.6797127217493999</v>
          </cell>
        </row>
        <row r="18">
          <cell r="B18">
            <v>3.6248830536194099</v>
          </cell>
          <cell r="G18" t="str">
            <v/>
          </cell>
          <cell r="H18" t="str">
            <v/>
          </cell>
          <cell r="I18" t="str">
            <v/>
          </cell>
          <cell r="J18">
            <v>3.4416066418109801</v>
          </cell>
          <cell r="K18" t="str">
            <v/>
          </cell>
        </row>
        <row r="19">
          <cell r="E19">
            <v>1.9708935487221799</v>
          </cell>
          <cell r="G19" t="str">
            <v/>
          </cell>
          <cell r="H19" t="str">
            <v/>
          </cell>
          <cell r="I19" t="str">
            <v/>
          </cell>
          <cell r="J19">
            <v>2.0507502987101498</v>
          </cell>
          <cell r="K19" t="str">
            <v/>
          </cell>
        </row>
        <row r="20">
          <cell r="E20">
            <v>3.9587960731779499</v>
          </cell>
          <cell r="G20" t="str">
            <v/>
          </cell>
          <cell r="H20" t="str">
            <v/>
          </cell>
          <cell r="I20" t="str">
            <v/>
          </cell>
          <cell r="J20">
            <v>3.9065624697780099</v>
          </cell>
          <cell r="K20">
            <v>3.0125920971023601</v>
          </cell>
        </row>
        <row r="21">
          <cell r="B21">
            <v>10.533772210429699</v>
          </cell>
          <cell r="G21">
            <v>10.764873805381701</v>
          </cell>
          <cell r="H21" t="str">
            <v/>
          </cell>
          <cell r="I21" t="str">
            <v/>
          </cell>
          <cell r="J21" t="str">
            <v/>
          </cell>
          <cell r="K21" t="str">
            <v/>
          </cell>
        </row>
        <row r="22">
          <cell r="E22">
            <v>1.3553484654855199</v>
          </cell>
          <cell r="G22" t="str">
            <v/>
          </cell>
          <cell r="H22" t="str">
            <v/>
          </cell>
          <cell r="I22" t="str">
            <v/>
          </cell>
          <cell r="J22">
            <v>1.41956296735903</v>
          </cell>
          <cell r="K22" t="str">
            <v/>
          </cell>
        </row>
        <row r="23">
          <cell r="E23">
            <v>2.2558687067023802</v>
          </cell>
          <cell r="G23" t="str">
            <v/>
          </cell>
          <cell r="H23" t="str">
            <v/>
          </cell>
          <cell r="I23" t="str">
            <v/>
          </cell>
          <cell r="J23">
            <v>2.2710048778055199</v>
          </cell>
          <cell r="K23" t="str">
            <v/>
          </cell>
        </row>
        <row r="24">
          <cell r="E24">
            <v>1.6040022599866699</v>
          </cell>
          <cell r="G24" t="str">
            <v/>
          </cell>
          <cell r="H24" t="str">
            <v/>
          </cell>
          <cell r="I24" t="str">
            <v/>
          </cell>
          <cell r="J24">
            <v>1.6269594505199201</v>
          </cell>
          <cell r="K24" t="str">
            <v/>
          </cell>
        </row>
        <row r="25">
          <cell r="E25">
            <v>2.3459673994036798</v>
          </cell>
          <cell r="G25" t="str">
            <v/>
          </cell>
          <cell r="H25" t="str">
            <v/>
          </cell>
          <cell r="I25" t="str">
            <v/>
          </cell>
          <cell r="J25">
            <v>2.3895281408723199</v>
          </cell>
          <cell r="K25" t="str">
            <v/>
          </cell>
        </row>
        <row r="26">
          <cell r="E26">
            <v>1.16018484441526</v>
          </cell>
          <cell r="G26" t="str">
            <v/>
          </cell>
          <cell r="H26" t="str">
            <v/>
          </cell>
          <cell r="I26" t="str">
            <v/>
          </cell>
          <cell r="J26">
            <v>0.96333435488841102</v>
          </cell>
          <cell r="K26" t="str">
            <v/>
          </cell>
        </row>
        <row r="27">
          <cell r="E27">
            <v>3.7424134561299001</v>
          </cell>
          <cell r="G27" t="str">
            <v/>
          </cell>
          <cell r="H27" t="str">
            <v/>
          </cell>
          <cell r="I27" t="str">
            <v/>
          </cell>
          <cell r="J27">
            <v>3.7702405653417901</v>
          </cell>
          <cell r="K27" t="str">
            <v/>
          </cell>
        </row>
        <row r="28">
          <cell r="B28">
            <v>2.6002044602800098</v>
          </cell>
          <cell r="G28">
            <v>2.58680501982758</v>
          </cell>
          <cell r="H28" t="str">
            <v/>
          </cell>
          <cell r="I28" t="str">
            <v/>
          </cell>
          <cell r="J28" t="str">
            <v/>
          </cell>
          <cell r="K28" t="str">
            <v/>
          </cell>
        </row>
        <row r="29">
          <cell r="E29">
            <v>2.4847650451141901</v>
          </cell>
          <cell r="G29" t="str">
            <v/>
          </cell>
          <cell r="H29">
            <v>4.3440197772485902</v>
          </cell>
          <cell r="I29" t="str">
            <v/>
          </cell>
          <cell r="J29" t="str">
            <v/>
          </cell>
          <cell r="K29">
            <v>2.4834569678165099</v>
          </cell>
        </row>
        <row r="30">
          <cell r="E30">
            <v>1.7300126131057101</v>
          </cell>
          <cell r="G30" t="str">
            <v/>
          </cell>
          <cell r="H30">
            <v>2.7782136339867298</v>
          </cell>
          <cell r="I30" t="str">
            <v/>
          </cell>
          <cell r="J30">
            <v>1.7924379074585499</v>
          </cell>
          <cell r="K30" t="str">
            <v/>
          </cell>
        </row>
        <row r="31">
          <cell r="E31">
            <v>3.7386742741211001</v>
          </cell>
          <cell r="G31" t="str">
            <v/>
          </cell>
          <cell r="H31" t="str">
            <v/>
          </cell>
          <cell r="I31" t="str">
            <v/>
          </cell>
          <cell r="J31">
            <v>3.7621017486207502</v>
          </cell>
          <cell r="K31" t="str">
            <v/>
          </cell>
        </row>
        <row r="32">
          <cell r="E32">
            <v>3.5984242902017201</v>
          </cell>
          <cell r="G32" t="str">
            <v/>
          </cell>
          <cell r="H32" t="str">
            <v/>
          </cell>
          <cell r="I32" t="str">
            <v/>
          </cell>
          <cell r="J32">
            <v>3.5633374127300401</v>
          </cell>
          <cell r="K32" t="str">
            <v/>
          </cell>
        </row>
        <row r="33">
          <cell r="B33">
            <v>4.6525060440900097</v>
          </cell>
          <cell r="G33">
            <v>4.6563133766000302</v>
          </cell>
          <cell r="H33" t="str">
            <v/>
          </cell>
          <cell r="I33" t="str">
            <v/>
          </cell>
          <cell r="J33" t="str">
            <v/>
          </cell>
          <cell r="K33" t="str">
            <v/>
          </cell>
        </row>
        <row r="34">
          <cell r="E34">
            <v>1.5157137686267099</v>
          </cell>
          <cell r="G34" t="str">
            <v/>
          </cell>
          <cell r="H34" t="str">
            <v/>
          </cell>
          <cell r="I34" t="str">
            <v/>
          </cell>
          <cell r="J34">
            <v>1.52896653099112</v>
          </cell>
          <cell r="K34" t="str">
            <v/>
          </cell>
        </row>
        <row r="35">
          <cell r="E35">
            <v>2.0948533963478</v>
          </cell>
          <cell r="G35" t="str">
            <v/>
          </cell>
          <cell r="H35">
            <v>3.2834711463101298</v>
          </cell>
          <cell r="I35" t="str">
            <v/>
          </cell>
          <cell r="J35">
            <v>2.1607780519550599</v>
          </cell>
          <cell r="K35" t="str">
            <v/>
          </cell>
        </row>
        <row r="36">
          <cell r="E36">
            <v>2.2886916389477499</v>
          </cell>
          <cell r="G36" t="str">
            <v/>
          </cell>
          <cell r="H36" t="str">
            <v/>
          </cell>
          <cell r="I36" t="str">
            <v/>
          </cell>
          <cell r="J36">
            <v>2.3485749928819302</v>
          </cell>
          <cell r="K36" t="str">
            <v/>
          </cell>
        </row>
        <row r="37">
          <cell r="B37">
            <v>4.2530783336652496</v>
          </cell>
          <cell r="G37">
            <v>4.56020198290663</v>
          </cell>
          <cell r="H37" t="str">
            <v/>
          </cell>
          <cell r="I37" t="str">
            <v/>
          </cell>
          <cell r="J37" t="str">
            <v/>
          </cell>
          <cell r="K37" t="str">
            <v/>
          </cell>
        </row>
        <row r="38">
          <cell r="B38">
            <v>3.3468109549469101</v>
          </cell>
          <cell r="G38">
            <v>3.2313182200490398</v>
          </cell>
          <cell r="H38" t="str">
            <v/>
          </cell>
          <cell r="I38" t="str">
            <v/>
          </cell>
          <cell r="J38" t="str">
            <v/>
          </cell>
          <cell r="K38" t="str">
            <v/>
          </cell>
        </row>
        <row r="39">
          <cell r="B39">
            <v>9.3705513735792003</v>
          </cell>
          <cell r="G39">
            <v>9.2674947960691405</v>
          </cell>
          <cell r="H39" t="str">
            <v/>
          </cell>
          <cell r="I39" t="str">
            <v/>
          </cell>
          <cell r="J39" t="str">
            <v/>
          </cell>
          <cell r="K39" t="str">
            <v/>
          </cell>
        </row>
        <row r="40">
          <cell r="E40">
            <v>2.2287465892522</v>
          </cell>
          <cell r="G40" t="str">
            <v/>
          </cell>
          <cell r="H40" t="str">
            <v/>
          </cell>
          <cell r="I40" t="str">
            <v/>
          </cell>
          <cell r="J40">
            <v>2.2816920089436801</v>
          </cell>
          <cell r="K40" t="str">
            <v/>
          </cell>
        </row>
        <row r="41">
          <cell r="E41">
            <v>2.6724138348511999</v>
          </cell>
          <cell r="G41" t="str">
            <v/>
          </cell>
          <cell r="H41" t="str">
            <v/>
          </cell>
          <cell r="I41" t="str">
            <v/>
          </cell>
          <cell r="J41">
            <v>2.3887267800778198</v>
          </cell>
          <cell r="K41">
            <v>2.2525159327315598</v>
          </cell>
        </row>
        <row r="42">
          <cell r="E42">
            <v>4.9269814994193402</v>
          </cell>
          <cell r="G42" t="str">
            <v/>
          </cell>
          <cell r="H42" t="str">
            <v/>
          </cell>
          <cell r="I42" t="str">
            <v/>
          </cell>
          <cell r="J42">
            <v>4.4734959815258497</v>
          </cell>
          <cell r="K42" t="str">
            <v/>
          </cell>
        </row>
        <row r="43">
          <cell r="E43">
            <v>2.7535583061998401</v>
          </cell>
          <cell r="G43" t="str">
            <v/>
          </cell>
          <cell r="H43" t="str">
            <v/>
          </cell>
          <cell r="I43" t="str">
            <v/>
          </cell>
          <cell r="J43">
            <v>2.8269503881563001</v>
          </cell>
          <cell r="K43" t="str">
            <v/>
          </cell>
        </row>
        <row r="44">
          <cell r="B44">
            <v>3.8441285166322801</v>
          </cell>
          <cell r="G44">
            <v>4.0076892623466804</v>
          </cell>
          <cell r="H44" t="str">
            <v/>
          </cell>
          <cell r="I44" t="str">
            <v/>
          </cell>
          <cell r="J44" t="str">
            <v/>
          </cell>
          <cell r="K44" t="str">
            <v/>
          </cell>
        </row>
        <row r="45">
          <cell r="E45">
            <v>5.5390416699414899</v>
          </cell>
          <cell r="G45" t="str">
            <v/>
          </cell>
          <cell r="H45" t="str">
            <v/>
          </cell>
          <cell r="I45" t="str">
            <v/>
          </cell>
          <cell r="J45">
            <v>4.48177372980249</v>
          </cell>
          <cell r="K45" t="str">
            <v/>
          </cell>
        </row>
        <row r="46">
          <cell r="B46">
            <v>3.9863813884265902</v>
          </cell>
          <cell r="G46">
            <v>3.9540845949728798</v>
          </cell>
          <cell r="H46" t="str">
            <v/>
          </cell>
          <cell r="I46" t="str">
            <v/>
          </cell>
          <cell r="J46" t="str">
            <v/>
          </cell>
          <cell r="K46" t="str">
            <v/>
          </cell>
        </row>
        <row r="47">
          <cell r="E47">
            <v>2.3006687163338002</v>
          </cell>
          <cell r="G47" t="str">
            <v/>
          </cell>
          <cell r="H47" t="str">
            <v/>
          </cell>
          <cell r="I47" t="str">
            <v/>
          </cell>
          <cell r="J47">
            <v>2.3940672738101898</v>
          </cell>
          <cell r="K47" t="str">
            <v/>
          </cell>
        </row>
        <row r="48">
          <cell r="E48">
            <v>6.0492385786838998</v>
          </cell>
          <cell r="G48" t="str">
            <v/>
          </cell>
          <cell r="H48" t="str">
            <v/>
          </cell>
          <cell r="I48" t="str">
            <v/>
          </cell>
          <cell r="J48">
            <v>5.3749111284492903</v>
          </cell>
          <cell r="K48" t="str">
            <v/>
          </cell>
        </row>
        <row r="49">
          <cell r="E49">
            <v>2.2791966537602999</v>
          </cell>
          <cell r="G49" t="str">
            <v/>
          </cell>
          <cell r="H49" t="str">
            <v/>
          </cell>
          <cell r="I49" t="str">
            <v/>
          </cell>
          <cell r="J49">
            <v>2.2942587688822602</v>
          </cell>
          <cell r="K49" t="str">
            <v/>
          </cell>
        </row>
        <row r="50">
          <cell r="E50">
            <v>2.8318777886917101</v>
          </cell>
          <cell r="G50" t="str">
            <v/>
          </cell>
          <cell r="H50" t="str">
            <v/>
          </cell>
          <cell r="I50" t="str">
            <v/>
          </cell>
          <cell r="J50">
            <v>2.7229849974393399</v>
          </cell>
          <cell r="K50" t="str">
            <v/>
          </cell>
        </row>
        <row r="51">
          <cell r="E51">
            <v>3.7960644379702702</v>
          </cell>
          <cell r="F51">
            <v>4.4609483324024799</v>
          </cell>
          <cell r="G51" t="str">
            <v/>
          </cell>
          <cell r="H51" t="str">
            <v/>
          </cell>
          <cell r="I51" t="str">
            <v/>
          </cell>
          <cell r="J51">
            <v>3.8505126944052201</v>
          </cell>
          <cell r="K51">
            <v>4.5202700269140301</v>
          </cell>
        </row>
        <row r="52">
          <cell r="B52">
            <v>5.17422986061485</v>
          </cell>
          <cell r="G52">
            <v>5.1444222468186904</v>
          </cell>
          <cell r="H52" t="str">
            <v/>
          </cell>
          <cell r="I52" t="str">
            <v/>
          </cell>
          <cell r="J52" t="str">
            <v/>
          </cell>
          <cell r="K52" t="str">
            <v/>
          </cell>
        </row>
        <row r="53">
          <cell r="E53">
            <v>5.6195464009115499</v>
          </cell>
          <cell r="G53" t="str">
            <v/>
          </cell>
          <cell r="H53" t="str">
            <v/>
          </cell>
          <cell r="I53" t="str">
            <v/>
          </cell>
          <cell r="J53">
            <v>5.62742492840861</v>
          </cell>
          <cell r="K53" t="str">
            <v/>
          </cell>
        </row>
        <row r="54">
          <cell r="E54">
            <v>4.16153384563997</v>
          </cell>
          <cell r="G54" t="str">
            <v/>
          </cell>
          <cell r="H54" t="str">
            <v/>
          </cell>
          <cell r="I54" t="str">
            <v/>
          </cell>
          <cell r="J54">
            <v>4.1841789721303302</v>
          </cell>
          <cell r="K54" t="str">
            <v/>
          </cell>
        </row>
        <row r="55">
          <cell r="E55">
            <v>8.2522598252205395</v>
          </cell>
          <cell r="G55" t="str">
            <v/>
          </cell>
          <cell r="H55" t="str">
            <v/>
          </cell>
          <cell r="I55" t="str">
            <v/>
          </cell>
          <cell r="J55">
            <v>8.2525097932603195</v>
          </cell>
          <cell r="K55" t="str">
            <v/>
          </cell>
        </row>
        <row r="56">
          <cell r="E56">
            <v>9.3065549100553504</v>
          </cell>
          <cell r="G56" t="str">
            <v/>
          </cell>
          <cell r="H56" t="str">
            <v/>
          </cell>
          <cell r="I56" t="str">
            <v/>
          </cell>
          <cell r="J56">
            <v>9.3070545287431798</v>
          </cell>
          <cell r="K56" t="str">
            <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043C22-6C09-4E9E-BCAE-0D7C63BB839F}" autoFormatId="16" applyNumberFormats="0" applyBorderFormats="0" applyFontFormats="0" applyPatternFormats="0" applyAlignmentFormats="0" applyWidthHeightFormats="0">
  <queryTableRefresh nextId="45" unboundColumnsRight="3">
    <queryTableFields count="37">
      <queryTableField id="1" name="Long name" tableColumnId="1"/>
      <queryTableField id="2" name="Figure name" tableColumnId="2"/>
      <queryTableField id="3" name="Quantity (Mt/yr)" tableColumnId="3"/>
      <queryTableField id="4" name="Local production share of available quantity (%)" tableColumnId="4"/>
      <queryTableField id="5" name="Carbon mass share" tableColumnId="5"/>
      <queryTableField id="6" name="propylene - ecoinvent-3.11-cutoff" tableColumnId="6"/>
      <queryTableField id="7" name="ethylene - ecoinvent-3.11-cutoff" tableColumnId="7"/>
      <queryTableField id="8" name="methanol - ecoinvent-3.11-cutoff" tableColumnId="8"/>
      <queryTableField id="9" name="xylene, mixed - ecoinvent-3.11-cutoff" tableColumnId="9"/>
      <queryTableField id="10" name="o-xylene - ecoinvent-3.11-cutoff" tableColumnId="10"/>
      <queryTableField id="11" name="p-xylene - ecoinvent-3.11-cutoff" tableColumnId="11"/>
      <queryTableField id="12" name="toluene, liquid - ecoinvent-3.11-cutoff" tableColumnId="12"/>
      <queryTableField id="13" name="benzene - ecoinvent-3.11-cutoff" tableColumnId="13"/>
      <queryTableField id="14" name="Unit GHG footprint without end-of-life (IPCC 2021 GWP100, kg CO2e/kg) - ecoinvent-3.11-cutoff" tableColumnId="14"/>
      <queryTableField id="15" name="Unit GHG footprint of local production share (IPCC 2021 GWP100, kg CO2e/kg) - ecoinvent-3.11-cutoff" tableColumnId="15"/>
      <queryTableField id="16" name="propylene - ecoinvent-3.12-cutoff" tableColumnId="16"/>
      <queryTableField id="17" name="ethylene - ecoinvent-3.12-cutoff" tableColumnId="17"/>
      <queryTableField id="18" name="methanol - ecoinvent-3.12-cutoff" tableColumnId="18"/>
      <queryTableField id="19" name="xylene, mixed - ecoinvent-3.12-cutoff" tableColumnId="19"/>
      <queryTableField id="20" name="o-xylene - ecoinvent-3.12-cutoff" tableColumnId="20"/>
      <queryTableField id="21" name="p-xylene - ecoinvent-3.12-cutoff" tableColumnId="21"/>
      <queryTableField id="22" name="toluene, liquid - ecoinvent-3.12-cutoff" tableColumnId="22"/>
      <queryTableField id="23" name="benzene - ecoinvent-3.12-cutoff" tableColumnId="23"/>
      <queryTableField id="24" name="Unit GHG footprint without end-of-life (IPCC 2021 GWP100, kg CO2e/kg) - ecoinvent-3.12-cutoff" tableColumnId="24"/>
      <queryTableField id="25" name="Unit GHG footprint of local production share (IPCC 2021 GWP100, kg CO2e/kg) - ecoinvent-3.12-cutoff" tableColumnId="25"/>
      <queryTableField id="38" name="Unit impact of end-of-life (kg CO2/kg) - ecoinvent-3.11-cutoff" tableColumnId="26"/>
      <queryTableField id="39" name="Unit impact of end-of-life (kg CO2/kg) - ecoinvent-3.12-cutoff" tableColumnId="34"/>
      <queryTableField id="27" name="Unit GHG footprint with end-of-life (IPCC 2021 GWP100, kg CO2e/kg) - ecoinvent-3.11-cutoff" tableColumnId="27"/>
      <queryTableField id="28" name="Total GHG footprint without end-of-life (IPCC 2021 GWP100, kg CO2e/kg) - ecoinvent-3.11-cutoff" tableColumnId="28"/>
      <queryTableField id="29" name="Total GHG footprint with end-of-life (IPCC 2021 GWP100, kg CO2e/kg) - ecoinvent-3.11-cutoff" tableColumnId="29"/>
      <queryTableField id="30" name="Unit GHG footprint with end-of-life (IPCC 2021 GWP100, kg CO2e/kg) - ecoinvent-3.12-cutoff" tableColumnId="30"/>
      <queryTableField id="31" name="Total GHG footprint without end-of-life (IPCC 2021 GWP100, kg CO2e/kg) - ecoinvent-3.12-cutoff" tableColumnId="31"/>
      <queryTableField id="32" name="Total GHG footprint with end-of-life (IPCC 2021 GWP100, kg CO2e/kg) - ecoinvent-3.12-cutoff" tableColumnId="32"/>
      <queryTableField id="33" name="Unit GHG footprint of BTX (IPCC 2021 GWP100, kg CO2e/kg) - ecoinvent-3.11-cutoff" tableColumnId="33"/>
      <queryTableField id="44" dataBound="0" tableColumnId="37"/>
      <queryTableField id="42" dataBound="0" tableColumnId="35"/>
      <queryTableField id="43" dataBound="0"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A68156-B0C3-40F6-8F48-676F9654732B}" name="Hotspot_products_with_footprint___processed__2" displayName="Hotspot_products_with_footprint___processed__2" ref="A4:AK55" tableType="queryTable" totalsRowShown="0">
  <autoFilter ref="A4:AK55" xr:uid="{FDA68156-B0C3-40F6-8F48-676F9654732B}"/>
  <sortState xmlns:xlrd2="http://schemas.microsoft.com/office/spreadsheetml/2017/richdata2" ref="A5:AK55">
    <sortCondition ref="AJ4:AJ55"/>
  </sortState>
  <tableColumns count="37">
    <tableColumn id="1" xr3:uid="{12A72BAD-CEBD-4D15-A6D3-C81C417D6578}" uniqueName="1" name="Long name" queryTableFieldId="1" dataDxfId="3"/>
    <tableColumn id="2" xr3:uid="{AEEC3F97-3810-4CBB-B156-93D67C7DA6C1}" uniqueName="2" name="Figure name" queryTableFieldId="2" dataDxfId="2"/>
    <tableColumn id="3" xr3:uid="{5C672CCD-F7C5-48E3-88F5-590DFD10B541}" uniqueName="3" name="Quantity (Mt/yr)" queryTableFieldId="3"/>
    <tableColumn id="4" xr3:uid="{5697E3B5-08A7-4BB9-AFE2-D479DA95397E}" uniqueName="4" name="Local production share of available quantity (%)" queryTableFieldId="4"/>
    <tableColumn id="5" xr3:uid="{A992887C-D6F6-43D6-B274-06195636FBDB}" uniqueName="5" name="Carbon mass share" queryTableFieldId="5"/>
    <tableColumn id="6" xr3:uid="{6AF8AA32-7BDB-4F0B-931B-D08214FB71E3}" uniqueName="6" name="propylene - ecoinvent-3.11-cutoff" queryTableFieldId="6"/>
    <tableColumn id="7" xr3:uid="{1A75EB03-1F2D-4E44-8F52-89E51566F6DC}" uniqueName="7" name="ethylene - ecoinvent-3.11-cutoff" queryTableFieldId="7"/>
    <tableColumn id="8" xr3:uid="{4B5CDB8B-8976-41D7-97D7-1EAB1F243F6F}" uniqueName="8" name="methanol - ecoinvent-3.11-cutoff" queryTableFieldId="8"/>
    <tableColumn id="9" xr3:uid="{F4BBB45E-0303-4937-9D1C-B80C3216FAFF}" uniqueName="9" name="xylene, mixed - ecoinvent-3.11-cutoff" queryTableFieldId="9"/>
    <tableColumn id="10" xr3:uid="{A28E0346-E08D-49C5-99A0-18DBF9CD27CA}" uniqueName="10" name="o-xylene - ecoinvent-3.11-cutoff" queryTableFieldId="10"/>
    <tableColumn id="11" xr3:uid="{BF8DF8C9-F64C-488F-A260-2C1DAC065FCF}" uniqueName="11" name="p-xylene - ecoinvent-3.11-cutoff" queryTableFieldId="11"/>
    <tableColumn id="12" xr3:uid="{03CDDC82-3AAC-496A-B7E2-69CBDD70B64E}" uniqueName="12" name="toluene, liquid - ecoinvent-3.11-cutoff" queryTableFieldId="12"/>
    <tableColumn id="13" xr3:uid="{117D3478-2888-452C-9949-C011DE0D4C10}" uniqueName="13" name="benzene - ecoinvent-3.11-cutoff" queryTableFieldId="13"/>
    <tableColumn id="14" xr3:uid="{B906F241-4DC9-4452-9A8E-5D3BB8B31633}" uniqueName="14" name="Unit GHG footprint without end-of-life (IPCC 2021 GWP100, kg CO2e/kg) - ecoinvent-3.11-cutoff" queryTableFieldId="14"/>
    <tableColumn id="15" xr3:uid="{CBF1F2CA-4CA3-44A9-8475-C41D8725321E}" uniqueName="15" name="Unit GHG footprint of local production share (IPCC 2021 GWP100, kg CO2e/kg) - ecoinvent-3.11-cutoff" queryTableFieldId="15"/>
    <tableColumn id="16" xr3:uid="{978FDA35-B7A6-4547-81FF-8399AF7F3270}" uniqueName="16" name="propylene - ecoinvent-3.12-cutoff" queryTableFieldId="16"/>
    <tableColumn id="17" xr3:uid="{0F2BDA4A-B429-41BE-959F-2314203D0CE7}" uniqueName="17" name="ethylene - ecoinvent-3.12-cutoff" queryTableFieldId="17"/>
    <tableColumn id="18" xr3:uid="{DAA77F5F-58EB-4258-966A-51033E9E394C}" uniqueName="18" name="methanol - ecoinvent-3.12-cutoff" queryTableFieldId="18"/>
    <tableColumn id="19" xr3:uid="{A0413D4E-C4A4-42ED-B35F-264C044BFBD6}" uniqueName="19" name="xylene, mixed - ecoinvent-3.12-cutoff" queryTableFieldId="19"/>
    <tableColumn id="20" xr3:uid="{32AE3D1A-ABAC-4403-B521-15C74A0457FB}" uniqueName="20" name="o-xylene - ecoinvent-3.12-cutoff" queryTableFieldId="20"/>
    <tableColumn id="21" xr3:uid="{4004EA13-829B-4DD8-85EB-EE4638FE6E6B}" uniqueName="21" name="p-xylene - ecoinvent-3.12-cutoff" queryTableFieldId="21"/>
    <tableColumn id="22" xr3:uid="{998EA219-80B6-4843-9B9F-4671171A9BF0}" uniqueName="22" name="toluene, liquid - ecoinvent-3.12-cutoff" queryTableFieldId="22"/>
    <tableColumn id="23" xr3:uid="{710A36BC-6AA3-44EB-9DA1-DB00E4AE821D}" uniqueName="23" name="benzene - ecoinvent-3.12-cutoff" queryTableFieldId="23"/>
    <tableColumn id="24" xr3:uid="{4F0A7D75-6F3A-4963-A3C4-D58CDC609D2A}" uniqueName="24" name="Unit GHG footprint without end-of-life (IPCC 2021 GWP100, kg CO2e/kg) - ecoinvent-3.12-cutoff" queryTableFieldId="24"/>
    <tableColumn id="25" xr3:uid="{F3597684-635F-488C-BDC7-8FC46E05E1D5}" uniqueName="25" name="Unit GHG footprint of local production share (IPCC 2021 GWP100, kg CO2e/kg) - ecoinvent-3.12-cutoff" queryTableFieldId="25"/>
    <tableColumn id="26" xr3:uid="{2A44EDEF-3A63-42EB-873D-D848C20E989B}" uniqueName="26" name="Unit impact of end-of-life (kg CO2/kg) - ecoinvent-3.11-cutoff" queryTableFieldId="38"/>
    <tableColumn id="34" xr3:uid="{BFCE0A1D-D32A-43B0-B6AF-4FFDB0901E4F}" uniqueName="34" name="Unit impact of end-of-life (kg CO2/kg) - ecoinvent-3.12-cutoff" queryTableFieldId="39"/>
    <tableColumn id="27" xr3:uid="{E550DCCA-65E2-43F6-A7F0-DB46DAE0B5B2}" uniqueName="27" name="Unit GHG footprint with end-of-life (IPCC 2021 GWP100, kg CO2e/kg) - ecoinvent-3.11-cutoff" queryTableFieldId="27"/>
    <tableColumn id="28" xr3:uid="{3282501E-A50E-42CF-B616-AC5C6EDB26C9}" uniqueName="28" name="Total GHG footprint without end-of-life (IPCC 2021 GWP100, kg CO2e/kg) - ecoinvent-3.11-cutoff" queryTableFieldId="28"/>
    <tableColumn id="29" xr3:uid="{1B26D4FD-9517-40BA-8584-3EBF0D4132FE}" uniqueName="29" name="Total GHG footprint with end-of-life (IPCC 2021 GWP100, kg CO2e/kg) - ecoinvent-3.11-cutoff" queryTableFieldId="29"/>
    <tableColumn id="30" xr3:uid="{D8EC1201-6F17-45C6-9066-D65933D4DC37}" uniqueName="30" name="Unit GHG footprint with end-of-life (IPCC 2021 GWP100, kg CO2e/kg) - ecoinvent-3.12-cutoff" queryTableFieldId="30"/>
    <tableColumn id="31" xr3:uid="{1E6A8BB9-C173-4F07-B213-01136CADA346}" uniqueName="31" name="Total GHG footprint without end-of-life (IPCC 2021 GWP100, kg CO2e/kg) - ecoinvent-3.12-cutoff" queryTableFieldId="31"/>
    <tableColumn id="32" xr3:uid="{23844C8E-8631-45DE-97C5-D5DC00C89E36}" uniqueName="32" name="Total GHG footprint with end-of-life (IPCC 2021 GWP100, kg CO2e/kg) - ecoinvent-3.12-cutoff" queryTableFieldId="32"/>
    <tableColumn id="33" xr3:uid="{F0E41FF5-1C78-46E6-8621-ADAE7F66F9EF}" uniqueName="33" name="Unit GHG footprint of BTX (IPCC 2021 GWP100, kg CO2e/kg) - ecoinvent-3.11-cutoff" queryTableFieldId="33"/>
    <tableColumn id="37" xr3:uid="{CCAF798F-3722-46E6-B3FF-71684DEC171D}" uniqueName="37" name="Unit footprint difference from 3.11 to 3.12" queryTableFieldId="44" dataCellStyle="Formula">
      <calculatedColumnFormula>(Hotspot_products_with_footprint___processed__2[[#This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calculatedColumnFormula>
    </tableColumn>
    <tableColumn id="35" xr3:uid="{C68BE1E7-7945-497A-A832-67E3CAEC3FC3}" uniqueName="35" name="Total GHG footprint with end-of-life (IPCC 2021 GWP100, ranking) - ecoinvent-3.12-cutoff" queryTableFieldId="42" dataDxfId="1" dataCellStyle="Formula">
      <calculatedColumnFormula>_xlfn.RANK.AVG(Hotspot_products_with_footprint___processed__2[[#This Row],[Total GHG footprint with end-of-life (IPCC 2021 GWP100, kg CO2e/kg) - ecoinvent-3.12-cutoff]],Hotspot_products_with_footprint___processed__2[Total GHG footprint with end-of-life (IPCC 2021 GWP100, kg CO2e/kg) - ecoinvent-3.12-cutoff])</calculatedColumnFormula>
    </tableColumn>
    <tableColumn id="36" xr3:uid="{B9D76009-3854-438C-9967-11BF10333104}" uniqueName="36" name="Total GHG footprint with end-of-life (IPCC 2021 GWP100, ranking) - ecoinvent-3.11-cutoff" queryTableFieldId="43" dataDxfId="0" dataCellStyle="Formula">
      <calculatedColumnFormula>_xlfn.RANK.AVG(Hotspot_products_with_footprint___processed__2[[#This Row],[Total GHG footprint with end-of-life (IPCC 2021 GWP100, kg CO2e/kg) - ecoinvent-3.11-cutoff]],Hotspot_products_with_footprint___processed__2[Total GHG footprint with end-of-life (IPCC 2021 GWP100, kg CO2e/kg) - ecoinvent-3.11-cutoff])</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B43A-41A5-4560-9CA9-C4DC2A1F211D}">
  <sheetPr codeName="Sheet1"/>
  <dimension ref="B2:G46"/>
  <sheetViews>
    <sheetView tabSelected="1" topLeftCell="A4" zoomScaleNormal="100" workbookViewId="0">
      <selection activeCell="C27" sqref="C27"/>
    </sheetView>
  </sheetViews>
  <sheetFormatPr defaultRowHeight="14.4" x14ac:dyDescent="0.3"/>
  <cols>
    <col min="2" max="2" width="35.6640625" customWidth="1"/>
    <col min="3" max="3" width="72.5546875" customWidth="1"/>
    <col min="4" max="4" width="14.5546875" customWidth="1"/>
    <col min="5" max="7" width="15" customWidth="1"/>
  </cols>
  <sheetData>
    <row r="2" spans="2:3" ht="20.399999999999999" thickBot="1" x14ac:dyDescent="0.45">
      <c r="B2" s="2" t="s">
        <v>0</v>
      </c>
    </row>
    <row r="3" spans="2:3" ht="15" thickTop="1" x14ac:dyDescent="0.3"/>
    <row r="5" spans="2:3" ht="18" thickBot="1" x14ac:dyDescent="0.4">
      <c r="B5" s="3" t="s">
        <v>1</v>
      </c>
    </row>
    <row r="6" spans="2:3" ht="15" thickTop="1" x14ac:dyDescent="0.3"/>
    <row r="7" spans="2:3" x14ac:dyDescent="0.3">
      <c r="B7" t="s">
        <v>2</v>
      </c>
      <c r="C7" t="s">
        <v>3</v>
      </c>
    </row>
    <row r="8" spans="2:3" x14ac:dyDescent="0.3">
      <c r="B8" t="s">
        <v>4</v>
      </c>
      <c r="C8" t="s">
        <v>5</v>
      </c>
    </row>
    <row r="9" spans="2:3" x14ac:dyDescent="0.3">
      <c r="B9" t="s">
        <v>6</v>
      </c>
      <c r="C9" s="4" t="s">
        <v>7</v>
      </c>
    </row>
    <row r="10" spans="2:3" x14ac:dyDescent="0.3">
      <c r="B10" t="s">
        <v>8</v>
      </c>
      <c r="C10" s="4" t="s">
        <v>9</v>
      </c>
    </row>
    <row r="11" spans="2:3" x14ac:dyDescent="0.3">
      <c r="B11" t="s">
        <v>10</v>
      </c>
      <c r="C11" s="4" t="s">
        <v>11</v>
      </c>
    </row>
    <row r="12" spans="2:3" ht="160.19999999999999" customHeight="1" x14ac:dyDescent="0.3">
      <c r="B12" t="s">
        <v>12</v>
      </c>
      <c r="C12" s="5" t="s">
        <v>279</v>
      </c>
    </row>
    <row r="13" spans="2:3" ht="43.2" x14ac:dyDescent="0.3">
      <c r="B13" t="s">
        <v>13</v>
      </c>
      <c r="C13" s="5" t="s">
        <v>280</v>
      </c>
    </row>
    <row r="14" spans="2:3" x14ac:dyDescent="0.3">
      <c r="B14" t="s">
        <v>14</v>
      </c>
      <c r="C14" s="6" t="s">
        <v>15</v>
      </c>
    </row>
    <row r="15" spans="2:3" x14ac:dyDescent="0.3">
      <c r="B15" t="s">
        <v>16</v>
      </c>
      <c r="C15" s="6" t="s">
        <v>17</v>
      </c>
    </row>
    <row r="18" spans="2:3" ht="18" thickBot="1" x14ac:dyDescent="0.4">
      <c r="B18" s="3" t="s">
        <v>18</v>
      </c>
    </row>
    <row r="19" spans="2:3" ht="15.6" thickTop="1" thickBot="1" x14ac:dyDescent="0.35"/>
    <row r="20" spans="2:3" x14ac:dyDescent="0.3">
      <c r="B20" s="7" t="s">
        <v>19</v>
      </c>
      <c r="C20" s="8" t="s">
        <v>13</v>
      </c>
    </row>
    <row r="21" spans="2:3" x14ac:dyDescent="0.3">
      <c r="B21" s="22">
        <v>46147</v>
      </c>
      <c r="C21" s="12" t="s">
        <v>20</v>
      </c>
    </row>
    <row r="22" spans="2:3" x14ac:dyDescent="0.3">
      <c r="B22" s="22">
        <v>46250</v>
      </c>
      <c r="C22" s="12" t="s">
        <v>222</v>
      </c>
    </row>
    <row r="23" spans="2:3" x14ac:dyDescent="0.3">
      <c r="B23" s="22">
        <v>46251</v>
      </c>
      <c r="C23" s="12" t="s">
        <v>221</v>
      </c>
    </row>
    <row r="24" spans="2:3" x14ac:dyDescent="0.3">
      <c r="B24" s="22">
        <v>46254</v>
      </c>
      <c r="C24" s="12" t="s">
        <v>234</v>
      </c>
    </row>
    <row r="25" spans="2:3" x14ac:dyDescent="0.3">
      <c r="B25" s="22">
        <v>46255</v>
      </c>
      <c r="C25" s="12" t="s">
        <v>267</v>
      </c>
    </row>
    <row r="26" spans="2:3" s="37" customFormat="1" ht="15" thickBot="1" x14ac:dyDescent="0.35">
      <c r="B26" s="9">
        <v>46257</v>
      </c>
      <c r="C26" s="10" t="s">
        <v>281</v>
      </c>
    </row>
    <row r="29" spans="2:3" ht="18" thickBot="1" x14ac:dyDescent="0.4">
      <c r="B29" s="3" t="s">
        <v>21</v>
      </c>
    </row>
    <row r="30" spans="2:3" ht="15.6" thickTop="1" thickBot="1" x14ac:dyDescent="0.35"/>
    <row r="31" spans="2:3" x14ac:dyDescent="0.3">
      <c r="B31" s="7" t="s">
        <v>22</v>
      </c>
      <c r="C31" s="8" t="s">
        <v>12</v>
      </c>
    </row>
    <row r="32" spans="2:3" x14ac:dyDescent="0.3">
      <c r="B32" s="11" t="s">
        <v>23</v>
      </c>
      <c r="C32" s="12" t="s">
        <v>24</v>
      </c>
    </row>
    <row r="33" spans="2:7" x14ac:dyDescent="0.3">
      <c r="B33" s="19" t="s">
        <v>25</v>
      </c>
      <c r="C33" s="20" t="str">
        <f>'Figure 2 data'!$B$1</f>
        <v>Background data of main manuscript's figure 2 and hotspot products ranking.</v>
      </c>
    </row>
    <row r="34" spans="2:7" x14ac:dyDescent="0.3">
      <c r="B34" s="19" t="s">
        <v>223</v>
      </c>
      <c r="C34" s="20" t="str">
        <f>'Location sensitivity analysis'!$B$1</f>
        <v>Sensitivity analysis of Ecoinvent versions 3.11 and 3.12 for similar selected products and regions.</v>
      </c>
    </row>
    <row r="35" spans="2:7" x14ac:dyDescent="0.3">
      <c r="B35" s="19" t="s">
        <v>224</v>
      </c>
      <c r="C35" s="20" t="str">
        <f>'EI version total sensitivity'!$B$1</f>
        <v>Sensitivity analysis of Ecoinvent versions 3.11 and 3.12 after aggration of the footprint across regions.</v>
      </c>
    </row>
    <row r="36" spans="2:7" ht="15" thickBot="1" x14ac:dyDescent="0.35">
      <c r="B36" s="13" t="s">
        <v>151</v>
      </c>
      <c r="C36" s="14" t="str">
        <f>'PA-6 and PA-6,6'!$B$1</f>
        <v>Estimated contribution of some key intermediates to the unit footprint of polyamides (PA-6 and PA-6,6).</v>
      </c>
    </row>
    <row r="39" spans="2:7" ht="18" thickBot="1" x14ac:dyDescent="0.4">
      <c r="B39" s="39" t="s">
        <v>240</v>
      </c>
      <c r="C39" s="37"/>
      <c r="D39" s="37"/>
      <c r="E39" s="37"/>
      <c r="F39" s="37"/>
      <c r="G39" s="37"/>
    </row>
    <row r="40" spans="2:7" ht="15.6" thickTop="1" thickBot="1" x14ac:dyDescent="0.35">
      <c r="B40" s="37"/>
      <c r="C40" s="37"/>
      <c r="D40" s="37"/>
      <c r="E40" s="37"/>
      <c r="F40" s="37"/>
      <c r="G40" s="37"/>
    </row>
    <row r="41" spans="2:7" x14ac:dyDescent="0.3">
      <c r="B41" s="40" t="s">
        <v>241</v>
      </c>
      <c r="C41" s="42" t="s">
        <v>12</v>
      </c>
      <c r="D41" s="42" t="s">
        <v>242</v>
      </c>
      <c r="E41" s="42" t="s">
        <v>243</v>
      </c>
      <c r="F41" s="42" t="s">
        <v>244</v>
      </c>
      <c r="G41" s="43" t="s">
        <v>245</v>
      </c>
    </row>
    <row r="42" spans="2:7" x14ac:dyDescent="0.3">
      <c r="B42" s="41" t="s">
        <v>246</v>
      </c>
      <c r="C42" s="21" t="s">
        <v>247</v>
      </c>
      <c r="D42" s="51" t="s">
        <v>248</v>
      </c>
      <c r="E42" s="51">
        <v>15</v>
      </c>
      <c r="F42" s="51">
        <v>4.1154000000000003E-2</v>
      </c>
      <c r="G42" s="52">
        <v>5.5855E-5</v>
      </c>
    </row>
    <row r="43" spans="2:7" x14ac:dyDescent="0.3">
      <c r="B43" s="41" t="s">
        <v>249</v>
      </c>
      <c r="C43" s="21" t="s">
        <v>250</v>
      </c>
      <c r="D43" s="1" t="s">
        <v>251</v>
      </c>
      <c r="E43" s="1">
        <v>15</v>
      </c>
      <c r="F43" s="53">
        <v>4.1154000000000003E-2</v>
      </c>
      <c r="G43" s="54">
        <v>5.5855E-5</v>
      </c>
    </row>
    <row r="44" spans="2:7" x14ac:dyDescent="0.3">
      <c r="B44" s="41" t="s">
        <v>252</v>
      </c>
      <c r="C44" s="21" t="s">
        <v>253</v>
      </c>
      <c r="D44" s="44" t="s">
        <v>254</v>
      </c>
      <c r="E44" s="44">
        <v>15</v>
      </c>
      <c r="F44" s="44">
        <v>4.1154000000000003E-2</v>
      </c>
      <c r="G44" s="45">
        <v>5.5855E-5</v>
      </c>
    </row>
    <row r="45" spans="2:7" x14ac:dyDescent="0.3">
      <c r="B45" s="41" t="s">
        <v>255</v>
      </c>
      <c r="C45" s="21" t="s">
        <v>256</v>
      </c>
      <c r="D45" s="38" t="s">
        <v>257</v>
      </c>
      <c r="E45" s="38" t="s">
        <v>258</v>
      </c>
      <c r="F45" s="38" t="s">
        <v>259</v>
      </c>
      <c r="G45" s="48" t="s">
        <v>260</v>
      </c>
    </row>
    <row r="46" spans="2:7" ht="15" thickBot="1" x14ac:dyDescent="0.35">
      <c r="B46" s="31" t="s">
        <v>261</v>
      </c>
      <c r="C46" s="46" t="s">
        <v>262</v>
      </c>
      <c r="D46" s="35" t="s">
        <v>263</v>
      </c>
      <c r="E46" s="35" t="s">
        <v>264</v>
      </c>
      <c r="F46" s="35" t="s">
        <v>265</v>
      </c>
      <c r="G46" s="34" t="s">
        <v>266</v>
      </c>
    </row>
  </sheetData>
  <hyperlinks>
    <hyperlink ref="C9" r:id="rId1" xr:uid="{8321C33C-A89E-479A-9DA0-CD2BD393EB41}"/>
    <hyperlink ref="C11" r:id="rId2" xr:uid="{A55C8539-54D8-49BA-9136-7DA01406DF7A}"/>
    <hyperlink ref="C15" r:id="rId3" xr:uid="{0AD84E2C-9B77-4018-A42F-22A39398A7A3}"/>
    <hyperlink ref="C14" r:id="rId4" xr:uid="{F7D1FB83-556E-418E-B454-CDC30C4C994D}"/>
    <hyperlink ref="B33" location="'Figure 2 data'!A1" display="'Figure 2 data'!A1" xr:uid="{F0388310-AC2B-442E-A5F9-79ACE14EC188}"/>
    <hyperlink ref="B34" location="'Location sensitivity analysis'!A1" display="'Location sensitivity analysis'!A1" xr:uid="{D89A399C-570F-4975-805B-0DD9B478249E}"/>
    <hyperlink ref="B35" location="'EI version total sensitivity'!A1" display="'EI version total sensitivity'!A1" xr:uid="{401F42DD-42B5-431B-A48F-645607742C97}"/>
    <hyperlink ref="B36" location="'PA-6 and PA-6,6'!A1" display="'PA-6 and PA-6,6'!A1" xr:uid="{24217988-302F-43D5-9C9B-30E2F1F30A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612D-5809-445D-A327-8A13D7C36D35}">
  <sheetPr codeName="Sheet2"/>
  <dimension ref="A1:AK55"/>
  <sheetViews>
    <sheetView zoomScale="85" zoomScaleNormal="85" workbookViewId="0">
      <selection activeCell="B3" sqref="B3"/>
    </sheetView>
  </sheetViews>
  <sheetFormatPr defaultRowHeight="14.4" x14ac:dyDescent="0.3"/>
  <cols>
    <col min="1" max="1" width="68.33203125" bestFit="1" customWidth="1"/>
    <col min="2" max="2" width="30.6640625" bestFit="1" customWidth="1"/>
    <col min="3" max="3" width="19.109375" bestFit="1" customWidth="1"/>
    <col min="4" max="4" width="46.109375" bestFit="1" customWidth="1"/>
    <col min="5" max="5" width="20.6640625" bestFit="1" customWidth="1"/>
    <col min="6" max="6" width="34.21875" bestFit="1" customWidth="1"/>
    <col min="7" max="7" width="33.109375" bestFit="1" customWidth="1"/>
    <col min="8" max="8" width="33.6640625" bestFit="1" customWidth="1"/>
    <col min="9" max="9" width="37.5546875" bestFit="1" customWidth="1"/>
    <col min="10" max="11" width="32.77734375" bestFit="1" customWidth="1"/>
    <col min="12" max="12" width="38" bestFit="1" customWidth="1"/>
    <col min="13" max="13" width="32.77734375" bestFit="1" customWidth="1"/>
    <col min="14" max="15" width="80.88671875" bestFit="1" customWidth="1"/>
    <col min="16" max="16" width="34.21875" bestFit="1" customWidth="1"/>
    <col min="17" max="17" width="33.109375" bestFit="1" customWidth="1"/>
    <col min="18" max="18" width="33.6640625" bestFit="1" customWidth="1"/>
    <col min="19" max="19" width="37.5546875" bestFit="1" customWidth="1"/>
    <col min="20" max="21" width="32.77734375" bestFit="1" customWidth="1"/>
    <col min="22" max="22" width="38" bestFit="1" customWidth="1"/>
    <col min="23" max="23" width="32.77734375" bestFit="1" customWidth="1"/>
    <col min="24" max="25" width="80.88671875" bestFit="1" customWidth="1"/>
    <col min="26" max="27" width="58.44140625" bestFit="1" customWidth="1"/>
    <col min="28" max="32" width="80.88671875" bestFit="1" customWidth="1"/>
    <col min="33" max="33" width="80.88671875" customWidth="1"/>
    <col min="34" max="34" width="78.6640625" bestFit="1" customWidth="1"/>
    <col min="35" max="35" width="41.77734375" customWidth="1"/>
    <col min="36" max="37" width="17" customWidth="1"/>
    <col min="38" max="39" width="33.109375" customWidth="1"/>
    <col min="40" max="40" width="28.33203125" customWidth="1"/>
  </cols>
  <sheetData>
    <row r="1" spans="1:37" ht="24" thickBot="1" x14ac:dyDescent="0.5">
      <c r="A1" s="2" t="s">
        <v>108</v>
      </c>
      <c r="B1" s="24" t="s">
        <v>276</v>
      </c>
    </row>
    <row r="2" spans="1:37" ht="21" thickTop="1" thickBot="1" x14ac:dyDescent="0.45">
      <c r="A2" s="2" t="s">
        <v>219</v>
      </c>
      <c r="B2" s="21" t="s">
        <v>277</v>
      </c>
    </row>
    <row r="3" spans="1:37" ht="15" thickTop="1" x14ac:dyDescent="0.3"/>
    <row r="4" spans="1:37" x14ac:dyDescent="0.3">
      <c r="A4" t="s">
        <v>26</v>
      </c>
      <c r="B4" t="s">
        <v>27</v>
      </c>
      <c r="C4" t="s">
        <v>109</v>
      </c>
      <c r="D4" t="s">
        <v>110</v>
      </c>
      <c r="E4" t="s">
        <v>111</v>
      </c>
      <c r="F4" t="s">
        <v>112</v>
      </c>
      <c r="G4" t="s">
        <v>113</v>
      </c>
      <c r="H4" t="s">
        <v>114</v>
      </c>
      <c r="I4" t="s">
        <v>115</v>
      </c>
      <c r="J4" t="s">
        <v>116</v>
      </c>
      <c r="K4" t="s">
        <v>117</v>
      </c>
      <c r="L4" t="s">
        <v>118</v>
      </c>
      <c r="M4" t="s">
        <v>119</v>
      </c>
      <c r="N4" t="s">
        <v>120</v>
      </c>
      <c r="O4" t="s">
        <v>121</v>
      </c>
      <c r="P4" t="s">
        <v>122</v>
      </c>
      <c r="Q4" t="s">
        <v>123</v>
      </c>
      <c r="R4" t="s">
        <v>124</v>
      </c>
      <c r="S4" t="s">
        <v>125</v>
      </c>
      <c r="T4" t="s">
        <v>126</v>
      </c>
      <c r="U4" t="s">
        <v>127</v>
      </c>
      <c r="V4" t="s">
        <v>128</v>
      </c>
      <c r="W4" t="s">
        <v>129</v>
      </c>
      <c r="X4" t="s">
        <v>130</v>
      </c>
      <c r="Y4" t="s">
        <v>131</v>
      </c>
      <c r="Z4" t="s">
        <v>235</v>
      </c>
      <c r="AA4" t="s">
        <v>236</v>
      </c>
      <c r="AB4" t="s">
        <v>132</v>
      </c>
      <c r="AC4" t="s">
        <v>133</v>
      </c>
      <c r="AD4" t="s">
        <v>134</v>
      </c>
      <c r="AE4" t="s">
        <v>135</v>
      </c>
      <c r="AF4" t="s">
        <v>136</v>
      </c>
      <c r="AG4" t="s">
        <v>137</v>
      </c>
      <c r="AH4" t="s">
        <v>138</v>
      </c>
      <c r="AI4" t="s">
        <v>220</v>
      </c>
      <c r="AJ4" t="s">
        <v>237</v>
      </c>
      <c r="AK4" t="s">
        <v>238</v>
      </c>
    </row>
    <row r="5" spans="1:37" x14ac:dyDescent="0.3">
      <c r="A5" s="15" t="s">
        <v>142</v>
      </c>
      <c r="B5" s="15" t="s">
        <v>28</v>
      </c>
      <c r="C5">
        <v>16.341803400000003</v>
      </c>
      <c r="D5">
        <v>0.79716715241793024</v>
      </c>
      <c r="E5">
        <v>0.85627717999999986</v>
      </c>
      <c r="F5">
        <v>0</v>
      </c>
      <c r="G5">
        <v>2.0253247207813589</v>
      </c>
      <c r="H5">
        <v>0.20909821864091332</v>
      </c>
      <c r="I5">
        <v>0</v>
      </c>
      <c r="J5">
        <v>0</v>
      </c>
      <c r="K5">
        <v>0</v>
      </c>
      <c r="L5">
        <v>0</v>
      </c>
      <c r="M5">
        <v>0</v>
      </c>
      <c r="N5">
        <v>2.8520679301439484</v>
      </c>
      <c r="O5">
        <v>2.2731411394179712</v>
      </c>
      <c r="P5">
        <v>0</v>
      </c>
      <c r="Q5">
        <v>1.8783382578563803</v>
      </c>
      <c r="R5">
        <v>0.10352275046508241</v>
      </c>
      <c r="S5">
        <v>0</v>
      </c>
      <c r="T5">
        <v>0</v>
      </c>
      <c r="U5">
        <v>0</v>
      </c>
      <c r="V5">
        <v>0</v>
      </c>
      <c r="W5">
        <v>0</v>
      </c>
      <c r="X5">
        <v>2.5203887477588371</v>
      </c>
      <c r="Y5">
        <v>1.9489411783225767</v>
      </c>
      <c r="Z5">
        <v>0.79146547386998312</v>
      </c>
      <c r="AA5">
        <v>0.79141807731606562</v>
      </c>
      <c r="AB5">
        <v>3.6435334040139313</v>
      </c>
      <c r="AC5">
        <v>46.607933397857352</v>
      </c>
      <c r="AD5">
        <v>59.541906569728447</v>
      </c>
      <c r="AE5">
        <v>3.3118068250749029</v>
      </c>
      <c r="AF5">
        <v>41.187697407447118</v>
      </c>
      <c r="AG5">
        <v>54.120896034152267</v>
      </c>
      <c r="AH5">
        <v>0</v>
      </c>
      <c r="AI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-0.11629427857574588</v>
      </c>
      <c r="AJ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v>
      </c>
      <c r="AK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v>
      </c>
    </row>
    <row r="6" spans="1:37" x14ac:dyDescent="0.3">
      <c r="A6" s="15" t="s">
        <v>29</v>
      </c>
      <c r="B6" s="15" t="s">
        <v>30</v>
      </c>
      <c r="C6">
        <v>11.059816489999999</v>
      </c>
      <c r="D6">
        <v>0.86402104899999999</v>
      </c>
      <c r="E6">
        <v>0.85627717999999997</v>
      </c>
      <c r="F6">
        <v>2.2898037647921319</v>
      </c>
      <c r="G6">
        <v>8.7581324337646593E-2</v>
      </c>
      <c r="H6">
        <v>0.46613208861771099</v>
      </c>
      <c r="I6">
        <v>0</v>
      </c>
      <c r="J6">
        <v>0</v>
      </c>
      <c r="K6">
        <v>0</v>
      </c>
      <c r="L6">
        <v>0</v>
      </c>
      <c r="M6">
        <v>0</v>
      </c>
      <c r="N6">
        <v>3.049225589995086</v>
      </c>
      <c r="O6">
        <v>2.6345950929051982</v>
      </c>
      <c r="P6">
        <v>1.841080004334483</v>
      </c>
      <c r="Q6">
        <v>9.7479343773496596E-2</v>
      </c>
      <c r="R6">
        <v>0</v>
      </c>
      <c r="S6">
        <v>0</v>
      </c>
      <c r="T6">
        <v>0</v>
      </c>
      <c r="U6">
        <v>0</v>
      </c>
      <c r="V6">
        <v>0</v>
      </c>
      <c r="W6">
        <v>0</v>
      </c>
      <c r="X6">
        <v>2.3416386163024563</v>
      </c>
      <c r="Y6">
        <v>2.0240234205117176</v>
      </c>
      <c r="Z6">
        <v>0.79146547386998312</v>
      </c>
      <c r="AA6">
        <v>0.79141807731606573</v>
      </c>
      <c r="AB6">
        <v>3.8406910638650693</v>
      </c>
      <c r="AC6">
        <v>33.723875461957626</v>
      </c>
      <c r="AD6">
        <v>42.477338361130535</v>
      </c>
      <c r="AE6">
        <v>3.133056693618522</v>
      </c>
      <c r="AF6">
        <v>25.898093382202688</v>
      </c>
      <c r="AG6">
        <v>34.651032084187008</v>
      </c>
      <c r="AH6">
        <v>0</v>
      </c>
      <c r="AI6"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-0.2320546488965318</v>
      </c>
      <c r="AJ6"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v>
      </c>
      <c r="AK6"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v>
      </c>
    </row>
    <row r="7" spans="1:37" x14ac:dyDescent="0.3">
      <c r="A7" s="15" t="s">
        <v>34</v>
      </c>
      <c r="B7" s="15" t="s">
        <v>34</v>
      </c>
      <c r="C7">
        <v>10.33749377</v>
      </c>
      <c r="D7">
        <v>0.87904863300000002</v>
      </c>
      <c r="E7">
        <v>0.85639928700000001</v>
      </c>
      <c r="F7">
        <v>0</v>
      </c>
      <c r="G7">
        <v>1.8229857480794645</v>
      </c>
      <c r="H7">
        <v>0</v>
      </c>
      <c r="I7">
        <v>0</v>
      </c>
      <c r="J7">
        <v>0</v>
      </c>
      <c r="K7">
        <v>0</v>
      </c>
      <c r="L7">
        <v>0</v>
      </c>
      <c r="M7">
        <v>0</v>
      </c>
      <c r="N7">
        <v>1.8233934504459255</v>
      </c>
      <c r="O7">
        <v>1.600745290093138</v>
      </c>
      <c r="P7">
        <v>0</v>
      </c>
      <c r="Q7">
        <v>1.8790377165437917</v>
      </c>
      <c r="R7">
        <v>0</v>
      </c>
      <c r="S7">
        <v>0</v>
      </c>
      <c r="T7">
        <v>0</v>
      </c>
      <c r="U7">
        <v>0</v>
      </c>
      <c r="V7">
        <v>0</v>
      </c>
      <c r="W7">
        <v>0</v>
      </c>
      <c r="X7">
        <v>1.8792150734866879</v>
      </c>
      <c r="Y7">
        <v>1.6640826066083536</v>
      </c>
      <c r="Z7">
        <v>0.79157833857883575</v>
      </c>
      <c r="AA7">
        <v>0.7915309352660661</v>
      </c>
      <c r="AB7">
        <v>2.6149717890247612</v>
      </c>
      <c r="AC7">
        <v>18.849318434243557</v>
      </c>
      <c r="AD7">
        <v>27.032254577769223</v>
      </c>
      <c r="AE7">
        <v>2.6707460087527539</v>
      </c>
      <c r="AF7">
        <v>19.426374114658728</v>
      </c>
      <c r="AG7">
        <v>27.608820226733958</v>
      </c>
      <c r="AH7">
        <v>0</v>
      </c>
      <c r="AI7"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3.0614140369491186E-2</v>
      </c>
      <c r="AJ7"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v>
      </c>
      <c r="AK7"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v>
      </c>
    </row>
    <row r="8" spans="1:37" x14ac:dyDescent="0.3">
      <c r="A8" s="15" t="s">
        <v>142</v>
      </c>
      <c r="B8" s="15" t="s">
        <v>31</v>
      </c>
      <c r="C8">
        <v>3.4565416359999999</v>
      </c>
      <c r="D8">
        <v>0.90760447259866495</v>
      </c>
      <c r="E8">
        <v>0.922574699</v>
      </c>
      <c r="F8">
        <v>0</v>
      </c>
      <c r="G8">
        <v>0</v>
      </c>
      <c r="H8">
        <v>0</v>
      </c>
      <c r="I8">
        <v>0</v>
      </c>
      <c r="J8">
        <v>0</v>
      </c>
      <c r="K8">
        <v>0</v>
      </c>
      <c r="L8">
        <v>0</v>
      </c>
      <c r="M8">
        <v>0</v>
      </c>
      <c r="N8">
        <v>6.8079036848399719</v>
      </c>
      <c r="O8">
        <v>6.2553832824846705</v>
      </c>
      <c r="P8">
        <v>8.1772114658816286E-2</v>
      </c>
      <c r="Q8">
        <v>0.19288022990449111</v>
      </c>
      <c r="R8">
        <v>0</v>
      </c>
      <c r="S8">
        <v>0</v>
      </c>
      <c r="T8">
        <v>0</v>
      </c>
      <c r="U8">
        <v>0</v>
      </c>
      <c r="V8">
        <v>0</v>
      </c>
      <c r="W8">
        <v>1.0552573131028635</v>
      </c>
      <c r="X8">
        <v>6.8441379930501398</v>
      </c>
      <c r="Y8">
        <v>6.2668995080855838</v>
      </c>
      <c r="Z8">
        <v>0.85274492696919935</v>
      </c>
      <c r="AA8">
        <v>0.85269386072279552</v>
      </c>
      <c r="AB8">
        <v>7.6606486118091714</v>
      </c>
      <c r="AC8">
        <v>23.531802540527185</v>
      </c>
      <c r="AD8">
        <v>26.479350885484003</v>
      </c>
      <c r="AE8">
        <v>7.6968318537729354</v>
      </c>
      <c r="AF8">
        <v>23.657047935507286</v>
      </c>
      <c r="AG8">
        <v>26.604419767857213</v>
      </c>
      <c r="AH8">
        <v>0</v>
      </c>
      <c r="AI8"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5.3223884895515624E-3</v>
      </c>
      <c r="AJ8"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v>
      </c>
      <c r="AK8"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v>
      </c>
    </row>
    <row r="9" spans="1:37" x14ac:dyDescent="0.3">
      <c r="A9" s="15" t="s">
        <v>32</v>
      </c>
      <c r="B9" s="15" t="s">
        <v>33</v>
      </c>
      <c r="C9">
        <v>9.0817412019999999</v>
      </c>
      <c r="D9">
        <v>0.94409418599999995</v>
      </c>
      <c r="E9">
        <v>0.856297529</v>
      </c>
      <c r="F9">
        <v>1.8227442402215039</v>
      </c>
      <c r="G9">
        <v>0</v>
      </c>
      <c r="H9">
        <v>0</v>
      </c>
      <c r="I9">
        <v>0</v>
      </c>
      <c r="J9">
        <v>0</v>
      </c>
      <c r="K9">
        <v>0</v>
      </c>
      <c r="L9">
        <v>0</v>
      </c>
      <c r="M9">
        <v>0</v>
      </c>
      <c r="N9">
        <v>1.8227442393058799</v>
      </c>
      <c r="O9">
        <v>1.7191931166211138</v>
      </c>
      <c r="P9">
        <v>1.8872315623150071</v>
      </c>
      <c r="Q9">
        <v>0</v>
      </c>
      <c r="R9">
        <v>0</v>
      </c>
      <c r="S9">
        <v>0</v>
      </c>
      <c r="T9">
        <v>0</v>
      </c>
      <c r="U9">
        <v>0</v>
      </c>
      <c r="V9">
        <v>0</v>
      </c>
      <c r="W9">
        <v>0</v>
      </c>
      <c r="X9">
        <v>1.8874170033805759</v>
      </c>
      <c r="Y9">
        <v>1.787217103395073</v>
      </c>
      <c r="Z9">
        <v>0.79148428265212045</v>
      </c>
      <c r="AA9">
        <v>0.79143688497184761</v>
      </c>
      <c r="AB9">
        <v>2.6142285219580002</v>
      </c>
      <c r="AC9">
        <v>16.553691458812356</v>
      </c>
      <c r="AD9">
        <v>23.741746879309531</v>
      </c>
      <c r="AE9">
        <v>2.6788538883524238</v>
      </c>
      <c r="AF9">
        <v>17.141032764956751</v>
      </c>
      <c r="AG9">
        <v>24.328657731988116</v>
      </c>
      <c r="AH9">
        <v>0</v>
      </c>
      <c r="AI9"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3.5480986679362149E-2</v>
      </c>
      <c r="AJ9"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5</v>
      </c>
      <c r="AK9"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5</v>
      </c>
    </row>
    <row r="10" spans="1:37" x14ac:dyDescent="0.3">
      <c r="A10" s="15" t="s">
        <v>36</v>
      </c>
      <c r="B10" s="15" t="s">
        <v>36</v>
      </c>
      <c r="C10">
        <v>6.2344760670000001</v>
      </c>
      <c r="D10">
        <v>0.88287081499999998</v>
      </c>
      <c r="E10">
        <v>0.922621943</v>
      </c>
      <c r="F10">
        <v>0</v>
      </c>
      <c r="G10">
        <v>0</v>
      </c>
      <c r="H10">
        <v>0</v>
      </c>
      <c r="I10">
        <v>0</v>
      </c>
      <c r="J10">
        <v>0</v>
      </c>
      <c r="K10">
        <v>0</v>
      </c>
      <c r="L10">
        <v>0</v>
      </c>
      <c r="M10">
        <v>2.0397244662790519</v>
      </c>
      <c r="N10">
        <v>2.0708824605839395</v>
      </c>
      <c r="O10">
        <v>1.8229157723490144</v>
      </c>
      <c r="P10">
        <v>0</v>
      </c>
      <c r="Q10">
        <v>0</v>
      </c>
      <c r="R10">
        <v>0</v>
      </c>
      <c r="S10">
        <v>0</v>
      </c>
      <c r="T10">
        <v>0</v>
      </c>
      <c r="U10">
        <v>0</v>
      </c>
      <c r="V10">
        <v>0</v>
      </c>
      <c r="W10">
        <v>2.0795315128667213</v>
      </c>
      <c r="X10">
        <v>2.1111133254052867</v>
      </c>
      <c r="Y10">
        <v>1.8689277277304763</v>
      </c>
      <c r="Z10">
        <v>0.85278859506607374</v>
      </c>
      <c r="AA10">
        <v>0.85273752620462551</v>
      </c>
      <c r="AB10">
        <v>2.9236710556500132</v>
      </c>
      <c r="AC10">
        <v>12.910867138080642</v>
      </c>
      <c r="AD10">
        <v>18.227557224230633</v>
      </c>
      <c r="AE10">
        <v>2.9638508516099122</v>
      </c>
      <c r="AF10">
        <v>13.161685501964044</v>
      </c>
      <c r="AG10">
        <v>18.478057200519565</v>
      </c>
      <c r="AH10">
        <v>2.0397244662790519</v>
      </c>
      <c r="AI10"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1.9426918517627043E-2</v>
      </c>
      <c r="AJ10"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6</v>
      </c>
      <c r="AK10"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7</v>
      </c>
    </row>
    <row r="11" spans="1:37" x14ac:dyDescent="0.3">
      <c r="A11" s="15" t="s">
        <v>142</v>
      </c>
      <c r="B11" s="15" t="s">
        <v>35</v>
      </c>
      <c r="C11">
        <v>4.2215208759999996</v>
      </c>
      <c r="D11">
        <v>0.62536703653777503</v>
      </c>
      <c r="E11">
        <v>0.64854211699999997</v>
      </c>
      <c r="F11">
        <v>0</v>
      </c>
      <c r="G11">
        <v>0.3804677936268156</v>
      </c>
      <c r="H11">
        <v>0</v>
      </c>
      <c r="I11">
        <v>0</v>
      </c>
      <c r="J11">
        <v>0</v>
      </c>
      <c r="K11">
        <v>1.396252000674409</v>
      </c>
      <c r="L11">
        <v>0</v>
      </c>
      <c r="M11">
        <v>0</v>
      </c>
      <c r="N11">
        <v>3.7524038529688259</v>
      </c>
      <c r="O11">
        <v>2.3466296774240432</v>
      </c>
      <c r="P11">
        <v>0</v>
      </c>
      <c r="Q11">
        <v>0.21620964009079552</v>
      </c>
      <c r="R11">
        <v>0</v>
      </c>
      <c r="S11">
        <v>0</v>
      </c>
      <c r="T11">
        <v>0</v>
      </c>
      <c r="U11">
        <v>1.3817820043835358</v>
      </c>
      <c r="V11">
        <v>0</v>
      </c>
      <c r="W11">
        <v>0</v>
      </c>
      <c r="X11">
        <v>3.700445568512595</v>
      </c>
      <c r="Y11">
        <v>2.3141366790500633</v>
      </c>
      <c r="Z11">
        <v>0.59945389874345012</v>
      </c>
      <c r="AA11">
        <v>0.59941800071634632</v>
      </c>
      <c r="AB11">
        <v>4.3518577517122763</v>
      </c>
      <c r="AC11">
        <v>15.840851200490732</v>
      </c>
      <c r="AD11">
        <v>18.371458348235798</v>
      </c>
      <c r="AE11">
        <v>4.2998635692289415</v>
      </c>
      <c r="AF11">
        <v>15.621508217977606</v>
      </c>
      <c r="AG11">
        <v>18.151963821451847</v>
      </c>
      <c r="AH11">
        <v>1.396252000674409</v>
      </c>
      <c r="AI11"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-1.3846666428274404E-2</v>
      </c>
      <c r="AJ11"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7</v>
      </c>
      <c r="AK11"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6</v>
      </c>
    </row>
    <row r="12" spans="1:37" x14ac:dyDescent="0.3">
      <c r="A12" s="15" t="s">
        <v>142</v>
      </c>
      <c r="B12" s="15" t="s">
        <v>37</v>
      </c>
      <c r="C12">
        <v>5.7987684980000003</v>
      </c>
      <c r="D12">
        <v>0.89855347100401728</v>
      </c>
      <c r="E12">
        <v>0.38435200000000003</v>
      </c>
      <c r="F12">
        <v>0</v>
      </c>
      <c r="G12">
        <v>0.77474741292228766</v>
      </c>
      <c r="H12">
        <v>0</v>
      </c>
      <c r="I12">
        <v>0</v>
      </c>
      <c r="J12">
        <v>0</v>
      </c>
      <c r="K12">
        <v>0</v>
      </c>
      <c r="L12">
        <v>0</v>
      </c>
      <c r="M12">
        <v>0</v>
      </c>
      <c r="N12">
        <v>2.3898169088201087</v>
      </c>
      <c r="O12">
        <v>2.1059847318922329</v>
      </c>
      <c r="P12">
        <v>0</v>
      </c>
      <c r="Q12">
        <v>0.80805098981775503</v>
      </c>
      <c r="R12">
        <v>0</v>
      </c>
      <c r="S12">
        <v>0</v>
      </c>
      <c r="T12">
        <v>0</v>
      </c>
      <c r="U12">
        <v>0</v>
      </c>
      <c r="V12">
        <v>0</v>
      </c>
      <c r="W12">
        <v>0</v>
      </c>
      <c r="X12">
        <v>2.4470808920183122</v>
      </c>
      <c r="Y12">
        <v>2.168122774275222</v>
      </c>
      <c r="Z12">
        <v>0.35526035834900538</v>
      </c>
      <c r="AA12">
        <v>0.35523908374223467</v>
      </c>
      <c r="AB12">
        <v>2.7450772671691142</v>
      </c>
      <c r="AC12">
        <v>13.857995006853786</v>
      </c>
      <c r="AD12">
        <v>15.918067581436189</v>
      </c>
      <c r="AE12">
        <v>2.8023199757605468</v>
      </c>
      <c r="AF12">
        <v>14.190055588693529</v>
      </c>
      <c r="AG12">
        <v>16.250004796756382</v>
      </c>
      <c r="AH12">
        <v>0</v>
      </c>
      <c r="AI12"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2.3961661241436165E-2</v>
      </c>
      <c r="AJ12"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8</v>
      </c>
      <c r="AK12"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8</v>
      </c>
    </row>
    <row r="13" spans="1:37" x14ac:dyDescent="0.3">
      <c r="A13" s="15" t="s">
        <v>42</v>
      </c>
      <c r="B13" s="15" t="s">
        <v>42</v>
      </c>
      <c r="C13">
        <v>3.6279763919999999</v>
      </c>
      <c r="D13">
        <v>0.82690725499999995</v>
      </c>
      <c r="E13">
        <v>0.922592415</v>
      </c>
      <c r="F13">
        <v>0</v>
      </c>
      <c r="G13">
        <v>0.52495977064546095</v>
      </c>
      <c r="H13">
        <v>0</v>
      </c>
      <c r="I13">
        <v>0</v>
      </c>
      <c r="J13">
        <v>0</v>
      </c>
      <c r="K13">
        <v>0</v>
      </c>
      <c r="L13">
        <v>0</v>
      </c>
      <c r="M13">
        <v>1.6193501668735235</v>
      </c>
      <c r="N13">
        <v>3.2906244921340928</v>
      </c>
      <c r="O13">
        <v>2.6628764205445581</v>
      </c>
      <c r="P13">
        <v>0.1566001004235324</v>
      </c>
      <c r="Q13">
        <v>0.34269784069151771</v>
      </c>
      <c r="R13">
        <v>1.3932949956394099E-2</v>
      </c>
      <c r="S13">
        <v>0</v>
      </c>
      <c r="T13">
        <v>0</v>
      </c>
      <c r="U13">
        <v>0</v>
      </c>
      <c r="V13">
        <v>0</v>
      </c>
      <c r="W13">
        <v>1.320801958232136</v>
      </c>
      <c r="X13">
        <v>3.4341758332706727</v>
      </c>
      <c r="Y13">
        <v>2.7761662964121392</v>
      </c>
      <c r="Z13">
        <v>0.85276130204337242</v>
      </c>
      <c r="AA13">
        <v>0.85271023481635444</v>
      </c>
      <c r="AB13">
        <v>4.1433857941774654</v>
      </c>
      <c r="AC13">
        <v>11.938307972399478</v>
      </c>
      <c r="AD13">
        <v>15.032105844224015</v>
      </c>
      <c r="AE13">
        <v>4.2868860680870267</v>
      </c>
      <c r="AF13">
        <v>12.459108849082929</v>
      </c>
      <c r="AG13">
        <v>15.552721450213436</v>
      </c>
      <c r="AH13">
        <v>1.6193501668735235</v>
      </c>
      <c r="AI13"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4.3624345919665068E-2</v>
      </c>
      <c r="AJ13"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9</v>
      </c>
      <c r="AK13"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9</v>
      </c>
    </row>
    <row r="14" spans="1:37" x14ac:dyDescent="0.3">
      <c r="A14" s="15" t="s">
        <v>40</v>
      </c>
      <c r="B14" s="15" t="s">
        <v>41</v>
      </c>
      <c r="C14">
        <v>1.281304022</v>
      </c>
      <c r="D14">
        <v>0.87748442599999998</v>
      </c>
      <c r="E14">
        <v>0.61827385000000001</v>
      </c>
      <c r="F14">
        <v>0</v>
      </c>
      <c r="G14">
        <v>0</v>
      </c>
      <c r="H14">
        <v>0</v>
      </c>
      <c r="I14">
        <v>0</v>
      </c>
      <c r="J14">
        <v>0</v>
      </c>
      <c r="K14">
        <v>0</v>
      </c>
      <c r="L14">
        <v>0</v>
      </c>
      <c r="M14">
        <v>0</v>
      </c>
      <c r="N14">
        <v>9.3128698681962003</v>
      </c>
      <c r="O14">
        <v>8.1663569932874012</v>
      </c>
      <c r="P14">
        <v>0</v>
      </c>
      <c r="Q14">
        <v>0</v>
      </c>
      <c r="R14">
        <v>0</v>
      </c>
      <c r="S14">
        <v>0</v>
      </c>
      <c r="T14">
        <v>0</v>
      </c>
      <c r="U14">
        <v>0</v>
      </c>
      <c r="V14">
        <v>0</v>
      </c>
      <c r="W14">
        <v>0</v>
      </c>
      <c r="X14">
        <v>9.3133569965030301</v>
      </c>
      <c r="Y14">
        <v>8.1667954009049168</v>
      </c>
      <c r="Z14">
        <v>0.57147663992595121</v>
      </c>
      <c r="AA14">
        <v>0.57144241730440792</v>
      </c>
      <c r="AB14">
        <v>9.8843465081221513</v>
      </c>
      <c r="AC14">
        <v>11.932617618482402</v>
      </c>
      <c r="AD14">
        <v>12.664852935698569</v>
      </c>
      <c r="AE14">
        <v>9.8847994138074373</v>
      </c>
      <c r="AF14">
        <v>11.933241777941173</v>
      </c>
      <c r="AG14">
        <v>12.665433245574713</v>
      </c>
      <c r="AH14">
        <v>0</v>
      </c>
      <c r="AI14"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5.230700243039936E-5</v>
      </c>
      <c r="AJ14"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10</v>
      </c>
      <c r="AK14"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10</v>
      </c>
    </row>
    <row r="15" spans="1:37" x14ac:dyDescent="0.3">
      <c r="A15" s="15" t="s">
        <v>38</v>
      </c>
      <c r="B15" s="15" t="s">
        <v>39</v>
      </c>
      <c r="C15">
        <v>3.4912837350000001</v>
      </c>
      <c r="D15">
        <v>0.80199726299999996</v>
      </c>
      <c r="E15">
        <v>0.57839041700000005</v>
      </c>
      <c r="F15">
        <v>0</v>
      </c>
      <c r="G15">
        <v>0</v>
      </c>
      <c r="H15">
        <v>0</v>
      </c>
      <c r="I15">
        <v>0</v>
      </c>
      <c r="J15">
        <v>0</v>
      </c>
      <c r="K15">
        <v>1.6028377513517584</v>
      </c>
      <c r="L15">
        <v>0</v>
      </c>
      <c r="M15">
        <v>0</v>
      </c>
      <c r="N15">
        <v>2.5228001947207361</v>
      </c>
      <c r="O15">
        <v>2.0232788512618969</v>
      </c>
      <c r="P15">
        <v>0</v>
      </c>
      <c r="Q15">
        <v>0</v>
      </c>
      <c r="R15">
        <v>0</v>
      </c>
      <c r="S15">
        <v>0</v>
      </c>
      <c r="T15">
        <v>0</v>
      </c>
      <c r="U15">
        <v>1.5862268127062071</v>
      </c>
      <c r="V15">
        <v>0</v>
      </c>
      <c r="W15">
        <v>0</v>
      </c>
      <c r="X15">
        <v>2.5077724736246974</v>
      </c>
      <c r="Y15">
        <v>2.011226660073747</v>
      </c>
      <c r="Z15">
        <v>0.53461198799290921</v>
      </c>
      <c r="AA15">
        <v>0.53457997299446602</v>
      </c>
      <c r="AB15">
        <v>3.0574121827136453</v>
      </c>
      <c r="AC15">
        <v>8.8078112864833393</v>
      </c>
      <c r="AD15">
        <v>10.674293424698998</v>
      </c>
      <c r="AE15">
        <v>3.0423524466191632</v>
      </c>
      <c r="AF15">
        <v>8.7553452482466234</v>
      </c>
      <c r="AG15">
        <v>10.621715613018941</v>
      </c>
      <c r="AH15">
        <v>1.6028377513517584</v>
      </c>
      <c r="AI1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-5.956762302256874E-3</v>
      </c>
      <c r="AJ1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11</v>
      </c>
      <c r="AK1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11</v>
      </c>
    </row>
    <row r="16" spans="1:37" x14ac:dyDescent="0.3">
      <c r="A16" s="15" t="s">
        <v>47</v>
      </c>
      <c r="B16" s="15" t="s">
        <v>48</v>
      </c>
      <c r="C16">
        <v>2.8089402570000002</v>
      </c>
      <c r="D16">
        <v>0.99681721400000001</v>
      </c>
      <c r="E16">
        <v>0.88822333099999995</v>
      </c>
      <c r="F16">
        <v>0</v>
      </c>
      <c r="G16">
        <v>0</v>
      </c>
      <c r="H16">
        <v>0</v>
      </c>
      <c r="I16">
        <v>0</v>
      </c>
      <c r="J16">
        <v>0</v>
      </c>
      <c r="K16">
        <v>0</v>
      </c>
      <c r="L16">
        <v>0</v>
      </c>
      <c r="M16">
        <v>0</v>
      </c>
      <c r="N16">
        <v>2.6680621959002089</v>
      </c>
      <c r="O16">
        <v>2.6595703248959683</v>
      </c>
      <c r="P16">
        <v>0</v>
      </c>
      <c r="Q16">
        <v>0</v>
      </c>
      <c r="R16">
        <v>0</v>
      </c>
      <c r="S16">
        <v>0</v>
      </c>
      <c r="T16">
        <v>0</v>
      </c>
      <c r="U16">
        <v>0</v>
      </c>
      <c r="V16">
        <v>0</v>
      </c>
      <c r="W16">
        <v>0</v>
      </c>
      <c r="X16">
        <v>2.7221810111665787</v>
      </c>
      <c r="Y16">
        <v>2.713516891554772</v>
      </c>
      <c r="Z16">
        <v>0.82099361747826771</v>
      </c>
      <c r="AA16">
        <v>0.82094445264475158</v>
      </c>
      <c r="AB16">
        <v>3.4890558133784766</v>
      </c>
      <c r="AC16">
        <v>7.4944273102439176</v>
      </c>
      <c r="AD16">
        <v>9.800549333118683</v>
      </c>
      <c r="AE16">
        <v>3.5431254638113305</v>
      </c>
      <c r="AF16">
        <v>7.6464438291067696</v>
      </c>
      <c r="AG16">
        <v>9.9524277509014443</v>
      </c>
      <c r="AH16">
        <v>0</v>
      </c>
      <c r="AI16"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2.0283940662826294E-2</v>
      </c>
      <c r="AJ16"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12</v>
      </c>
      <c r="AK16"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12</v>
      </c>
    </row>
    <row r="17" spans="1:37" x14ac:dyDescent="0.3">
      <c r="A17" s="15" t="s">
        <v>43</v>
      </c>
      <c r="B17" s="15" t="s">
        <v>44</v>
      </c>
      <c r="C17">
        <v>1.0891084179999999</v>
      </c>
      <c r="D17">
        <v>0.87748442599999998</v>
      </c>
      <c r="E17">
        <v>0.642585823</v>
      </c>
      <c r="F17">
        <v>0</v>
      </c>
      <c r="G17">
        <v>0</v>
      </c>
      <c r="H17">
        <v>0</v>
      </c>
      <c r="I17">
        <v>0</v>
      </c>
      <c r="J17">
        <v>0</v>
      </c>
      <c r="K17">
        <v>0</v>
      </c>
      <c r="L17">
        <v>0</v>
      </c>
      <c r="M17">
        <v>0</v>
      </c>
      <c r="N17">
        <v>8.2583219149978468</v>
      </c>
      <c r="O17">
        <v>7.241229475936513</v>
      </c>
      <c r="P17">
        <v>0</v>
      </c>
      <c r="Q17">
        <v>0</v>
      </c>
      <c r="R17">
        <v>0</v>
      </c>
      <c r="S17">
        <v>0</v>
      </c>
      <c r="T17">
        <v>0</v>
      </c>
      <c r="U17">
        <v>0</v>
      </c>
      <c r="V17">
        <v>0</v>
      </c>
      <c r="W17">
        <v>0</v>
      </c>
      <c r="X17">
        <v>8.2585579514556535</v>
      </c>
      <c r="Y17">
        <v>7.241448818998415</v>
      </c>
      <c r="Z17">
        <v>0.59394843723714341</v>
      </c>
      <c r="AA17">
        <v>0.59391286890212558</v>
      </c>
      <c r="AB17">
        <v>8.8522703522349904</v>
      </c>
      <c r="AC17">
        <v>8.9942079161780342</v>
      </c>
      <c r="AD17">
        <v>9.6410821590309528</v>
      </c>
      <c r="AE17">
        <v>8.8524708203577784</v>
      </c>
      <c r="AF17">
        <v>8.9944649854711862</v>
      </c>
      <c r="AG17">
        <v>9.6413004905510213</v>
      </c>
      <c r="AH17">
        <v>0</v>
      </c>
      <c r="AI17"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2.8581648939842522E-5</v>
      </c>
      <c r="AJ17"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13</v>
      </c>
      <c r="AK17"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13</v>
      </c>
    </row>
    <row r="18" spans="1:37" x14ac:dyDescent="0.3">
      <c r="A18" s="15" t="s">
        <v>45</v>
      </c>
      <c r="B18" s="15" t="s">
        <v>46</v>
      </c>
      <c r="C18">
        <v>6.9047320579999996</v>
      </c>
      <c r="D18">
        <v>0.14193164799999999</v>
      </c>
      <c r="E18">
        <v>0.37485175700000001</v>
      </c>
      <c r="F18">
        <v>0</v>
      </c>
      <c r="G18">
        <v>0</v>
      </c>
      <c r="H18">
        <v>0.87252981214565128</v>
      </c>
      <c r="I18">
        <v>0</v>
      </c>
      <c r="J18">
        <v>0</v>
      </c>
      <c r="K18">
        <v>0</v>
      </c>
      <c r="L18">
        <v>0</v>
      </c>
      <c r="M18">
        <v>0</v>
      </c>
      <c r="N18">
        <v>0.92062270872432517</v>
      </c>
      <c r="O18">
        <v>0.12771241670399849</v>
      </c>
      <c r="P18">
        <v>0</v>
      </c>
      <c r="Q18">
        <v>0</v>
      </c>
      <c r="R18">
        <v>0.77340937162700008</v>
      </c>
      <c r="S18">
        <v>0</v>
      </c>
      <c r="T18">
        <v>0</v>
      </c>
      <c r="U18">
        <v>0</v>
      </c>
      <c r="V18">
        <v>0</v>
      </c>
      <c r="W18">
        <v>0</v>
      </c>
      <c r="X18">
        <v>0.80693462324516352</v>
      </c>
      <c r="Y18">
        <v>0.100360321720724</v>
      </c>
      <c r="Z18">
        <v>0.34647918969999969</v>
      </c>
      <c r="AA18">
        <v>0.34645844094956391</v>
      </c>
      <c r="AB18">
        <v>1.267101898424325</v>
      </c>
      <c r="AC18">
        <v>6.3566531302516438</v>
      </c>
      <c r="AD18">
        <v>8.748999098803095</v>
      </c>
      <c r="AE18">
        <v>1.1533930641947274</v>
      </c>
      <c r="AF18">
        <v>5.5716673618310324</v>
      </c>
      <c r="AG18">
        <v>7.9638700658201858</v>
      </c>
      <c r="AH18">
        <v>0</v>
      </c>
      <c r="AI18"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-0.12349042056185565</v>
      </c>
      <c r="AJ18"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14</v>
      </c>
      <c r="AK18"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14</v>
      </c>
    </row>
    <row r="19" spans="1:37" x14ac:dyDescent="0.3">
      <c r="A19" s="15" t="s">
        <v>49</v>
      </c>
      <c r="B19" s="15" t="s">
        <v>50</v>
      </c>
      <c r="C19">
        <v>1.650938177</v>
      </c>
      <c r="D19">
        <v>0.98168669500000005</v>
      </c>
      <c r="E19">
        <v>0.62040289299999996</v>
      </c>
      <c r="F19">
        <v>1.3987992789953565</v>
      </c>
      <c r="G19">
        <v>0</v>
      </c>
      <c r="H19">
        <v>8.5084549059669997E-3</v>
      </c>
      <c r="I19">
        <v>0</v>
      </c>
      <c r="J19">
        <v>0</v>
      </c>
      <c r="K19">
        <v>0</v>
      </c>
      <c r="L19">
        <v>0</v>
      </c>
      <c r="M19">
        <v>0</v>
      </c>
      <c r="N19">
        <v>3.995652602559848</v>
      </c>
      <c r="O19">
        <v>3.8862974332570448</v>
      </c>
      <c r="P19">
        <v>1.0473606214178051</v>
      </c>
      <c r="Q19">
        <v>9.5733196662494899E-2</v>
      </c>
      <c r="R19">
        <v>0</v>
      </c>
      <c r="S19">
        <v>0</v>
      </c>
      <c r="T19">
        <v>0</v>
      </c>
      <c r="U19">
        <v>0</v>
      </c>
      <c r="V19">
        <v>0</v>
      </c>
      <c r="W19">
        <v>0.44242596588852451</v>
      </c>
      <c r="X19">
        <v>3.8886830623245041</v>
      </c>
      <c r="Y19">
        <v>3.8350203997674202</v>
      </c>
      <c r="Z19">
        <v>0.57344453544651675</v>
      </c>
      <c r="AA19">
        <v>0.57341019497843537</v>
      </c>
      <c r="AB19">
        <v>4.5690971380063647</v>
      </c>
      <c r="AC19">
        <v>6.5965754235954615</v>
      </c>
      <c r="AD19">
        <v>7.5432968995561449</v>
      </c>
      <c r="AE19">
        <v>4.4620932573029393</v>
      </c>
      <c r="AF19">
        <v>6.4199753258447938</v>
      </c>
      <c r="AG19">
        <v>7.3666401078157069</v>
      </c>
      <c r="AH19">
        <v>0</v>
      </c>
      <c r="AI19"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-2.6771481626509011E-2</v>
      </c>
      <c r="AJ19"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15</v>
      </c>
      <c r="AK19"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15</v>
      </c>
    </row>
    <row r="20" spans="1:37" x14ac:dyDescent="0.3">
      <c r="A20" s="15" t="s">
        <v>52</v>
      </c>
      <c r="B20" s="15" t="s">
        <v>53</v>
      </c>
      <c r="C20">
        <v>0.667655569</v>
      </c>
      <c r="D20">
        <v>0.85514301199999998</v>
      </c>
      <c r="E20">
        <v>0.493129875</v>
      </c>
      <c r="F20">
        <v>0</v>
      </c>
      <c r="G20">
        <v>0</v>
      </c>
      <c r="H20">
        <v>0</v>
      </c>
      <c r="I20">
        <v>0</v>
      </c>
      <c r="J20">
        <v>0</v>
      </c>
      <c r="K20">
        <v>0</v>
      </c>
      <c r="L20">
        <v>0</v>
      </c>
      <c r="M20">
        <v>1.4184179167328674</v>
      </c>
      <c r="N20">
        <v>9.3705513735792021</v>
      </c>
      <c r="O20">
        <v>8.0131615257032554</v>
      </c>
      <c r="P20">
        <v>0</v>
      </c>
      <c r="Q20">
        <v>0</v>
      </c>
      <c r="R20">
        <v>0</v>
      </c>
      <c r="S20">
        <v>0</v>
      </c>
      <c r="T20">
        <v>0</v>
      </c>
      <c r="U20">
        <v>0</v>
      </c>
      <c r="V20">
        <v>0</v>
      </c>
      <c r="W20">
        <v>1.361899876262209</v>
      </c>
      <c r="X20">
        <v>9.2674947960691441</v>
      </c>
      <c r="Y20">
        <v>7.9250334136048934</v>
      </c>
      <c r="Z20">
        <v>0.45580482501743247</v>
      </c>
      <c r="AA20">
        <v>0.4557775293504982</v>
      </c>
      <c r="AB20">
        <v>9.8263561985966348</v>
      </c>
      <c r="AC20">
        <v>6.2563008091707539</v>
      </c>
      <c r="AD20">
        <v>6.5606214389707134</v>
      </c>
      <c r="AE20">
        <v>9.7232723254196429</v>
      </c>
      <c r="AF20">
        <v>6.1874945112740836</v>
      </c>
      <c r="AG20">
        <v>6.4917969169700047</v>
      </c>
      <c r="AH20">
        <v>1.4184179167328674</v>
      </c>
      <c r="AI20"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-1.0997920335897401E-2</v>
      </c>
      <c r="AJ20"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16</v>
      </c>
      <c r="AK20"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16</v>
      </c>
    </row>
    <row r="21" spans="1:37" x14ac:dyDescent="0.3">
      <c r="A21" s="15" t="s">
        <v>54</v>
      </c>
      <c r="B21" s="15" t="s">
        <v>55</v>
      </c>
      <c r="C21">
        <v>2.0000466659999998</v>
      </c>
      <c r="D21">
        <v>0.99997666799999996</v>
      </c>
      <c r="E21">
        <v>0.85632296600000002</v>
      </c>
      <c r="F21">
        <v>0</v>
      </c>
      <c r="G21">
        <v>0</v>
      </c>
      <c r="H21">
        <v>0</v>
      </c>
      <c r="I21">
        <v>0</v>
      </c>
      <c r="J21">
        <v>0</v>
      </c>
      <c r="K21">
        <v>0</v>
      </c>
      <c r="L21">
        <v>0</v>
      </c>
      <c r="M21">
        <v>0</v>
      </c>
      <c r="N21">
        <v>1.8237710289510107</v>
      </c>
      <c r="O21">
        <v>1.8237284767253632</v>
      </c>
      <c r="P21">
        <v>0</v>
      </c>
      <c r="Q21">
        <v>0</v>
      </c>
      <c r="R21">
        <v>0</v>
      </c>
      <c r="S21">
        <v>0</v>
      </c>
      <c r="T21">
        <v>0</v>
      </c>
      <c r="U21">
        <v>0</v>
      </c>
      <c r="V21">
        <v>0</v>
      </c>
      <c r="W21">
        <v>0</v>
      </c>
      <c r="X21">
        <v>1.9168250578465007</v>
      </c>
      <c r="Y21">
        <v>1.9167803344842516</v>
      </c>
      <c r="Z21">
        <v>0.79150779432302454</v>
      </c>
      <c r="AA21">
        <v>0.79146039523476586</v>
      </c>
      <c r="AB21">
        <v>2.6152788232740352</v>
      </c>
      <c r="AC21">
        <v>3.6476271660008583</v>
      </c>
      <c r="AD21">
        <v>5.2306796911496365</v>
      </c>
      <c r="AE21">
        <v>2.7082854530812668</v>
      </c>
      <c r="AF21">
        <v>3.8337395662511504</v>
      </c>
      <c r="AG21">
        <v>5.4166972910114861</v>
      </c>
      <c r="AH21">
        <v>0</v>
      </c>
      <c r="AI21"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5.1022868231990946E-2</v>
      </c>
      <c r="AJ21"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17</v>
      </c>
      <c r="AK21"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17</v>
      </c>
    </row>
    <row r="22" spans="1:37" x14ac:dyDescent="0.3">
      <c r="A22" s="15" t="s">
        <v>142</v>
      </c>
      <c r="B22" s="15" t="s">
        <v>51</v>
      </c>
      <c r="C22">
        <v>1.165635864</v>
      </c>
      <c r="D22">
        <v>0.94369093632121537</v>
      </c>
      <c r="E22">
        <v>0.55806846366410212</v>
      </c>
      <c r="F22">
        <v>0</v>
      </c>
      <c r="G22">
        <v>0.60815483282248917</v>
      </c>
      <c r="H22">
        <v>0.54204056026589398</v>
      </c>
      <c r="I22">
        <v>0</v>
      </c>
      <c r="J22">
        <v>0</v>
      </c>
      <c r="K22">
        <v>0</v>
      </c>
      <c r="L22">
        <v>0</v>
      </c>
      <c r="M22">
        <v>0</v>
      </c>
      <c r="N22">
        <v>3.7664818367844579</v>
      </c>
      <c r="O22">
        <v>3.5316816585163449</v>
      </c>
      <c r="P22">
        <v>0</v>
      </c>
      <c r="Q22">
        <v>0.62808393380447014</v>
      </c>
      <c r="R22">
        <v>0.49158701194795562</v>
      </c>
      <c r="S22">
        <v>0</v>
      </c>
      <c r="T22">
        <v>0</v>
      </c>
      <c r="U22">
        <v>0</v>
      </c>
      <c r="V22">
        <v>0</v>
      </c>
      <c r="W22">
        <v>0</v>
      </c>
      <c r="X22">
        <v>3.7929504180900353</v>
      </c>
      <c r="Y22">
        <v>3.5579418492636288</v>
      </c>
      <c r="Z22">
        <v>0.51582820535495533</v>
      </c>
      <c r="AA22">
        <v>0.51579731521488692</v>
      </c>
      <c r="AB22">
        <v>4.2823100421394136</v>
      </c>
      <c r="AC22">
        <v>4.3903463100605586</v>
      </c>
      <c r="AD22">
        <v>4.9916141658850517</v>
      </c>
      <c r="AE22">
        <v>4.308747733304922</v>
      </c>
      <c r="AF22">
        <v>4.4211990376995391</v>
      </c>
      <c r="AG22">
        <v>5.022430886868924</v>
      </c>
      <c r="AH22">
        <v>0</v>
      </c>
      <c r="AI22"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7.0274018175471393E-3</v>
      </c>
      <c r="AJ22"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18</v>
      </c>
      <c r="AK22"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18</v>
      </c>
    </row>
    <row r="23" spans="1:37" x14ac:dyDescent="0.3">
      <c r="A23" s="15" t="s">
        <v>63</v>
      </c>
      <c r="B23" s="15" t="s">
        <v>64</v>
      </c>
      <c r="C23">
        <v>1.7957479670000001</v>
      </c>
      <c r="D23">
        <v>0.55687101900000002</v>
      </c>
      <c r="E23">
        <v>0.38701466099999998</v>
      </c>
      <c r="F23">
        <v>0</v>
      </c>
      <c r="G23">
        <v>1.1060938114769638</v>
      </c>
      <c r="H23">
        <v>6.5547265954885303E-2</v>
      </c>
      <c r="I23">
        <v>0</v>
      </c>
      <c r="J23">
        <v>0</v>
      </c>
      <c r="K23">
        <v>0</v>
      </c>
      <c r="L23">
        <v>0</v>
      </c>
      <c r="M23">
        <v>0</v>
      </c>
      <c r="N23">
        <v>2.3143898688517264</v>
      </c>
      <c r="O23">
        <v>1.0975334988174508</v>
      </c>
      <c r="P23">
        <v>0</v>
      </c>
      <c r="Q23">
        <v>1.038473508069004</v>
      </c>
      <c r="R23">
        <v>0</v>
      </c>
      <c r="S23">
        <v>0</v>
      </c>
      <c r="T23">
        <v>0</v>
      </c>
      <c r="U23">
        <v>0</v>
      </c>
      <c r="V23">
        <v>0</v>
      </c>
      <c r="W23">
        <v>0</v>
      </c>
      <c r="X23">
        <v>2.2670109110048853</v>
      </c>
      <c r="Y23">
        <v>1.1420034085572781</v>
      </c>
      <c r="Z23">
        <v>0.35772148226932299</v>
      </c>
      <c r="AA23">
        <v>0.35770006027925322</v>
      </c>
      <c r="AB23">
        <v>2.6721113511210492</v>
      </c>
      <c r="AC23">
        <v>4.1560609018358843</v>
      </c>
      <c r="AD23">
        <v>4.7984385263732472</v>
      </c>
      <c r="AE23">
        <v>2.6247109712841383</v>
      </c>
      <c r="AF23">
        <v>4.0709802346038408</v>
      </c>
      <c r="AG23">
        <v>4.7133193906460873</v>
      </c>
      <c r="AH23">
        <v>0</v>
      </c>
      <c r="AI23"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-2.0471467873452082E-2</v>
      </c>
      <c r="AJ23"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19</v>
      </c>
      <c r="AK23"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19</v>
      </c>
    </row>
    <row r="24" spans="1:37" x14ac:dyDescent="0.3">
      <c r="A24" s="15" t="s">
        <v>56</v>
      </c>
      <c r="B24" s="15" t="s">
        <v>57</v>
      </c>
      <c r="C24">
        <v>0.84621718300000004</v>
      </c>
      <c r="D24">
        <v>0.71535186100000003</v>
      </c>
      <c r="E24">
        <v>0.85265025999999999</v>
      </c>
      <c r="F24">
        <v>0</v>
      </c>
      <c r="G24">
        <v>0</v>
      </c>
      <c r="H24">
        <v>0</v>
      </c>
      <c r="I24">
        <v>0</v>
      </c>
      <c r="J24">
        <v>0</v>
      </c>
      <c r="K24">
        <v>0</v>
      </c>
      <c r="L24">
        <v>0</v>
      </c>
      <c r="M24">
        <v>0</v>
      </c>
      <c r="N24">
        <v>4.6525060440900159</v>
      </c>
      <c r="O24">
        <v>3.3281788569535409</v>
      </c>
      <c r="P24">
        <v>0</v>
      </c>
      <c r="Q24">
        <v>0</v>
      </c>
      <c r="R24">
        <v>0</v>
      </c>
      <c r="S24">
        <v>0</v>
      </c>
      <c r="T24">
        <v>0</v>
      </c>
      <c r="U24">
        <v>0</v>
      </c>
      <c r="V24">
        <v>0</v>
      </c>
      <c r="W24">
        <v>0</v>
      </c>
      <c r="X24">
        <v>4.6563133766000337</v>
      </c>
      <c r="Y24">
        <v>3.3309024393500279</v>
      </c>
      <c r="Z24">
        <v>0.78811307581064383</v>
      </c>
      <c r="AA24">
        <v>0.78806588001357647</v>
      </c>
      <c r="AB24">
        <v>5.4406191199006599</v>
      </c>
      <c r="AC24">
        <v>3.9370305585203274</v>
      </c>
      <c r="AD24">
        <v>4.6039453854182755</v>
      </c>
      <c r="AE24">
        <v>5.44437925661361</v>
      </c>
      <c r="AF24">
        <v>3.9402523887116989</v>
      </c>
      <c r="AG24">
        <v>4.607127277715203</v>
      </c>
      <c r="AH24">
        <v>0</v>
      </c>
      <c r="AI24"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8.1834015344359092E-4</v>
      </c>
      <c r="AJ24"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20</v>
      </c>
      <c r="AK24"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20</v>
      </c>
    </row>
    <row r="25" spans="1:37" x14ac:dyDescent="0.3">
      <c r="A25" s="15" t="s">
        <v>58</v>
      </c>
      <c r="B25" s="15" t="s">
        <v>59</v>
      </c>
      <c r="C25">
        <v>0.88188415799999997</v>
      </c>
      <c r="D25">
        <v>0.54958147999999996</v>
      </c>
      <c r="E25">
        <v>0.77382154000000003</v>
      </c>
      <c r="F25">
        <v>0</v>
      </c>
      <c r="G25">
        <v>0</v>
      </c>
      <c r="H25">
        <v>0</v>
      </c>
      <c r="I25">
        <v>0</v>
      </c>
      <c r="J25">
        <v>0</v>
      </c>
      <c r="K25">
        <v>0</v>
      </c>
      <c r="L25">
        <v>0</v>
      </c>
      <c r="M25">
        <v>1.7982058689745963</v>
      </c>
      <c r="N25">
        <v>4.0418070015045551</v>
      </c>
      <c r="O25">
        <v>2.0547061408094005</v>
      </c>
      <c r="P25">
        <v>0</v>
      </c>
      <c r="Q25">
        <v>0</v>
      </c>
      <c r="R25">
        <v>0</v>
      </c>
      <c r="S25">
        <v>0</v>
      </c>
      <c r="T25">
        <v>0</v>
      </c>
      <c r="U25">
        <v>0</v>
      </c>
      <c r="V25">
        <v>0</v>
      </c>
      <c r="W25">
        <v>1.8139449147683748</v>
      </c>
      <c r="X25">
        <v>4.0341591699903292</v>
      </c>
      <c r="Y25">
        <v>2.0675814469175813</v>
      </c>
      <c r="Z25">
        <v>0.71525090957918569</v>
      </c>
      <c r="AA25">
        <v>0.7152080771001712</v>
      </c>
      <c r="AB25">
        <v>4.7570579110837405</v>
      </c>
      <c r="AC25">
        <v>3.5644055643203494</v>
      </c>
      <c r="AD25">
        <v>4.1951740104733233</v>
      </c>
      <c r="AE25">
        <v>4.7493672470905004</v>
      </c>
      <c r="AF25">
        <v>3.5576610628649004</v>
      </c>
      <c r="AG25">
        <v>4.1883917357331839</v>
      </c>
      <c r="AH25">
        <v>1.7982058689745963</v>
      </c>
      <c r="AI2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-1.8921812722326888E-3</v>
      </c>
      <c r="AJ2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21</v>
      </c>
      <c r="AK2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21</v>
      </c>
    </row>
    <row r="26" spans="1:37" x14ac:dyDescent="0.3">
      <c r="A26" s="15" t="s">
        <v>60</v>
      </c>
      <c r="B26" s="15" t="s">
        <v>61</v>
      </c>
      <c r="C26">
        <v>0.80713989399999997</v>
      </c>
      <c r="D26">
        <v>0.88632047700000005</v>
      </c>
      <c r="E26">
        <v>0.71994005999999999</v>
      </c>
      <c r="F26">
        <v>0</v>
      </c>
      <c r="G26">
        <v>0</v>
      </c>
      <c r="H26">
        <v>0.14056402424018849</v>
      </c>
      <c r="I26">
        <v>0</v>
      </c>
      <c r="J26">
        <v>0</v>
      </c>
      <c r="K26">
        <v>0</v>
      </c>
      <c r="L26">
        <v>0</v>
      </c>
      <c r="M26">
        <v>1.2785377039034731</v>
      </c>
      <c r="N26">
        <v>4.3594129295144084</v>
      </c>
      <c r="O26">
        <v>3.68845266311927</v>
      </c>
      <c r="P26">
        <v>0</v>
      </c>
      <c r="Q26">
        <v>0</v>
      </c>
      <c r="R26">
        <v>0.1123607398802067</v>
      </c>
      <c r="S26">
        <v>0</v>
      </c>
      <c r="T26">
        <v>0</v>
      </c>
      <c r="U26">
        <v>0</v>
      </c>
      <c r="V26">
        <v>0</v>
      </c>
      <c r="W26">
        <v>1.2984376861299811</v>
      </c>
      <c r="X26">
        <v>4.3702366136598609</v>
      </c>
      <c r="Y26">
        <v>3.7085235024319312</v>
      </c>
      <c r="Z26">
        <v>0.66544772423560805</v>
      </c>
      <c r="AA26">
        <v>0.66540787419794722</v>
      </c>
      <c r="AB26">
        <v>5.0248606537500162</v>
      </c>
      <c r="AC26">
        <v>3.5186560898304888</v>
      </c>
      <c r="AD26">
        <v>4.055765495432559</v>
      </c>
      <c r="AE26">
        <v>5.0356444878578079</v>
      </c>
      <c r="AF26">
        <v>3.5273923171043391</v>
      </c>
      <c r="AG26">
        <v>4.0644695581512353</v>
      </c>
      <c r="AH26">
        <v>1.2785377039034731</v>
      </c>
      <c r="AI26"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2.4828306747849602E-3</v>
      </c>
      <c r="AJ26"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22</v>
      </c>
      <c r="AK26"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22</v>
      </c>
    </row>
    <row r="27" spans="1:37" x14ac:dyDescent="0.3">
      <c r="A27" s="15" t="s">
        <v>80</v>
      </c>
      <c r="B27" s="15" t="s">
        <v>80</v>
      </c>
      <c r="C27">
        <v>1.191905947</v>
      </c>
      <c r="D27">
        <v>0.46597635900000001</v>
      </c>
      <c r="E27">
        <v>0.90512434100000005</v>
      </c>
      <c r="F27">
        <v>0</v>
      </c>
      <c r="G27">
        <v>0</v>
      </c>
      <c r="H27">
        <v>0</v>
      </c>
      <c r="I27">
        <v>0</v>
      </c>
      <c r="J27">
        <v>0</v>
      </c>
      <c r="K27">
        <v>2.3272589210991561</v>
      </c>
      <c r="L27">
        <v>0</v>
      </c>
      <c r="M27">
        <v>0</v>
      </c>
      <c r="N27">
        <v>2.3702606094396814</v>
      </c>
      <c r="O27">
        <v>1.0511814863312154</v>
      </c>
      <c r="P27">
        <v>0</v>
      </c>
      <c r="Q27">
        <v>0</v>
      </c>
      <c r="R27">
        <v>0</v>
      </c>
      <c r="S27">
        <v>0</v>
      </c>
      <c r="T27">
        <v>0</v>
      </c>
      <c r="U27">
        <v>2.316447848571368</v>
      </c>
      <c r="V27">
        <v>0</v>
      </c>
      <c r="W27">
        <v>0</v>
      </c>
      <c r="X27">
        <v>2.3594663428031559</v>
      </c>
      <c r="Y27">
        <v>1.0582345842310592</v>
      </c>
      <c r="Z27">
        <v>0.83661538832650106</v>
      </c>
      <c r="AA27">
        <v>0.83656528799026408</v>
      </c>
      <c r="AB27">
        <v>3.2068759977661827</v>
      </c>
      <c r="AC27">
        <v>2.8251277163310005</v>
      </c>
      <c r="AD27">
        <v>3.8222945730290716</v>
      </c>
      <c r="AE27">
        <v>3.1960316307934198</v>
      </c>
      <c r="AF27">
        <v>2.812261965733422</v>
      </c>
      <c r="AG27">
        <v>3.8093691075427851</v>
      </c>
      <c r="AH27">
        <v>2.3272589210991561</v>
      </c>
      <c r="AI27"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-4.5540421139923558E-3</v>
      </c>
      <c r="AJ27"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23</v>
      </c>
      <c r="AK27"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23</v>
      </c>
    </row>
    <row r="28" spans="1:37" x14ac:dyDescent="0.3">
      <c r="A28" s="15" t="s">
        <v>83</v>
      </c>
      <c r="B28" s="15" t="s">
        <v>83</v>
      </c>
      <c r="C28">
        <v>0.70506910199999995</v>
      </c>
      <c r="D28">
        <v>0.85098041899999999</v>
      </c>
      <c r="E28">
        <v>0.67909913300000002</v>
      </c>
      <c r="F28">
        <v>2.025610689810081</v>
      </c>
      <c r="G28">
        <v>0</v>
      </c>
      <c r="H28">
        <v>0.33981588555559411</v>
      </c>
      <c r="I28">
        <v>0</v>
      </c>
      <c r="J28">
        <v>0</v>
      </c>
      <c r="K28">
        <v>0</v>
      </c>
      <c r="L28">
        <v>0</v>
      </c>
      <c r="M28">
        <v>0</v>
      </c>
      <c r="N28">
        <v>4.2530783336652549</v>
      </c>
      <c r="O28">
        <v>3.6192863824222798</v>
      </c>
      <c r="P28">
        <v>2.3811099896521606</v>
      </c>
      <c r="Q28">
        <v>0</v>
      </c>
      <c r="R28">
        <v>0.72735490324023389</v>
      </c>
      <c r="S28">
        <v>0</v>
      </c>
      <c r="T28">
        <v>0</v>
      </c>
      <c r="U28">
        <v>0</v>
      </c>
      <c r="V28">
        <v>0</v>
      </c>
      <c r="W28">
        <v>0</v>
      </c>
      <c r="X28">
        <v>4.5602019829066371</v>
      </c>
      <c r="Y28">
        <v>3.880642594138521</v>
      </c>
      <c r="Z28">
        <v>0.62769805112001209</v>
      </c>
      <c r="AA28">
        <v>0.6276604617045467</v>
      </c>
      <c r="AB28">
        <v>4.8807763847852668</v>
      </c>
      <c r="AC28">
        <v>2.9987141214530175</v>
      </c>
      <c r="AD28">
        <v>3.4412846226833542</v>
      </c>
      <c r="AE28">
        <v>5.1878624446111843</v>
      </c>
      <c r="AF28">
        <v>3.2152575170266018</v>
      </c>
      <c r="AG28">
        <v>3.6578015151215322</v>
      </c>
      <c r="AH28">
        <v>0</v>
      </c>
      <c r="AI28"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7.2212083847678993E-2</v>
      </c>
      <c r="AJ28"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24</v>
      </c>
      <c r="AK28"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25</v>
      </c>
    </row>
    <row r="29" spans="1:37" x14ac:dyDescent="0.3">
      <c r="A29" s="15" t="s">
        <v>81</v>
      </c>
      <c r="B29" s="15" t="s">
        <v>82</v>
      </c>
      <c r="C29">
        <v>0.84802669900000005</v>
      </c>
      <c r="D29">
        <v>0.94336652499999996</v>
      </c>
      <c r="E29">
        <v>0.47355762899999998</v>
      </c>
      <c r="F29">
        <v>1.1345318815647361</v>
      </c>
      <c r="G29">
        <v>0</v>
      </c>
      <c r="H29">
        <v>1.5324447946015301E-2</v>
      </c>
      <c r="I29">
        <v>0</v>
      </c>
      <c r="J29">
        <v>0</v>
      </c>
      <c r="K29">
        <v>0</v>
      </c>
      <c r="L29">
        <v>0</v>
      </c>
      <c r="M29">
        <v>0</v>
      </c>
      <c r="N29">
        <v>3.6807731341739518</v>
      </c>
      <c r="O29">
        <v>3.3946330181231947</v>
      </c>
      <c r="P29">
        <v>0.85972843340074068</v>
      </c>
      <c r="Q29">
        <v>4.33255952904203E-2</v>
      </c>
      <c r="R29">
        <v>1.53548972839565E-2</v>
      </c>
      <c r="S29">
        <v>0</v>
      </c>
      <c r="T29">
        <v>0</v>
      </c>
      <c r="U29">
        <v>0</v>
      </c>
      <c r="V29">
        <v>0</v>
      </c>
      <c r="W29">
        <v>0.3388878718037433</v>
      </c>
      <c r="X29">
        <v>3.626399556729945</v>
      </c>
      <c r="Y29">
        <v>3.3615332324496312</v>
      </c>
      <c r="Z29">
        <v>0.43771400429149665</v>
      </c>
      <c r="AA29">
        <v>0.43768779198522473</v>
      </c>
      <c r="AB29">
        <v>4.1184871384654489</v>
      </c>
      <c r="AC29">
        <v>3.1213938907414205</v>
      </c>
      <c r="AD29">
        <v>3.4925870529068108</v>
      </c>
      <c r="AE29">
        <v>4.0640873487151694</v>
      </c>
      <c r="AF29">
        <v>3.0752836453487586</v>
      </c>
      <c r="AG29">
        <v>3.4464545787785874</v>
      </c>
      <c r="AH29">
        <v>0</v>
      </c>
      <c r="AI29"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-1.477232512353943E-2</v>
      </c>
      <c r="AJ29"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25</v>
      </c>
      <c r="AK29"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24</v>
      </c>
    </row>
    <row r="30" spans="1:37" x14ac:dyDescent="0.3">
      <c r="A30" s="15" t="s">
        <v>65</v>
      </c>
      <c r="B30" s="15" t="s">
        <v>65</v>
      </c>
      <c r="C30">
        <v>1.0908528070000001</v>
      </c>
      <c r="D30">
        <v>0.92846916000000002</v>
      </c>
      <c r="E30">
        <v>0.62040289299999996</v>
      </c>
      <c r="F30">
        <v>0.53933410168479401</v>
      </c>
      <c r="G30">
        <v>0</v>
      </c>
      <c r="H30">
        <v>0</v>
      </c>
      <c r="I30">
        <v>0</v>
      </c>
      <c r="J30">
        <v>0</v>
      </c>
      <c r="K30">
        <v>0</v>
      </c>
      <c r="L30">
        <v>0</v>
      </c>
      <c r="M30">
        <v>0.90714274642720039</v>
      </c>
      <c r="N30">
        <v>2.3764656540433791</v>
      </c>
      <c r="O30">
        <v>2.1781583807117251</v>
      </c>
      <c r="P30">
        <v>0.554948011517162</v>
      </c>
      <c r="Q30">
        <v>0</v>
      </c>
      <c r="R30">
        <v>8.3501375777510004E-3</v>
      </c>
      <c r="S30">
        <v>0</v>
      </c>
      <c r="T30">
        <v>0</v>
      </c>
      <c r="U30">
        <v>0</v>
      </c>
      <c r="V30">
        <v>0</v>
      </c>
      <c r="W30">
        <v>0.92516332155717718</v>
      </c>
      <c r="X30">
        <v>2.4212604403544682</v>
      </c>
      <c r="Y30">
        <v>2.2186031857520865</v>
      </c>
      <c r="Z30">
        <v>0.57344453544651675</v>
      </c>
      <c r="AA30">
        <v>0.57341019497843537</v>
      </c>
      <c r="AB30">
        <v>2.9499101894898958</v>
      </c>
      <c r="AC30">
        <v>2.5923742294523113</v>
      </c>
      <c r="AD30">
        <v>3.2179178106029549</v>
      </c>
      <c r="AE30">
        <v>2.9946706353329038</v>
      </c>
      <c r="AF30">
        <v>2.6412387478387278</v>
      </c>
      <c r="AG30">
        <v>3.2667448685933715</v>
      </c>
      <c r="AH30">
        <v>0.90714274642720039</v>
      </c>
      <c r="AI30"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1.8849330405795742E-2</v>
      </c>
      <c r="AJ30"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26</v>
      </c>
      <c r="AK30"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27</v>
      </c>
    </row>
    <row r="31" spans="1:37" x14ac:dyDescent="0.3">
      <c r="A31" s="15" t="s">
        <v>62</v>
      </c>
      <c r="B31" s="15" t="s">
        <v>62</v>
      </c>
      <c r="C31">
        <v>0.60486187300000005</v>
      </c>
      <c r="D31">
        <v>0.66130800700000003</v>
      </c>
      <c r="E31">
        <v>0.65598545699999999</v>
      </c>
      <c r="F31">
        <v>1.5141786364768763</v>
      </c>
      <c r="G31">
        <v>0</v>
      </c>
      <c r="H31">
        <v>8.4834186786094001E-2</v>
      </c>
      <c r="I31">
        <v>0</v>
      </c>
      <c r="J31">
        <v>0</v>
      </c>
      <c r="K31">
        <v>0</v>
      </c>
      <c r="L31">
        <v>0</v>
      </c>
      <c r="M31">
        <v>0</v>
      </c>
      <c r="N31">
        <v>5.047447528572425</v>
      </c>
      <c r="O31">
        <v>3.2582523159068781</v>
      </c>
      <c r="P31">
        <v>1.6122144512275498</v>
      </c>
      <c r="Q31">
        <v>0</v>
      </c>
      <c r="R31">
        <v>0.31633236193296921</v>
      </c>
      <c r="S31">
        <v>0</v>
      </c>
      <c r="T31">
        <v>0</v>
      </c>
      <c r="U31">
        <v>0</v>
      </c>
      <c r="V31">
        <v>0</v>
      </c>
      <c r="W31">
        <v>0</v>
      </c>
      <c r="X31">
        <v>4.7059810859545754</v>
      </c>
      <c r="Y31">
        <v>2.958358711865372</v>
      </c>
      <c r="Z31">
        <v>0.60633385158801323</v>
      </c>
      <c r="AA31">
        <v>0.60629754155802762</v>
      </c>
      <c r="AB31">
        <v>5.6537813801604386</v>
      </c>
      <c r="AC31">
        <v>3.0530085660015382</v>
      </c>
      <c r="AD31">
        <v>3.4197567951363683</v>
      </c>
      <c r="AE31">
        <v>5.3122786275126028</v>
      </c>
      <c r="AF31">
        <v>2.8464685339530589</v>
      </c>
      <c r="AG31">
        <v>3.2131948005351427</v>
      </c>
      <c r="AH31">
        <v>0</v>
      </c>
      <c r="AI31"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-6.7651311021043312E-2</v>
      </c>
      <c r="AJ31"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27</v>
      </c>
      <c r="AK31"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26</v>
      </c>
    </row>
    <row r="32" spans="1:37" x14ac:dyDescent="0.3">
      <c r="A32" s="15" t="s">
        <v>72</v>
      </c>
      <c r="B32" s="15" t="s">
        <v>72</v>
      </c>
      <c r="C32">
        <v>1.1203816150000001</v>
      </c>
      <c r="D32">
        <v>0.97878772999999997</v>
      </c>
      <c r="E32">
        <v>0.91249186000000004</v>
      </c>
      <c r="F32">
        <v>0</v>
      </c>
      <c r="G32">
        <v>0</v>
      </c>
      <c r="H32">
        <v>0</v>
      </c>
      <c r="I32">
        <v>0</v>
      </c>
      <c r="J32">
        <v>0</v>
      </c>
      <c r="K32">
        <v>0</v>
      </c>
      <c r="L32">
        <v>1.5751177768100937</v>
      </c>
      <c r="M32">
        <v>0</v>
      </c>
      <c r="N32">
        <v>1.6040022599866708</v>
      </c>
      <c r="O32">
        <v>1.5699777309672234</v>
      </c>
      <c r="P32">
        <v>0</v>
      </c>
      <c r="Q32">
        <v>0</v>
      </c>
      <c r="R32">
        <v>0</v>
      </c>
      <c r="S32">
        <v>0</v>
      </c>
      <c r="T32">
        <v>0</v>
      </c>
      <c r="U32">
        <v>0</v>
      </c>
      <c r="V32">
        <v>1.5979644063152854</v>
      </c>
      <c r="W32">
        <v>0</v>
      </c>
      <c r="X32">
        <v>1.6269594505199287</v>
      </c>
      <c r="Y32">
        <v>1.5924479473764483</v>
      </c>
      <c r="Z32">
        <v>0.84342525907020238</v>
      </c>
      <c r="AA32">
        <v>0.8433747509279188</v>
      </c>
      <c r="AB32">
        <v>2.4474275190568733</v>
      </c>
      <c r="AC32">
        <v>1.7970946425075163</v>
      </c>
      <c r="AD32">
        <v>2.7420527963963832</v>
      </c>
      <c r="AE32">
        <v>2.4703342014478475</v>
      </c>
      <c r="AF32">
        <v>1.8228154567130306</v>
      </c>
      <c r="AG32">
        <v>2.7677170222078749</v>
      </c>
      <c r="AH32">
        <v>1.5751177768100937</v>
      </c>
      <c r="AI32"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1.4312442760179607E-2</v>
      </c>
      <c r="AJ32"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28</v>
      </c>
      <c r="AK32"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29</v>
      </c>
    </row>
    <row r="33" spans="1:37" x14ac:dyDescent="0.3">
      <c r="A33" s="15" t="s">
        <v>69</v>
      </c>
      <c r="B33" s="15" t="s">
        <v>69</v>
      </c>
      <c r="C33">
        <v>0.683315016</v>
      </c>
      <c r="D33">
        <v>0.35122892700000002</v>
      </c>
      <c r="E33">
        <v>0.856297529</v>
      </c>
      <c r="F33">
        <v>0</v>
      </c>
      <c r="G33">
        <v>0</v>
      </c>
      <c r="H33">
        <v>0</v>
      </c>
      <c r="I33">
        <v>0</v>
      </c>
      <c r="J33">
        <v>0</v>
      </c>
      <c r="K33">
        <v>0</v>
      </c>
      <c r="L33">
        <v>0</v>
      </c>
      <c r="M33">
        <v>2.1042734450647611</v>
      </c>
      <c r="N33">
        <v>3.3468109549469149</v>
      </c>
      <c r="O33">
        <v>1.1754968205778504</v>
      </c>
      <c r="P33">
        <v>0</v>
      </c>
      <c r="Q33">
        <v>0</v>
      </c>
      <c r="R33">
        <v>0</v>
      </c>
      <c r="S33">
        <v>0</v>
      </c>
      <c r="T33">
        <v>0</v>
      </c>
      <c r="U33">
        <v>0</v>
      </c>
      <c r="V33">
        <v>0</v>
      </c>
      <c r="W33">
        <v>2.0204269211831121</v>
      </c>
      <c r="X33">
        <v>3.2313182200490407</v>
      </c>
      <c r="Y33">
        <v>1.1349324312233746</v>
      </c>
      <c r="Z33">
        <v>0.79148428265212045</v>
      </c>
      <c r="AA33">
        <v>0.79143688497184761</v>
      </c>
      <c r="AB33">
        <v>4.1382952375990349</v>
      </c>
      <c r="AC33">
        <v>2.2869261812285266</v>
      </c>
      <c r="AD33">
        <v>2.8277592764927082</v>
      </c>
      <c r="AE33">
        <v>4.0227551050208881</v>
      </c>
      <c r="AF33">
        <v>2.2080082612339016</v>
      </c>
      <c r="AG33">
        <v>2.7488089689514297</v>
      </c>
      <c r="AH33">
        <v>2.1042734450647611</v>
      </c>
      <c r="AI33"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-3.4508293552453169E-2</v>
      </c>
      <c r="AJ33"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29</v>
      </c>
      <c r="AK33"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28</v>
      </c>
    </row>
    <row r="34" spans="1:37" x14ac:dyDescent="0.3">
      <c r="A34" s="15" t="s">
        <v>73</v>
      </c>
      <c r="B34" s="15" t="s">
        <v>74</v>
      </c>
      <c r="C34">
        <v>0.88675937800000004</v>
      </c>
      <c r="D34">
        <v>0.99498026100000003</v>
      </c>
      <c r="E34">
        <v>0.54533484700000001</v>
      </c>
      <c r="F34">
        <v>0</v>
      </c>
      <c r="G34">
        <v>1.4494602026406136</v>
      </c>
      <c r="H34">
        <v>0</v>
      </c>
      <c r="I34">
        <v>0</v>
      </c>
      <c r="J34">
        <v>0</v>
      </c>
      <c r="K34">
        <v>0</v>
      </c>
      <c r="L34">
        <v>0</v>
      </c>
      <c r="M34">
        <v>0</v>
      </c>
      <c r="N34">
        <v>2.4847650451141949</v>
      </c>
      <c r="O34">
        <v>2.4722921731113985</v>
      </c>
      <c r="P34">
        <v>0</v>
      </c>
      <c r="Q34">
        <v>1.5022957387047251</v>
      </c>
      <c r="R34">
        <v>0</v>
      </c>
      <c r="S34">
        <v>0</v>
      </c>
      <c r="T34">
        <v>0</v>
      </c>
      <c r="U34">
        <v>0</v>
      </c>
      <c r="V34">
        <v>0</v>
      </c>
      <c r="W34">
        <v>0</v>
      </c>
      <c r="X34">
        <v>2.5852852525943359</v>
      </c>
      <c r="Y34">
        <v>2.5723077953857638</v>
      </c>
      <c r="Z34">
        <v>0.50405839742064573</v>
      </c>
      <c r="AA34">
        <v>0.50402821211023152</v>
      </c>
      <c r="AB34">
        <v>2.9888234425348408</v>
      </c>
      <c r="AC34">
        <v>2.2033887058816055</v>
      </c>
      <c r="AD34">
        <v>2.6503672168540144</v>
      </c>
      <c r="AE34">
        <v>3.0893134647045675</v>
      </c>
      <c r="AF34">
        <v>2.2925259425431261</v>
      </c>
      <c r="AG34">
        <v>2.7394776864084474</v>
      </c>
      <c r="AH34">
        <v>0</v>
      </c>
      <c r="AI34"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4.0454612671646503E-2</v>
      </c>
      <c r="AJ34"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30</v>
      </c>
      <c r="AK34"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31</v>
      </c>
    </row>
    <row r="35" spans="1:37" x14ac:dyDescent="0.3">
      <c r="A35" s="15" t="s">
        <v>66</v>
      </c>
      <c r="B35" s="15" t="s">
        <v>66</v>
      </c>
      <c r="C35">
        <v>0.88856497499999998</v>
      </c>
      <c r="D35">
        <v>0.168811515</v>
      </c>
      <c r="E35">
        <v>0.40003330599999998</v>
      </c>
      <c r="F35">
        <v>0</v>
      </c>
      <c r="G35">
        <v>0</v>
      </c>
      <c r="H35">
        <v>0.77958210986643084</v>
      </c>
      <c r="I35">
        <v>0</v>
      </c>
      <c r="J35">
        <v>0</v>
      </c>
      <c r="K35">
        <v>0</v>
      </c>
      <c r="L35">
        <v>0</v>
      </c>
      <c r="M35">
        <v>0</v>
      </c>
      <c r="N35">
        <v>2.6002044602800143</v>
      </c>
      <c r="O35">
        <v>0.43894445424962653</v>
      </c>
      <c r="P35">
        <v>0</v>
      </c>
      <c r="Q35">
        <v>0</v>
      </c>
      <c r="R35">
        <v>0.71727920882427143</v>
      </c>
      <c r="S35">
        <v>0</v>
      </c>
      <c r="T35">
        <v>0</v>
      </c>
      <c r="U35">
        <v>0</v>
      </c>
      <c r="V35">
        <v>0</v>
      </c>
      <c r="W35">
        <v>0</v>
      </c>
      <c r="X35">
        <v>2.5868050198275849</v>
      </c>
      <c r="Y35">
        <v>0.43668247440669961</v>
      </c>
      <c r="Z35">
        <v>0.36975474471603453</v>
      </c>
      <c r="AA35">
        <v>0.36973260211945552</v>
      </c>
      <c r="AB35">
        <v>2.9699592049960488</v>
      </c>
      <c r="AC35">
        <v>2.3104506112435992</v>
      </c>
      <c r="AD35">
        <v>2.6390017267383339</v>
      </c>
      <c r="AE35">
        <v>2.9565376219470405</v>
      </c>
      <c r="AF35">
        <v>2.2985443377729724</v>
      </c>
      <c r="AG35">
        <v>2.6270757781319314</v>
      </c>
      <c r="AH35">
        <v>0</v>
      </c>
      <c r="AI3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-5.1532257009459861E-3</v>
      </c>
      <c r="AJ3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31</v>
      </c>
      <c r="AK3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32</v>
      </c>
    </row>
    <row r="36" spans="1:37" x14ac:dyDescent="0.3">
      <c r="A36" s="15" t="s">
        <v>77</v>
      </c>
      <c r="B36" s="15" t="s">
        <v>77</v>
      </c>
      <c r="C36">
        <v>0.77849552700000002</v>
      </c>
      <c r="D36">
        <v>0.93458211999999996</v>
      </c>
      <c r="E36">
        <v>0.89940094800000003</v>
      </c>
      <c r="F36">
        <v>0.6704358100725063</v>
      </c>
      <c r="G36">
        <v>0</v>
      </c>
      <c r="H36">
        <v>5.6968128416820998E-3</v>
      </c>
      <c r="I36">
        <v>0</v>
      </c>
      <c r="J36">
        <v>0</v>
      </c>
      <c r="K36">
        <v>0</v>
      </c>
      <c r="L36">
        <v>0</v>
      </c>
      <c r="M36">
        <v>1.3125434928424282</v>
      </c>
      <c r="N36">
        <v>2.3120532378796192</v>
      </c>
      <c r="O36">
        <v>2.138970283954067</v>
      </c>
      <c r="P36">
        <v>0.69615598934897049</v>
      </c>
      <c r="Q36">
        <v>0</v>
      </c>
      <c r="R36">
        <v>1.4758325816242999E-2</v>
      </c>
      <c r="S36">
        <v>0</v>
      </c>
      <c r="T36">
        <v>0</v>
      </c>
      <c r="U36">
        <v>0</v>
      </c>
      <c r="V36">
        <v>0</v>
      </c>
      <c r="W36">
        <v>1.3391295538122949</v>
      </c>
      <c r="X36">
        <v>2.373499806389364</v>
      </c>
      <c r="Y36">
        <v>2.1949361958265854</v>
      </c>
      <c r="Z36">
        <v>0.8313251995200106</v>
      </c>
      <c r="AA36">
        <v>0.83127541598435095</v>
      </c>
      <c r="AB36">
        <v>3.1433784373996296</v>
      </c>
      <c r="AC36">
        <v>1.7999231038751506</v>
      </c>
      <c r="AD36">
        <v>2.4471060531838611</v>
      </c>
      <c r="AE36">
        <v>3.2047752223737147</v>
      </c>
      <c r="AF36">
        <v>1.847758982609486</v>
      </c>
      <c r="AG36">
        <v>2.4949031756583673</v>
      </c>
      <c r="AH36">
        <v>1.3125434928424282</v>
      </c>
      <c r="AI36"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2.6576623540942892E-2</v>
      </c>
      <c r="AJ36"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32</v>
      </c>
      <c r="AK36"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33</v>
      </c>
    </row>
    <row r="37" spans="1:37" x14ac:dyDescent="0.3">
      <c r="A37" s="15" t="s">
        <v>78</v>
      </c>
      <c r="B37" s="15" t="s">
        <v>79</v>
      </c>
      <c r="C37">
        <v>0.507331541</v>
      </c>
      <c r="D37">
        <v>0.78843905400000003</v>
      </c>
      <c r="E37">
        <v>0.64819212100000001</v>
      </c>
      <c r="F37">
        <v>1.266791658703962</v>
      </c>
      <c r="G37">
        <v>0</v>
      </c>
      <c r="H37">
        <v>0.13736522315767599</v>
      </c>
      <c r="I37">
        <v>0</v>
      </c>
      <c r="J37">
        <v>0</v>
      </c>
      <c r="K37">
        <v>0</v>
      </c>
      <c r="L37">
        <v>0</v>
      </c>
      <c r="M37">
        <v>0</v>
      </c>
      <c r="N37">
        <v>3.8441285166322872</v>
      </c>
      <c r="O37">
        <v>3.0308610511079834</v>
      </c>
      <c r="P37">
        <v>1.3655939761416696</v>
      </c>
      <c r="Q37">
        <v>0</v>
      </c>
      <c r="R37">
        <v>0.35586226465943033</v>
      </c>
      <c r="S37">
        <v>0</v>
      </c>
      <c r="T37">
        <v>0</v>
      </c>
      <c r="U37">
        <v>0</v>
      </c>
      <c r="V37">
        <v>0</v>
      </c>
      <c r="W37">
        <v>0</v>
      </c>
      <c r="X37">
        <v>4.0076892623466893</v>
      </c>
      <c r="Y37">
        <v>3.1598187307305818</v>
      </c>
      <c r="Z37">
        <v>0.59913039397599555</v>
      </c>
      <c r="AA37">
        <v>0.59909451532182922</v>
      </c>
      <c r="AB37">
        <v>4.4432589106082823</v>
      </c>
      <c r="AC37">
        <v>1.9502476441451024</v>
      </c>
      <c r="AD37">
        <v>2.2542053901808812</v>
      </c>
      <c r="AE37">
        <v>4.6067837776685181</v>
      </c>
      <c r="AF37">
        <v>2.0332271693154991</v>
      </c>
      <c r="AG37">
        <v>2.3371667129783709</v>
      </c>
      <c r="AH37">
        <v>0</v>
      </c>
      <c r="AI37"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4.2548199157943938E-2</v>
      </c>
      <c r="AJ37"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33</v>
      </c>
      <c r="AK37"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35</v>
      </c>
    </row>
    <row r="38" spans="1:37" x14ac:dyDescent="0.3">
      <c r="A38" s="15" t="s">
        <v>70</v>
      </c>
      <c r="B38" s="15" t="s">
        <v>71</v>
      </c>
      <c r="C38">
        <v>0.44373955900000001</v>
      </c>
      <c r="D38">
        <v>0.90142966000000002</v>
      </c>
      <c r="E38">
        <v>0.62018932900000001</v>
      </c>
      <c r="F38">
        <v>0.4381389622386978</v>
      </c>
      <c r="G38">
        <v>0</v>
      </c>
      <c r="H38">
        <v>1.06527491441762E-2</v>
      </c>
      <c r="I38">
        <v>0</v>
      </c>
      <c r="J38">
        <v>0</v>
      </c>
      <c r="K38">
        <v>0</v>
      </c>
      <c r="L38">
        <v>0</v>
      </c>
      <c r="M38">
        <v>0</v>
      </c>
      <c r="N38">
        <v>5.571048078687225</v>
      </c>
      <c r="O38">
        <v>4.9930564492611929</v>
      </c>
      <c r="P38">
        <v>0.13472933319248531</v>
      </c>
      <c r="Q38">
        <v>0</v>
      </c>
      <c r="R38">
        <v>0</v>
      </c>
      <c r="S38">
        <v>0</v>
      </c>
      <c r="T38">
        <v>0</v>
      </c>
      <c r="U38">
        <v>0</v>
      </c>
      <c r="V38">
        <v>0</v>
      </c>
      <c r="W38">
        <v>0</v>
      </c>
      <c r="X38">
        <v>4.5649665399072781</v>
      </c>
      <c r="Y38">
        <v>4.0400037694527926</v>
      </c>
      <c r="Z38">
        <v>0.57324713612721978</v>
      </c>
      <c r="AA38">
        <v>0.5732128074803079</v>
      </c>
      <c r="AB38">
        <v>6.144295214814445</v>
      </c>
      <c r="AC38">
        <v>2.4720944176044664</v>
      </c>
      <c r="AD38">
        <v>2.7264668489875721</v>
      </c>
      <c r="AE38">
        <v>5.1381793473875863</v>
      </c>
      <c r="AF38">
        <v>2.0256562392682116</v>
      </c>
      <c r="AG38">
        <v>2.2800134376726753</v>
      </c>
      <c r="AH38">
        <v>0</v>
      </c>
      <c r="AI38"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-0.18059107093849069</v>
      </c>
      <c r="AJ38"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34</v>
      </c>
      <c r="AK38"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30</v>
      </c>
    </row>
    <row r="39" spans="1:37" x14ac:dyDescent="0.3">
      <c r="A39" s="15" t="s">
        <v>67</v>
      </c>
      <c r="B39" s="15" t="s">
        <v>68</v>
      </c>
      <c r="C39">
        <v>0.32163824499999999</v>
      </c>
      <c r="D39">
        <v>0.27981747000000001</v>
      </c>
      <c r="E39">
        <v>0.59983020399999998</v>
      </c>
      <c r="F39">
        <v>0.6456541390273508</v>
      </c>
      <c r="G39">
        <v>0</v>
      </c>
      <c r="H39">
        <v>0.45141496234373552</v>
      </c>
      <c r="I39">
        <v>0</v>
      </c>
      <c r="J39">
        <v>0</v>
      </c>
      <c r="K39">
        <v>0</v>
      </c>
      <c r="L39">
        <v>0</v>
      </c>
      <c r="M39">
        <v>0.56239860491190585</v>
      </c>
      <c r="N39">
        <v>6.62288749073993</v>
      </c>
      <c r="O39">
        <v>1.6926826345137254</v>
      </c>
      <c r="P39">
        <v>0.26262701939790439</v>
      </c>
      <c r="Q39">
        <v>0</v>
      </c>
      <c r="R39">
        <v>0.35355697289739829</v>
      </c>
      <c r="S39">
        <v>0</v>
      </c>
      <c r="T39">
        <v>0</v>
      </c>
      <c r="U39">
        <v>0</v>
      </c>
      <c r="V39">
        <v>0</v>
      </c>
      <c r="W39">
        <v>0.54962947619904823</v>
      </c>
      <c r="X39">
        <v>6.1897525400891711</v>
      </c>
      <c r="Y39">
        <v>1.5039940334375268</v>
      </c>
      <c r="Z39">
        <v>0.55442899535216927</v>
      </c>
      <c r="AA39">
        <v>0.55439579362115377</v>
      </c>
      <c r="AB39">
        <v>7.1773164860920993</v>
      </c>
      <c r="AC39">
        <v>2.1301739093540446</v>
      </c>
      <c r="AD39">
        <v>2.3084994783962296</v>
      </c>
      <c r="AE39">
        <v>6.7441483337103252</v>
      </c>
      <c r="AF39">
        <v>1.9908611439785731</v>
      </c>
      <c r="AG39">
        <v>2.1691760340742632</v>
      </c>
      <c r="AH39">
        <v>0.56239860491190585</v>
      </c>
      <c r="AI39"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-6.5399714438206122E-2</v>
      </c>
      <c r="AJ39"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35</v>
      </c>
      <c r="AK39"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34</v>
      </c>
    </row>
    <row r="40" spans="1:37" x14ac:dyDescent="0.3">
      <c r="A40" s="15" t="s">
        <v>92</v>
      </c>
      <c r="B40" s="15" t="s">
        <v>92</v>
      </c>
      <c r="C40">
        <v>0.64249725999999996</v>
      </c>
      <c r="D40">
        <v>0.93385612299999998</v>
      </c>
      <c r="E40">
        <v>0.90512434100000005</v>
      </c>
      <c r="F40">
        <v>0</v>
      </c>
      <c r="G40">
        <v>0.47407234724115038</v>
      </c>
      <c r="H40">
        <v>0</v>
      </c>
      <c r="I40">
        <v>0</v>
      </c>
      <c r="J40">
        <v>0</v>
      </c>
      <c r="K40">
        <v>0</v>
      </c>
      <c r="L40">
        <v>0</v>
      </c>
      <c r="M40">
        <v>1.5328938716295522</v>
      </c>
      <c r="N40">
        <v>2.6707240109587675</v>
      </c>
      <c r="O40">
        <v>2.4956500228657124</v>
      </c>
      <c r="P40">
        <v>0</v>
      </c>
      <c r="Q40">
        <v>0.4839127030145402</v>
      </c>
      <c r="R40">
        <v>0</v>
      </c>
      <c r="S40">
        <v>0</v>
      </c>
      <c r="T40">
        <v>0</v>
      </c>
      <c r="U40">
        <v>0</v>
      </c>
      <c r="V40">
        <v>0</v>
      </c>
      <c r="W40">
        <v>1.5703090267072028</v>
      </c>
      <c r="X40">
        <v>2.3873646716043595</v>
      </c>
      <c r="Y40">
        <v>2.2307271297497486</v>
      </c>
      <c r="Z40">
        <v>0.83661538832650106</v>
      </c>
      <c r="AA40">
        <v>0.83656528799026408</v>
      </c>
      <c r="AB40">
        <v>3.5073393992852688</v>
      </c>
      <c r="AC40">
        <v>1.7159328592572181</v>
      </c>
      <c r="AD40">
        <v>2.253455953930831</v>
      </c>
      <c r="AE40">
        <v>3.2239299595946234</v>
      </c>
      <c r="AF40">
        <v>1.5338752601266006</v>
      </c>
      <c r="AG40">
        <v>2.0713661654714559</v>
      </c>
      <c r="AH40">
        <v>1.5328938716295522</v>
      </c>
      <c r="AI40"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-0.10609832322310399</v>
      </c>
      <c r="AJ40"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36</v>
      </c>
      <c r="AK40"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36</v>
      </c>
    </row>
    <row r="41" spans="1:37" x14ac:dyDescent="0.3">
      <c r="A41" s="15" t="s">
        <v>75</v>
      </c>
      <c r="B41" s="15" t="s">
        <v>76</v>
      </c>
      <c r="C41">
        <v>0.593659673</v>
      </c>
      <c r="D41">
        <v>0.84223339200000003</v>
      </c>
      <c r="E41">
        <v>0.63138251300000003</v>
      </c>
      <c r="F41">
        <v>0</v>
      </c>
      <c r="G41">
        <v>1.6906664497876711</v>
      </c>
      <c r="H41">
        <v>0.1138749484018097</v>
      </c>
      <c r="I41">
        <v>0</v>
      </c>
      <c r="J41">
        <v>0</v>
      </c>
      <c r="K41">
        <v>0</v>
      </c>
      <c r="L41">
        <v>0</v>
      </c>
      <c r="M41">
        <v>0</v>
      </c>
      <c r="N41">
        <v>2.8356192500360549</v>
      </c>
      <c r="O41">
        <v>2.319138752300471</v>
      </c>
      <c r="P41">
        <v>0</v>
      </c>
      <c r="Q41">
        <v>1.7354208899937484</v>
      </c>
      <c r="R41">
        <v>0.13105913372481939</v>
      </c>
      <c r="S41">
        <v>0</v>
      </c>
      <c r="T41">
        <v>0</v>
      </c>
      <c r="U41">
        <v>0</v>
      </c>
      <c r="V41">
        <v>0</v>
      </c>
      <c r="W41">
        <v>0</v>
      </c>
      <c r="X41">
        <v>2.8972221100610112</v>
      </c>
      <c r="Y41">
        <v>2.3809520144326046</v>
      </c>
      <c r="Z41">
        <v>0.5835931069011624</v>
      </c>
      <c r="AA41">
        <v>0.58355815869044414</v>
      </c>
      <c r="AB41">
        <v>3.4192123569372175</v>
      </c>
      <c r="AC41">
        <v>1.6833927967289095</v>
      </c>
      <c r="AD41">
        <v>2.0298484897369078</v>
      </c>
      <c r="AE41">
        <v>3.4807802687514551</v>
      </c>
      <c r="AF41">
        <v>1.7199639304671899</v>
      </c>
      <c r="AG41">
        <v>2.0663988761318408</v>
      </c>
      <c r="AH41">
        <v>0</v>
      </c>
      <c r="AI41"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2.172465856414715E-2</v>
      </c>
      <c r="AJ41"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37</v>
      </c>
      <c r="AK41"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37</v>
      </c>
    </row>
    <row r="42" spans="1:37" x14ac:dyDescent="0.3">
      <c r="A42" s="15" t="s">
        <v>88</v>
      </c>
      <c r="B42" s="15" t="s">
        <v>89</v>
      </c>
      <c r="C42">
        <v>1.2029393820000001</v>
      </c>
      <c r="D42">
        <v>0.75648034600000003</v>
      </c>
      <c r="E42">
        <v>0.24274454300000001</v>
      </c>
      <c r="F42">
        <v>0</v>
      </c>
      <c r="G42">
        <v>0.55806994398472587</v>
      </c>
      <c r="H42">
        <v>0</v>
      </c>
      <c r="I42">
        <v>0</v>
      </c>
      <c r="J42">
        <v>0</v>
      </c>
      <c r="K42">
        <v>0</v>
      </c>
      <c r="L42">
        <v>0</v>
      </c>
      <c r="M42">
        <v>0</v>
      </c>
      <c r="N42">
        <v>1.4122204082076308</v>
      </c>
      <c r="O42">
        <v>1.0252944761210612</v>
      </c>
      <c r="P42">
        <v>0</v>
      </c>
      <c r="Q42">
        <v>0.56316968251734068</v>
      </c>
      <c r="R42">
        <v>0</v>
      </c>
      <c r="S42">
        <v>0</v>
      </c>
      <c r="T42">
        <v>0</v>
      </c>
      <c r="U42">
        <v>0</v>
      </c>
      <c r="V42">
        <v>0</v>
      </c>
      <c r="W42">
        <v>0</v>
      </c>
      <c r="X42">
        <v>1.4704610029521381</v>
      </c>
      <c r="Y42">
        <v>1.0738714847165458</v>
      </c>
      <c r="Z42">
        <v>0.22437118405379844</v>
      </c>
      <c r="AA42">
        <v>0.22435774768635905</v>
      </c>
      <c r="AB42">
        <v>1.6365915922614294</v>
      </c>
      <c r="AC42">
        <v>1.6988155450970752</v>
      </c>
      <c r="AD42">
        <v>1.9687204785813599</v>
      </c>
      <c r="AE42">
        <v>1.6948187506384971</v>
      </c>
      <c r="AF42">
        <v>1.7688754501463453</v>
      </c>
      <c r="AG42">
        <v>2.0387642204950858</v>
      </c>
      <c r="AH42">
        <v>0</v>
      </c>
      <c r="AI42"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4.1240442643386922E-2</v>
      </c>
      <c r="AJ42"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38</v>
      </c>
      <c r="AK42"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38</v>
      </c>
    </row>
    <row r="43" spans="1:37" x14ac:dyDescent="0.3">
      <c r="A43" s="15" t="s">
        <v>84</v>
      </c>
      <c r="B43" s="15" t="s">
        <v>85</v>
      </c>
      <c r="C43">
        <v>0.66734765100000004</v>
      </c>
      <c r="D43">
        <v>0.80917344800000002</v>
      </c>
      <c r="E43">
        <v>0.59955074900000005</v>
      </c>
      <c r="F43">
        <v>1.4236029187682464</v>
      </c>
      <c r="G43">
        <v>0</v>
      </c>
      <c r="H43">
        <v>7.3966685964979295E-2</v>
      </c>
      <c r="I43">
        <v>0</v>
      </c>
      <c r="J43">
        <v>0</v>
      </c>
      <c r="K43">
        <v>0</v>
      </c>
      <c r="L43">
        <v>0</v>
      </c>
      <c r="M43">
        <v>0</v>
      </c>
      <c r="N43">
        <v>2.3609799766492601</v>
      </c>
      <c r="O43">
        <v>1.803442562343444</v>
      </c>
      <c r="P43">
        <v>1.5337033955320207</v>
      </c>
      <c r="Q43">
        <v>0</v>
      </c>
      <c r="R43">
        <v>0.14204221541102249</v>
      </c>
      <c r="S43">
        <v>0</v>
      </c>
      <c r="T43">
        <v>0</v>
      </c>
      <c r="U43">
        <v>0</v>
      </c>
      <c r="V43">
        <v>0</v>
      </c>
      <c r="W43">
        <v>0</v>
      </c>
      <c r="X43">
        <v>2.4626811912145801</v>
      </c>
      <c r="Y43">
        <v>1.8462845901510121</v>
      </c>
      <c r="Z43">
        <v>0.55417069232930904</v>
      </c>
      <c r="AA43">
        <v>0.5541375060666538</v>
      </c>
      <c r="AB43">
        <v>2.9151506689785691</v>
      </c>
      <c r="AC43">
        <v>1.5755944414749186</v>
      </c>
      <c r="AD43">
        <v>1.9454189512539268</v>
      </c>
      <c r="AE43">
        <v>3.0168186972812339</v>
      </c>
      <c r="AF43">
        <v>1.6434645081189319</v>
      </c>
      <c r="AG43">
        <v>2.0132668711235118</v>
      </c>
      <c r="AH43">
        <v>0</v>
      </c>
      <c r="AI43"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4.3075847983114181E-2</v>
      </c>
      <c r="AJ43"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39</v>
      </c>
      <c r="AK43"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39</v>
      </c>
    </row>
    <row r="44" spans="1:37" x14ac:dyDescent="0.3">
      <c r="A44" s="15" t="s">
        <v>103</v>
      </c>
      <c r="B44" s="15" t="s">
        <v>104</v>
      </c>
      <c r="C44">
        <v>0.82143353699999999</v>
      </c>
      <c r="D44">
        <v>0.973907156</v>
      </c>
      <c r="E44">
        <v>0.90512434100000005</v>
      </c>
      <c r="F44">
        <v>0</v>
      </c>
      <c r="G44">
        <v>0</v>
      </c>
      <c r="H44">
        <v>0</v>
      </c>
      <c r="I44">
        <v>1.4880413743609309</v>
      </c>
      <c r="J44">
        <v>0</v>
      </c>
      <c r="K44">
        <v>0</v>
      </c>
      <c r="L44">
        <v>0</v>
      </c>
      <c r="M44">
        <v>0</v>
      </c>
      <c r="N44">
        <v>1.5177448452169764</v>
      </c>
      <c r="O44">
        <v>1.4761644857132832</v>
      </c>
      <c r="P44">
        <v>0</v>
      </c>
      <c r="Q44">
        <v>0</v>
      </c>
      <c r="R44">
        <v>0</v>
      </c>
      <c r="S44">
        <v>1.4998748802747066</v>
      </c>
      <c r="T44">
        <v>0</v>
      </c>
      <c r="U44">
        <v>0</v>
      </c>
      <c r="V44">
        <v>0</v>
      </c>
      <c r="W44">
        <v>0</v>
      </c>
      <c r="X44">
        <v>1.5296835500090231</v>
      </c>
      <c r="Y44">
        <v>1.4890714458167511</v>
      </c>
      <c r="Z44">
        <v>0.83661538832650106</v>
      </c>
      <c r="AA44">
        <v>0.83656528799026408</v>
      </c>
      <c r="AB44">
        <v>2.3543602335434777</v>
      </c>
      <c r="AC44">
        <v>1.2467265164700985</v>
      </c>
      <c r="AD44">
        <v>1.9339504540117649</v>
      </c>
      <c r="AE44">
        <v>2.3662488379992874</v>
      </c>
      <c r="AF44">
        <v>1.2565333689746283</v>
      </c>
      <c r="AG44">
        <v>1.9437161524198947</v>
      </c>
      <c r="AH44">
        <v>1.4880413743609309</v>
      </c>
      <c r="AI44"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7.8660815944592948E-3</v>
      </c>
      <c r="AJ44"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40</v>
      </c>
      <c r="AK44"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40</v>
      </c>
    </row>
    <row r="45" spans="1:37" x14ac:dyDescent="0.3">
      <c r="A45" s="15" t="s">
        <v>86</v>
      </c>
      <c r="B45" s="15" t="s">
        <v>87</v>
      </c>
      <c r="C45">
        <v>0.88227254300000002</v>
      </c>
      <c r="D45">
        <v>0.90674928799999999</v>
      </c>
      <c r="E45">
        <v>0.38435200000000003</v>
      </c>
      <c r="F45">
        <v>0</v>
      </c>
      <c r="G45">
        <v>0.76703565899696691</v>
      </c>
      <c r="H45">
        <v>0</v>
      </c>
      <c r="I45">
        <v>0</v>
      </c>
      <c r="J45">
        <v>0</v>
      </c>
      <c r="K45">
        <v>0</v>
      </c>
      <c r="L45">
        <v>0</v>
      </c>
      <c r="M45">
        <v>0</v>
      </c>
      <c r="N45">
        <v>1.739933572172816</v>
      </c>
      <c r="O45">
        <v>1.5686877051646273</v>
      </c>
      <c r="P45">
        <v>0</v>
      </c>
      <c r="Q45">
        <v>0.80231834516812506</v>
      </c>
      <c r="R45">
        <v>0</v>
      </c>
      <c r="S45">
        <v>0</v>
      </c>
      <c r="T45">
        <v>0</v>
      </c>
      <c r="U45">
        <v>0</v>
      </c>
      <c r="V45">
        <v>0</v>
      </c>
      <c r="W45">
        <v>0</v>
      </c>
      <c r="X45">
        <v>1.807199295588412</v>
      </c>
      <c r="Y45">
        <v>1.6252917963722506</v>
      </c>
      <c r="Z45">
        <v>0.35526035834900538</v>
      </c>
      <c r="AA45">
        <v>0.35523908374223467</v>
      </c>
      <c r="AB45">
        <v>2.0951939305218215</v>
      </c>
      <c r="AC45">
        <v>1.5350956173719845</v>
      </c>
      <c r="AD45">
        <v>1.8485320771596527</v>
      </c>
      <c r="AE45">
        <v>2.1624383793306468</v>
      </c>
      <c r="AF45">
        <v>1.594442318226597</v>
      </c>
      <c r="AG45">
        <v>1.9078600080128485</v>
      </c>
      <c r="AH45">
        <v>0</v>
      </c>
      <c r="AI4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3.8659937650145498E-2</v>
      </c>
      <c r="AJ4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41</v>
      </c>
      <c r="AK4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41</v>
      </c>
    </row>
    <row r="46" spans="1:37" x14ac:dyDescent="0.3">
      <c r="A46" s="15" t="s">
        <v>93</v>
      </c>
      <c r="B46" s="15" t="s">
        <v>93</v>
      </c>
      <c r="C46">
        <v>0.37760138599999998</v>
      </c>
      <c r="D46">
        <v>0.119173291</v>
      </c>
      <c r="E46">
        <v>0.54527295399999998</v>
      </c>
      <c r="F46">
        <v>0</v>
      </c>
      <c r="G46">
        <v>0.54659435561312542</v>
      </c>
      <c r="H46">
        <v>0.36114895315636419</v>
      </c>
      <c r="I46">
        <v>0</v>
      </c>
      <c r="J46">
        <v>0</v>
      </c>
      <c r="K46">
        <v>0</v>
      </c>
      <c r="L46">
        <v>0</v>
      </c>
      <c r="M46">
        <v>0</v>
      </c>
      <c r="N46">
        <v>3.9863813884265951</v>
      </c>
      <c r="O46">
        <v>0.47507018923994659</v>
      </c>
      <c r="P46">
        <v>0</v>
      </c>
      <c r="Q46">
        <v>0.4467178305436369</v>
      </c>
      <c r="R46">
        <v>0.334776908470448</v>
      </c>
      <c r="S46">
        <v>0</v>
      </c>
      <c r="T46">
        <v>0</v>
      </c>
      <c r="U46">
        <v>0</v>
      </c>
      <c r="V46">
        <v>0</v>
      </c>
      <c r="W46">
        <v>0</v>
      </c>
      <c r="X46">
        <v>3.9540845949728891</v>
      </c>
      <c r="Y46">
        <v>0.47122127407532127</v>
      </c>
      <c r="Z46">
        <v>0.50400118910805902</v>
      </c>
      <c r="AA46">
        <v>0.50397100722353894</v>
      </c>
      <c r="AB46">
        <v>4.4903825775346542</v>
      </c>
      <c r="AC46">
        <v>1.5052631373944867</v>
      </c>
      <c r="AD46">
        <v>1.6955746849473379</v>
      </c>
      <c r="AE46">
        <v>4.4580556021964277</v>
      </c>
      <c r="AF46">
        <v>1.4930678234230115</v>
      </c>
      <c r="AG46">
        <v>1.6833679742544356</v>
      </c>
      <c r="AH46">
        <v>0</v>
      </c>
      <c r="AI46"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-8.1017821193604695E-3</v>
      </c>
      <c r="AJ46"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42</v>
      </c>
      <c r="AK46"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42</v>
      </c>
    </row>
    <row r="47" spans="1:37" x14ac:dyDescent="0.3">
      <c r="A47" s="15" t="s">
        <v>94</v>
      </c>
      <c r="B47" s="15" t="s">
        <v>95</v>
      </c>
      <c r="C47">
        <v>0.24214196800000001</v>
      </c>
      <c r="D47">
        <v>0.88632047700000005</v>
      </c>
      <c r="E47">
        <v>0.62068787299999995</v>
      </c>
      <c r="F47">
        <v>0</v>
      </c>
      <c r="G47">
        <v>0</v>
      </c>
      <c r="H47">
        <v>0</v>
      </c>
      <c r="I47">
        <v>0</v>
      </c>
      <c r="J47">
        <v>0</v>
      </c>
      <c r="K47">
        <v>0</v>
      </c>
      <c r="L47">
        <v>0.92025843936136476</v>
      </c>
      <c r="M47">
        <v>0</v>
      </c>
      <c r="N47">
        <v>5.7956536973142718</v>
      </c>
      <c r="O47">
        <v>4.9807190465795621</v>
      </c>
      <c r="P47">
        <v>0</v>
      </c>
      <c r="Q47">
        <v>0</v>
      </c>
      <c r="R47">
        <v>0</v>
      </c>
      <c r="S47">
        <v>0</v>
      </c>
      <c r="T47">
        <v>0</v>
      </c>
      <c r="U47">
        <v>0</v>
      </c>
      <c r="V47">
        <v>0.91416605743157642</v>
      </c>
      <c r="W47">
        <v>0</v>
      </c>
      <c r="X47">
        <v>5.80094731985242</v>
      </c>
      <c r="Y47">
        <v>4.9877019468288104</v>
      </c>
      <c r="Z47">
        <v>0.57370794528156976</v>
      </c>
      <c r="AA47">
        <v>0.57367358903930898</v>
      </c>
      <c r="AB47">
        <v>6.3693616425958419</v>
      </c>
      <c r="AC47">
        <v>1.4033709921141542</v>
      </c>
      <c r="AD47">
        <v>1.5422897630418699</v>
      </c>
      <c r="AE47">
        <v>6.3746209088917292</v>
      </c>
      <c r="AF47">
        <v>1.4046528002933905</v>
      </c>
      <c r="AG47">
        <v>1.5435632521329921</v>
      </c>
      <c r="AH47">
        <v>0.92025843936136476</v>
      </c>
      <c r="AI47"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9.1337799230503018E-4</v>
      </c>
      <c r="AJ47"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43</v>
      </c>
      <c r="AK47"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43</v>
      </c>
    </row>
    <row r="48" spans="1:37" x14ac:dyDescent="0.3">
      <c r="A48" s="15" t="s">
        <v>90</v>
      </c>
      <c r="B48" s="15" t="s">
        <v>91</v>
      </c>
      <c r="C48">
        <v>0.3</v>
      </c>
      <c r="D48">
        <v>1</v>
      </c>
      <c r="E48">
        <v>0.666259881</v>
      </c>
      <c r="F48">
        <v>1.266791658703962</v>
      </c>
      <c r="G48">
        <v>0</v>
      </c>
      <c r="H48">
        <v>0.13736522315767599</v>
      </c>
      <c r="I48">
        <v>0</v>
      </c>
      <c r="J48">
        <v>0</v>
      </c>
      <c r="K48">
        <v>0</v>
      </c>
      <c r="L48">
        <v>0</v>
      </c>
      <c r="M48">
        <v>0</v>
      </c>
      <c r="N48">
        <v>3.8441285166322872</v>
      </c>
      <c r="O48">
        <v>3.8441285166322872</v>
      </c>
      <c r="P48">
        <v>1.3655939761416696</v>
      </c>
      <c r="Q48">
        <v>0</v>
      </c>
      <c r="R48">
        <v>0.35586226465943033</v>
      </c>
      <c r="S48">
        <v>0</v>
      </c>
      <c r="T48">
        <v>0</v>
      </c>
      <c r="U48">
        <v>0</v>
      </c>
      <c r="V48">
        <v>0</v>
      </c>
      <c r="W48">
        <v>0</v>
      </c>
      <c r="X48">
        <v>4.0076892623466893</v>
      </c>
      <c r="Y48">
        <v>4.0076892623466893</v>
      </c>
      <c r="Z48">
        <v>0.61583060339903439</v>
      </c>
      <c r="AA48">
        <v>0.6157937246603381</v>
      </c>
      <c r="AB48">
        <v>4.4599591200313213</v>
      </c>
      <c r="AC48">
        <v>1.1532385549896862</v>
      </c>
      <c r="AD48">
        <v>1.3379877360093964</v>
      </c>
      <c r="AE48">
        <v>4.6234829870070273</v>
      </c>
      <c r="AF48">
        <v>1.2023067787040067</v>
      </c>
      <c r="AG48">
        <v>1.3870448961021082</v>
      </c>
      <c r="AH48">
        <v>0</v>
      </c>
      <c r="AI48"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4.2548199157943938E-2</v>
      </c>
      <c r="AJ48"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44</v>
      </c>
      <c r="AK48"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46</v>
      </c>
    </row>
    <row r="49" spans="1:37" x14ac:dyDescent="0.3">
      <c r="A49" s="15" t="s">
        <v>96</v>
      </c>
      <c r="B49" s="15" t="s">
        <v>97</v>
      </c>
      <c r="C49">
        <v>0.334412816</v>
      </c>
      <c r="D49">
        <v>0.59226283999999996</v>
      </c>
      <c r="E49">
        <v>0.40001998300000002</v>
      </c>
      <c r="F49">
        <v>0</v>
      </c>
      <c r="G49">
        <v>0</v>
      </c>
      <c r="H49">
        <v>0</v>
      </c>
      <c r="I49">
        <v>0</v>
      </c>
      <c r="J49">
        <v>0</v>
      </c>
      <c r="K49">
        <v>0</v>
      </c>
      <c r="L49">
        <v>0</v>
      </c>
      <c r="M49">
        <v>0</v>
      </c>
      <c r="N49">
        <v>3.64</v>
      </c>
      <c r="O49">
        <v>2.1558367376000001</v>
      </c>
      <c r="P49">
        <v>0</v>
      </c>
      <c r="Q49">
        <v>0</v>
      </c>
      <c r="R49">
        <v>0</v>
      </c>
      <c r="S49">
        <v>0</v>
      </c>
      <c r="T49">
        <v>0</v>
      </c>
      <c r="U49">
        <v>0</v>
      </c>
      <c r="V49">
        <v>0</v>
      </c>
      <c r="W49">
        <v>0</v>
      </c>
      <c r="X49">
        <v>3.64</v>
      </c>
      <c r="Y49">
        <v>2.1558367376000001</v>
      </c>
      <c r="Z49">
        <v>0.36974243013524855</v>
      </c>
      <c r="AA49">
        <v>0.36972028827612263</v>
      </c>
      <c r="AB49">
        <v>4.0097424301352484</v>
      </c>
      <c r="AC49">
        <v>1.2172626502400001</v>
      </c>
      <c r="AD49">
        <v>1.3409092574962116</v>
      </c>
      <c r="AE49">
        <v>4.0097202882761227</v>
      </c>
      <c r="AF49">
        <v>1.2172626502400001</v>
      </c>
      <c r="AG49">
        <v>1.3409018529747501</v>
      </c>
      <c r="AH49">
        <v>0</v>
      </c>
      <c r="AI49"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v>
      </c>
      <c r="AJ49"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45</v>
      </c>
      <c r="AK49"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45</v>
      </c>
    </row>
    <row r="50" spans="1:37" x14ac:dyDescent="0.3">
      <c r="A50" s="15" t="s">
        <v>98</v>
      </c>
      <c r="B50" s="15" t="s">
        <v>99</v>
      </c>
      <c r="C50">
        <v>0.931200527</v>
      </c>
      <c r="D50">
        <v>0.97723312399999995</v>
      </c>
      <c r="E50">
        <v>0.40001998300000002</v>
      </c>
      <c r="F50">
        <v>0</v>
      </c>
      <c r="G50">
        <v>0</v>
      </c>
      <c r="H50">
        <v>0.94299610442287818</v>
      </c>
      <c r="I50">
        <v>0</v>
      </c>
      <c r="J50">
        <v>0</v>
      </c>
      <c r="K50">
        <v>0</v>
      </c>
      <c r="L50">
        <v>0</v>
      </c>
      <c r="M50">
        <v>0</v>
      </c>
      <c r="N50">
        <v>1.1685226086442286</v>
      </c>
      <c r="O50">
        <v>1.1337710599253783</v>
      </c>
      <c r="P50">
        <v>0</v>
      </c>
      <c r="Q50">
        <v>0</v>
      </c>
      <c r="R50">
        <v>0.74261969972430897</v>
      </c>
      <c r="S50">
        <v>0</v>
      </c>
      <c r="T50">
        <v>0</v>
      </c>
      <c r="U50">
        <v>0</v>
      </c>
      <c r="V50">
        <v>0</v>
      </c>
      <c r="W50">
        <v>0</v>
      </c>
      <c r="X50">
        <v>0.97168134640613002</v>
      </c>
      <c r="Y50">
        <v>0.94140224108412696</v>
      </c>
      <c r="Z50">
        <v>0.36974243013524855</v>
      </c>
      <c r="AA50">
        <v>0.36972028827612263</v>
      </c>
      <c r="AB50">
        <v>1.5382650387794772</v>
      </c>
      <c r="AC50">
        <v>1.0881288689809205</v>
      </c>
      <c r="AD50">
        <v>1.4324332147771246</v>
      </c>
      <c r="AE50">
        <v>1.3414016346822526</v>
      </c>
      <c r="AF50">
        <v>0.90483018184945785</v>
      </c>
      <c r="AG50">
        <v>1.2491139091347752</v>
      </c>
      <c r="AH50">
        <v>0</v>
      </c>
      <c r="AI50"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-0.16845310547006234</v>
      </c>
      <c r="AJ50"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46</v>
      </c>
      <c r="AK50"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44</v>
      </c>
    </row>
    <row r="51" spans="1:37" x14ac:dyDescent="0.3">
      <c r="A51" s="15" t="s">
        <v>101</v>
      </c>
      <c r="B51" s="15" t="s">
        <v>102</v>
      </c>
      <c r="C51">
        <v>0.25803222599999998</v>
      </c>
      <c r="D51">
        <v>0.77509698299999996</v>
      </c>
      <c r="E51">
        <v>0.78919357000000001</v>
      </c>
      <c r="F51">
        <v>0.63465989927449329</v>
      </c>
      <c r="G51">
        <v>0</v>
      </c>
      <c r="H51">
        <v>0</v>
      </c>
      <c r="I51">
        <v>0</v>
      </c>
      <c r="J51">
        <v>0</v>
      </c>
      <c r="K51">
        <v>0</v>
      </c>
      <c r="L51">
        <v>0</v>
      </c>
      <c r="M51">
        <v>1.2382214411926995</v>
      </c>
      <c r="N51">
        <v>3.955693448032608</v>
      </c>
      <c r="O51">
        <v>2.9423180931443542</v>
      </c>
      <c r="P51">
        <v>0.59963709615113958</v>
      </c>
      <c r="Q51">
        <v>0</v>
      </c>
      <c r="R51">
        <v>0</v>
      </c>
      <c r="S51">
        <v>0</v>
      </c>
      <c r="T51">
        <v>0</v>
      </c>
      <c r="U51">
        <v>0</v>
      </c>
      <c r="V51">
        <v>0</v>
      </c>
      <c r="W51">
        <v>1.2234230060695188</v>
      </c>
      <c r="X51">
        <v>4.0124705604948616</v>
      </c>
      <c r="Y51">
        <v>2.9845207724366918</v>
      </c>
      <c r="Z51">
        <v>0.72945942907785266</v>
      </c>
      <c r="AA51">
        <v>0.72941574572803858</v>
      </c>
      <c r="AB51">
        <v>4.6851528771104611</v>
      </c>
      <c r="AC51">
        <v>1.0206963857694691</v>
      </c>
      <c r="AD51">
        <v>1.2089204260311166</v>
      </c>
      <c r="AE51">
        <v>4.7418863062229004</v>
      </c>
      <c r="AF51">
        <v>1.0353467104839567</v>
      </c>
      <c r="AG51">
        <v>1.2235594790336126</v>
      </c>
      <c r="AH51">
        <v>1.2382214411926995</v>
      </c>
      <c r="AI51"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1.4353264025171638E-2</v>
      </c>
      <c r="AJ51"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47</v>
      </c>
      <c r="AK51"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47</v>
      </c>
    </row>
    <row r="52" spans="1:37" x14ac:dyDescent="0.3">
      <c r="A52" s="15" t="s">
        <v>100</v>
      </c>
      <c r="B52" s="15" t="s">
        <v>100</v>
      </c>
      <c r="C52">
        <v>0.21527363199999999</v>
      </c>
      <c r="D52">
        <v>1.1148602000000001E-2</v>
      </c>
      <c r="E52">
        <v>0.47060436900000002</v>
      </c>
      <c r="F52">
        <v>0</v>
      </c>
      <c r="G52">
        <v>0.32362400820997828</v>
      </c>
      <c r="H52">
        <v>0.6979407038043185</v>
      </c>
      <c r="I52">
        <v>0</v>
      </c>
      <c r="J52">
        <v>0</v>
      </c>
      <c r="K52">
        <v>0</v>
      </c>
      <c r="L52">
        <v>0</v>
      </c>
      <c r="M52">
        <v>0</v>
      </c>
      <c r="N52">
        <v>5.1742298606148518</v>
      </c>
      <c r="O52">
        <v>5.7685429372510401E-2</v>
      </c>
      <c r="P52">
        <v>0</v>
      </c>
      <c r="Q52">
        <v>0.20549934959292041</v>
      </c>
      <c r="R52">
        <v>0.63866689865668014</v>
      </c>
      <c r="S52">
        <v>0</v>
      </c>
      <c r="T52">
        <v>0</v>
      </c>
      <c r="U52">
        <v>0</v>
      </c>
      <c r="V52">
        <v>0</v>
      </c>
      <c r="W52">
        <v>0</v>
      </c>
      <c r="X52">
        <v>5.1444222468186958</v>
      </c>
      <c r="Y52">
        <v>5.73531161497274E-2</v>
      </c>
      <c r="Z52">
        <v>0.43498427683880286</v>
      </c>
      <c r="AA52">
        <v>0.43495822800103157</v>
      </c>
      <c r="AB52">
        <v>5.6092141374536544</v>
      </c>
      <c r="AC52">
        <v>1.1138752548974129</v>
      </c>
      <c r="AD52">
        <v>1.2075159000353954</v>
      </c>
      <c r="AE52">
        <v>5.5793804748197271</v>
      </c>
      <c r="AF52">
        <v>1.1074584616142611</v>
      </c>
      <c r="AG52">
        <v>1.2010934991243272</v>
      </c>
      <c r="AH52">
        <v>0</v>
      </c>
      <c r="AI52"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-5.7607826863366315E-3</v>
      </c>
      <c r="AJ52"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48</v>
      </c>
      <c r="AK52"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48</v>
      </c>
    </row>
    <row r="53" spans="1:37" x14ac:dyDescent="0.3">
      <c r="A53" s="15" t="s">
        <v>105</v>
      </c>
      <c r="B53" s="15" t="s">
        <v>106</v>
      </c>
      <c r="C53">
        <v>0.32184670100000001</v>
      </c>
      <c r="D53">
        <v>0.18642415700000001</v>
      </c>
      <c r="E53">
        <v>0.45273275499999999</v>
      </c>
      <c r="F53">
        <v>0</v>
      </c>
      <c r="G53">
        <v>1.3623866679935863</v>
      </c>
      <c r="H53">
        <v>0.13767174470284241</v>
      </c>
      <c r="I53">
        <v>0</v>
      </c>
      <c r="J53">
        <v>0</v>
      </c>
      <c r="K53">
        <v>0</v>
      </c>
      <c r="L53">
        <v>0</v>
      </c>
      <c r="M53">
        <v>0</v>
      </c>
      <c r="N53">
        <v>3.0184667058855856</v>
      </c>
      <c r="O53">
        <v>0.42890022597880212</v>
      </c>
      <c r="P53">
        <v>0</v>
      </c>
      <c r="Q53">
        <v>1.2139605831302398</v>
      </c>
      <c r="R53">
        <v>0</v>
      </c>
      <c r="S53">
        <v>0</v>
      </c>
      <c r="T53">
        <v>0</v>
      </c>
      <c r="U53">
        <v>0</v>
      </c>
      <c r="V53">
        <v>0</v>
      </c>
      <c r="W53">
        <v>0</v>
      </c>
      <c r="X53">
        <v>2.8446504964868105</v>
      </c>
      <c r="Y53">
        <v>0.44631197332135408</v>
      </c>
      <c r="Z53">
        <v>0.41846536710523807</v>
      </c>
      <c r="AA53">
        <v>0.41844030749494626</v>
      </c>
      <c r="AB53">
        <v>3.4369320729908237</v>
      </c>
      <c r="AC53">
        <v>0.97148355136761311</v>
      </c>
      <c r="AD53">
        <v>1.1061652492531879</v>
      </c>
      <c r="AE53">
        <v>3.2630908039817568</v>
      </c>
      <c r="AF53">
        <v>0.91554137779229205</v>
      </c>
      <c r="AG53">
        <v>1.0502150103249661</v>
      </c>
      <c r="AH53">
        <v>0</v>
      </c>
      <c r="AI53"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-5.7584272524808043E-2</v>
      </c>
      <c r="AJ53"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49</v>
      </c>
      <c r="AK53"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49</v>
      </c>
    </row>
    <row r="54" spans="1:37" x14ac:dyDescent="0.3">
      <c r="A54" s="15" t="s">
        <v>107</v>
      </c>
      <c r="B54" s="15" t="s">
        <v>107</v>
      </c>
      <c r="C54">
        <v>0.31820840700000003</v>
      </c>
      <c r="D54">
        <v>0.448046167</v>
      </c>
      <c r="E54">
        <v>0.90512434100000005</v>
      </c>
      <c r="F54">
        <v>0</v>
      </c>
      <c r="G54">
        <v>0</v>
      </c>
      <c r="H54">
        <v>0</v>
      </c>
      <c r="I54">
        <v>0</v>
      </c>
      <c r="J54">
        <v>2.345892251185357</v>
      </c>
      <c r="K54">
        <v>0</v>
      </c>
      <c r="L54">
        <v>0</v>
      </c>
      <c r="M54">
        <v>0</v>
      </c>
      <c r="N54">
        <v>2.3880757128713821</v>
      </c>
      <c r="O54">
        <v>1.021185324556529</v>
      </c>
      <c r="P54">
        <v>0</v>
      </c>
      <c r="Q54">
        <v>0</v>
      </c>
      <c r="R54">
        <v>0</v>
      </c>
      <c r="S54">
        <v>0</v>
      </c>
      <c r="T54">
        <v>2.3364409353031168</v>
      </c>
      <c r="U54">
        <v>0</v>
      </c>
      <c r="V54">
        <v>0</v>
      </c>
      <c r="W54">
        <v>0</v>
      </c>
      <c r="X54">
        <v>2.3786465401490444</v>
      </c>
      <c r="Y54">
        <v>1.0279338475038386</v>
      </c>
      <c r="Z54">
        <v>0.83661538832650106</v>
      </c>
      <c r="AA54">
        <v>0.83656528799026408</v>
      </c>
      <c r="AB54">
        <v>3.2246911011978829</v>
      </c>
      <c r="AC54">
        <v>0.7599057683881919</v>
      </c>
      <c r="AD54">
        <v>1.0261238183792543</v>
      </c>
      <c r="AE54">
        <v>3.2152118281393083</v>
      </c>
      <c r="AF54">
        <v>0.75690532635688901</v>
      </c>
      <c r="AG54">
        <v>1.0231074339997672</v>
      </c>
      <c r="AH54">
        <v>2.345892251185357</v>
      </c>
      <c r="AI54"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-3.948439604119669E-3</v>
      </c>
      <c r="AJ54"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50</v>
      </c>
      <c r="AK54"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50</v>
      </c>
    </row>
    <row r="55" spans="1:37" x14ac:dyDescent="0.3">
      <c r="A55" s="15" t="s">
        <v>140</v>
      </c>
      <c r="B55" s="15" t="s">
        <v>141</v>
      </c>
      <c r="C55">
        <v>0.30089410599999999</v>
      </c>
      <c r="D55">
        <v>0.99702850300000001</v>
      </c>
      <c r="E55">
        <v>0.23788869100000001</v>
      </c>
      <c r="F55">
        <v>0</v>
      </c>
      <c r="G55">
        <v>0</v>
      </c>
      <c r="H55">
        <v>0.59860106058735263</v>
      </c>
      <c r="I55">
        <v>0</v>
      </c>
      <c r="J55">
        <v>0</v>
      </c>
      <c r="K55">
        <v>0</v>
      </c>
      <c r="L55">
        <v>0</v>
      </c>
      <c r="M55">
        <v>0</v>
      </c>
      <c r="N55">
        <v>2.8318777886917186</v>
      </c>
      <c r="O55">
        <v>2.8234628723382547</v>
      </c>
      <c r="P55">
        <v>0</v>
      </c>
      <c r="Q55">
        <v>0</v>
      </c>
      <c r="R55">
        <v>0.47039901501630871</v>
      </c>
      <c r="S55">
        <v>0</v>
      </c>
      <c r="T55">
        <v>0</v>
      </c>
      <c r="U55">
        <v>0</v>
      </c>
      <c r="V55">
        <v>0</v>
      </c>
      <c r="W55">
        <v>0</v>
      </c>
      <c r="X55">
        <v>2.7229849974393479</v>
      </c>
      <c r="Y55">
        <v>2.714893655688412</v>
      </c>
      <c r="Z55">
        <v>0.21988287198150602</v>
      </c>
      <c r="AA55">
        <v>0.21986970439461634</v>
      </c>
      <c r="AB55">
        <v>3.0517606606732244</v>
      </c>
      <c r="AC55">
        <v>0.85209533552965155</v>
      </c>
      <c r="AD55">
        <v>0.91825679571923924</v>
      </c>
      <c r="AE55">
        <v>2.9428547018339644</v>
      </c>
      <c r="AF55">
        <v>0.8193301364559249</v>
      </c>
      <c r="AG55">
        <v>0.88548763459622726</v>
      </c>
      <c r="AH55">
        <v>0</v>
      </c>
      <c r="AI55" s="32">
        <f>(Hotspot_products_with_footprint___processed__2[[#This Row],[Unit GHG footprint without end-of-life (IPCC 2021 GWP100, kg CO2e/kg) - ecoinvent-3.12-cutoff]]-Hotspot_products_with_footprint___processed__2[[#This Row],[Unit GHG footprint without end-of-life (IPCC 2021 GWP100, kg CO2e/kg) - ecoinvent-3.11-cutoff]])/Hotspot_products_with_footprint___processed__2[[#This Row],[Unit GHG footprint without end-of-life (IPCC 2021 GWP100, kg CO2e/kg) - ecoinvent-3.11-cutoff]]</f>
        <v>-3.8452503736991217E-2</v>
      </c>
      <c r="AJ55" s="17">
        <f>_xlfn.RANK.AVG(Hotspot_products_with_footprint___processed__2[[#This Row],[Total GHG footprint with end-of-life (IPCC 2021 GWP100, kg CO2e/kg) - ecoinvent-3.12-cutoff]],Hotspot_products_with_footprint___processed__2[Total GHG footprint with end-of-life (IPCC 2021 GWP100, kg CO2e/kg) - ecoinvent-3.12-cutoff])</f>
        <v>51</v>
      </c>
      <c r="AK55" s="23">
        <f>_xlfn.RANK.AVG(Hotspot_products_with_footprint___processed__2[[#This Row],[Total GHG footprint with end-of-life (IPCC 2021 GWP100, kg CO2e/kg) - ecoinvent-3.11-cutoff]],Hotspot_products_with_footprint___processed__2[Total GHG footprint with end-of-life (IPCC 2021 GWP100, kg CO2e/kg) - ecoinvent-3.11-cutoff])</f>
        <v>51</v>
      </c>
    </row>
  </sheetData>
  <phoneticPr fontId="1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8A50-58CD-4703-9CDB-7D64ECDFC144}">
  <sheetPr codeName="Sheet4"/>
  <dimension ref="A1:L59"/>
  <sheetViews>
    <sheetView zoomScaleNormal="100" workbookViewId="0">
      <selection activeCell="B3" sqref="B3"/>
    </sheetView>
  </sheetViews>
  <sheetFormatPr defaultRowHeight="14.4" x14ac:dyDescent="0.3"/>
  <cols>
    <col min="1" max="1" width="23.21875" customWidth="1"/>
    <col min="2" max="2" width="26.44140625" customWidth="1"/>
    <col min="11" max="11" width="15.77734375" customWidth="1"/>
    <col min="12" max="12" width="11.44140625" customWidth="1"/>
  </cols>
  <sheetData>
    <row r="1" spans="1:12" ht="24" thickBot="1" x14ac:dyDescent="0.5">
      <c r="A1" s="2" t="s">
        <v>108</v>
      </c>
      <c r="B1" s="24" t="s">
        <v>274</v>
      </c>
    </row>
    <row r="2" spans="1:12" ht="60" thickTop="1" thickBot="1" x14ac:dyDescent="0.45">
      <c r="A2" s="2" t="s">
        <v>219</v>
      </c>
      <c r="B2" s="33" t="s">
        <v>275</v>
      </c>
    </row>
    <row r="3" spans="1:12" ht="15" thickTop="1" x14ac:dyDescent="0.3"/>
    <row r="4" spans="1:12" x14ac:dyDescent="0.3">
      <c r="B4" t="s">
        <v>152</v>
      </c>
    </row>
    <row r="5" spans="1:12" ht="18" thickBot="1" x14ac:dyDescent="0.4">
      <c r="A5" t="s">
        <v>212</v>
      </c>
      <c r="B5" t="s">
        <v>153</v>
      </c>
      <c r="C5" t="s">
        <v>154</v>
      </c>
      <c r="D5" t="s">
        <v>155</v>
      </c>
      <c r="E5" t="s">
        <v>156</v>
      </c>
      <c r="F5" t="s">
        <v>157</v>
      </c>
      <c r="K5" s="3" t="s">
        <v>239</v>
      </c>
    </row>
    <row r="6" spans="1:12" ht="15.6" thickTop="1" thickBot="1" x14ac:dyDescent="0.35">
      <c r="A6" t="s">
        <v>158</v>
      </c>
    </row>
    <row r="7" spans="1:12" x14ac:dyDescent="0.3">
      <c r="A7" t="s">
        <v>159</v>
      </c>
      <c r="B7" s="18" t="str">
        <f>IFERROR((('[1]Ecoinvent 3.11-3.12 location 2'!G4-'[1]Ecoinvent 3.11-3.12 location 2'!B4)/'[1]Ecoinvent 3.11-3.12 location 2'!B4), "")</f>
        <v/>
      </c>
      <c r="C7" s="18" t="str">
        <f>IFERROR((('[1]Ecoinvent 3.11-3.12 location 2'!H4-'[1]Ecoinvent 3.11-3.12 location 2'!C4)/'[1]Ecoinvent 3.11-3.12 location 2'!C4), "")</f>
        <v/>
      </c>
      <c r="D7" s="18" t="str">
        <f>IFERROR((('[1]Ecoinvent 3.11-3.12 location 2'!I4-'[1]Ecoinvent 3.11-3.12 location 2'!D4)/'[1]Ecoinvent 3.11-3.12 location 2'!D4), "")</f>
        <v/>
      </c>
      <c r="E7" s="18" t="str">
        <f>IFERROR((('[1]Ecoinvent 3.11-3.12 location 2'!J4-'[1]Ecoinvent 3.11-3.12 location 2'!E4)/'[1]Ecoinvent 3.11-3.12 location 2'!E4), "")</f>
        <v/>
      </c>
      <c r="F7" s="18" t="str">
        <f>IFERROR((('[1]Ecoinvent 3.11-3.12 location 2'!K4-'[1]Ecoinvent 3.11-3.12 location 2'!F4)/'[1]Ecoinvent 3.11-3.12 location 2'!F4), "")</f>
        <v/>
      </c>
      <c r="K7" s="7" t="s">
        <v>218</v>
      </c>
      <c r="L7" s="27" cm="1">
        <f t="array" ref="L7">SUMPRODUCT(--('Location sensitivity analysis'!B7:F59&lt;&gt;""))</f>
        <v>50</v>
      </c>
    </row>
    <row r="8" spans="1:12" x14ac:dyDescent="0.3">
      <c r="A8" t="s">
        <v>160</v>
      </c>
      <c r="B8" s="18" t="str">
        <f>IFERROR((('[1]Ecoinvent 3.11-3.12 location 2'!G5-'[1]Ecoinvent 3.11-3.12 location 2'!B5)/'[1]Ecoinvent 3.11-3.12 location 2'!B5), "")</f>
        <v/>
      </c>
      <c r="C8" s="18">
        <f>IFERROR((('[1]Ecoinvent 3.11-3.12 location 2'!H5-'[1]Ecoinvent 3.11-3.12 location 2'!C5)/'[1]Ecoinvent 3.11-3.12 location 2'!C5), "")</f>
        <v>-2.1380906442819002E-2</v>
      </c>
      <c r="D8" s="18">
        <f>IFERROR((('[1]Ecoinvent 3.11-3.12 location 2'!I5-'[1]Ecoinvent 3.11-3.12 location 2'!D5)/'[1]Ecoinvent 3.11-3.12 location 2'!D5), "")</f>
        <v>-0.42877759570840335</v>
      </c>
      <c r="E8" s="18" t="str">
        <f>IFERROR((('[1]Ecoinvent 3.11-3.12 location 2'!J5-'[1]Ecoinvent 3.11-3.12 location 2'!E5)/'[1]Ecoinvent 3.11-3.12 location 2'!E5), "")</f>
        <v/>
      </c>
      <c r="F8" s="18" t="str">
        <f>IFERROR((('[1]Ecoinvent 3.11-3.12 location 2'!K5-'[1]Ecoinvent 3.11-3.12 location 2'!F5)/'[1]Ecoinvent 3.11-3.12 location 2'!F5), "")</f>
        <v/>
      </c>
      <c r="K8" s="25" t="s">
        <v>213</v>
      </c>
      <c r="L8" s="28">
        <f>AVERAGE('Location sensitivity analysis'!B7:F59)</f>
        <v>-1.8664317499543261E-2</v>
      </c>
    </row>
    <row r="9" spans="1:12" x14ac:dyDescent="0.3">
      <c r="A9" t="s">
        <v>161</v>
      </c>
      <c r="B9" s="18" t="str">
        <f>IFERROR((('[1]Ecoinvent 3.11-3.12 location 2'!G6-'[1]Ecoinvent 3.11-3.12 location 2'!B6)/'[1]Ecoinvent 3.11-3.12 location 2'!B6), "")</f>
        <v/>
      </c>
      <c r="C9" s="18">
        <f>IFERROR((('[1]Ecoinvent 3.11-3.12 location 2'!H6-'[1]Ecoinvent 3.11-3.12 location 2'!C6)/'[1]Ecoinvent 3.11-3.12 location 2'!C6), "")</f>
        <v>-3.2219836502908092E-2</v>
      </c>
      <c r="D9" s="18">
        <f>IFERROR((('[1]Ecoinvent 3.11-3.12 location 2'!I6-'[1]Ecoinvent 3.11-3.12 location 2'!D6)/'[1]Ecoinvent 3.11-3.12 location 2'!D6), "")</f>
        <v>-4.8539137034637678E-2</v>
      </c>
      <c r="E9" s="18" t="str">
        <f>IFERROR((('[1]Ecoinvent 3.11-3.12 location 2'!J6-'[1]Ecoinvent 3.11-3.12 location 2'!E6)/'[1]Ecoinvent 3.11-3.12 location 2'!E6), "")</f>
        <v/>
      </c>
      <c r="F9" s="18" t="str">
        <f>IFERROR((('[1]Ecoinvent 3.11-3.12 location 2'!K6-'[1]Ecoinvent 3.11-3.12 location 2'!F6)/'[1]Ecoinvent 3.11-3.12 location 2'!F6), "")</f>
        <v/>
      </c>
      <c r="K9" s="25" t="s">
        <v>214</v>
      </c>
      <c r="L9" s="28">
        <f>MEDIAN('Location sensitivity analysis'!B7:F59)</f>
        <v>2.6137374592337106E-3</v>
      </c>
    </row>
    <row r="10" spans="1:12" x14ac:dyDescent="0.3">
      <c r="A10" t="s">
        <v>162</v>
      </c>
      <c r="B10" s="18" t="str">
        <f>IFERROR((('[1]Ecoinvent 3.11-3.12 location 2'!G7-'[1]Ecoinvent 3.11-3.12 location 2'!B7)/'[1]Ecoinvent 3.11-3.12 location 2'!B7), "")</f>
        <v/>
      </c>
      <c r="C10" s="18" t="str">
        <f>IFERROR((('[1]Ecoinvent 3.11-3.12 location 2'!H7-'[1]Ecoinvent 3.11-3.12 location 2'!C7)/'[1]Ecoinvent 3.11-3.12 location 2'!C7), "")</f>
        <v/>
      </c>
      <c r="D10" s="18" t="str">
        <f>IFERROR((('[1]Ecoinvent 3.11-3.12 location 2'!I7-'[1]Ecoinvent 3.11-3.12 location 2'!D7)/'[1]Ecoinvent 3.11-3.12 location 2'!D7), "")</f>
        <v/>
      </c>
      <c r="E10" s="18" t="str">
        <f>IFERROR((('[1]Ecoinvent 3.11-3.12 location 2'!J7-'[1]Ecoinvent 3.11-3.12 location 2'!E7)/'[1]Ecoinvent 3.11-3.12 location 2'!E7), "")</f>
        <v/>
      </c>
      <c r="F10" s="18" t="str">
        <f>IFERROR((('[1]Ecoinvent 3.11-3.12 location 2'!K7-'[1]Ecoinvent 3.11-3.12 location 2'!F7)/'[1]Ecoinvent 3.11-3.12 location 2'!F7), "")</f>
        <v/>
      </c>
      <c r="K10" s="25" t="s">
        <v>215</v>
      </c>
      <c r="L10" s="28">
        <f>MIN('Location sensitivity analysis'!B7:F59)</f>
        <v>-0.42877759570840335</v>
      </c>
    </row>
    <row r="11" spans="1:12" x14ac:dyDescent="0.3">
      <c r="A11" t="s">
        <v>163</v>
      </c>
      <c r="B11" s="18" t="str">
        <f>IFERROR((('[1]Ecoinvent 3.11-3.12 location 2'!G8-'[1]Ecoinvent 3.11-3.12 location 2'!B8)/'[1]Ecoinvent 3.11-3.12 location 2'!B8), "")</f>
        <v/>
      </c>
      <c r="C11" s="18">
        <f>IFERROR((('[1]Ecoinvent 3.11-3.12 location 2'!H8-'[1]Ecoinvent 3.11-3.12 location 2'!C8)/'[1]Ecoinvent 3.11-3.12 location 2'!C8), "")</f>
        <v>3.8254885418121626E-3</v>
      </c>
      <c r="D11" s="18" t="str">
        <f>IFERROR((('[1]Ecoinvent 3.11-3.12 location 2'!I8-'[1]Ecoinvent 3.11-3.12 location 2'!D8)/'[1]Ecoinvent 3.11-3.12 location 2'!D8), "")</f>
        <v/>
      </c>
      <c r="E11" s="18" t="str">
        <f>IFERROR((('[1]Ecoinvent 3.11-3.12 location 2'!J8-'[1]Ecoinvent 3.11-3.12 location 2'!E8)/'[1]Ecoinvent 3.11-3.12 location 2'!E8), "")</f>
        <v/>
      </c>
      <c r="F11" s="18">
        <f>IFERROR((('[1]Ecoinvent 3.11-3.12 location 2'!K8-'[1]Ecoinvent 3.11-3.12 location 2'!F8)/'[1]Ecoinvent 3.11-3.12 location 2'!F8), "")</f>
        <v>-0.12512581659059813</v>
      </c>
      <c r="K11" s="25" t="s">
        <v>216</v>
      </c>
      <c r="L11" s="28">
        <f>MAX('Location sensitivity analysis'!B7:F59)</f>
        <v>7.2212083847678674E-2</v>
      </c>
    </row>
    <row r="12" spans="1:12" ht="15" thickBot="1" x14ac:dyDescent="0.35">
      <c r="A12" t="s">
        <v>164</v>
      </c>
      <c r="B12" s="18" t="str">
        <f>IFERROR((('[1]Ecoinvent 3.11-3.12 location 2'!G9-'[1]Ecoinvent 3.11-3.12 location 2'!B9)/'[1]Ecoinvent 3.11-3.12 location 2'!B9), "")</f>
        <v/>
      </c>
      <c r="C12" s="18" t="str">
        <f>IFERROR((('[1]Ecoinvent 3.11-3.12 location 2'!H9-'[1]Ecoinvent 3.11-3.12 location 2'!C9)/'[1]Ecoinvent 3.11-3.12 location 2'!C9), "")</f>
        <v/>
      </c>
      <c r="D12" s="18" t="str">
        <f>IFERROR((('[1]Ecoinvent 3.11-3.12 location 2'!I9-'[1]Ecoinvent 3.11-3.12 location 2'!D9)/'[1]Ecoinvent 3.11-3.12 location 2'!D9), "")</f>
        <v/>
      </c>
      <c r="E12" s="18">
        <f>IFERROR((('[1]Ecoinvent 3.11-3.12 location 2'!J9-'[1]Ecoinvent 3.11-3.12 location 2'!E9)/'[1]Ecoinvent 3.11-3.12 location 2'!E9), "")</f>
        <v>2.5240856478065801E-2</v>
      </c>
      <c r="F12" s="18" t="str">
        <f>IFERROR((('[1]Ecoinvent 3.11-3.12 location 2'!K9-'[1]Ecoinvent 3.11-3.12 location 2'!F9)/'[1]Ecoinvent 3.11-3.12 location 2'!F9), "")</f>
        <v/>
      </c>
      <c r="K12" s="26" t="s">
        <v>217</v>
      </c>
      <c r="L12" s="29">
        <f>_xlfn.STDEV.P('Location sensitivity analysis'!B7:F59)</f>
        <v>7.9279323119398143E-2</v>
      </c>
    </row>
    <row r="13" spans="1:12" x14ac:dyDescent="0.3">
      <c r="A13" t="s">
        <v>165</v>
      </c>
      <c r="B13" s="18" t="str">
        <f>IFERROR((('[1]Ecoinvent 3.11-3.12 location 2'!G10-'[1]Ecoinvent 3.11-3.12 location 2'!B10)/'[1]Ecoinvent 3.11-3.12 location 2'!B10), "")</f>
        <v/>
      </c>
      <c r="C13" s="18" t="str">
        <f>IFERROR((('[1]Ecoinvent 3.11-3.12 location 2'!H10-'[1]Ecoinvent 3.11-3.12 location 2'!C10)/'[1]Ecoinvent 3.11-3.12 location 2'!C10), "")</f>
        <v/>
      </c>
      <c r="D13" s="18" t="str">
        <f>IFERROR((('[1]Ecoinvent 3.11-3.12 location 2'!I10-'[1]Ecoinvent 3.11-3.12 location 2'!D10)/'[1]Ecoinvent 3.11-3.12 location 2'!D10), "")</f>
        <v/>
      </c>
      <c r="E13" s="18">
        <f>IFERROR((('[1]Ecoinvent 3.11-3.12 location 2'!J10-'[1]Ecoinvent 3.11-3.12 location 2'!E10)/'[1]Ecoinvent 3.11-3.12 location 2'!E10), "")</f>
        <v>2.921997699924591E-2</v>
      </c>
      <c r="F13" s="18" t="str">
        <f>IFERROR((('[1]Ecoinvent 3.11-3.12 location 2'!K10-'[1]Ecoinvent 3.11-3.12 location 2'!F10)/'[1]Ecoinvent 3.11-3.12 location 2'!F10), "")</f>
        <v/>
      </c>
    </row>
    <row r="14" spans="1:12" x14ac:dyDescent="0.3">
      <c r="A14" t="s">
        <v>166</v>
      </c>
      <c r="B14" s="18" t="str">
        <f>IFERROR((('[1]Ecoinvent 3.11-3.12 location 2'!G11-'[1]Ecoinvent 3.11-3.12 location 2'!B11)/'[1]Ecoinvent 3.11-3.12 location 2'!B11), "")</f>
        <v/>
      </c>
      <c r="C14" s="18" t="str">
        <f>IFERROR((('[1]Ecoinvent 3.11-3.12 location 2'!H11-'[1]Ecoinvent 3.11-3.12 location 2'!C11)/'[1]Ecoinvent 3.11-3.12 location 2'!C11), "")</f>
        <v/>
      </c>
      <c r="D14" s="18" t="str">
        <f>IFERROR((('[1]Ecoinvent 3.11-3.12 location 2'!I11-'[1]Ecoinvent 3.11-3.12 location 2'!D11)/'[1]Ecoinvent 3.11-3.12 location 2'!D11), "")</f>
        <v/>
      </c>
      <c r="E14" s="18" t="str">
        <f>IFERROR((('[1]Ecoinvent 3.11-3.12 location 2'!J11-'[1]Ecoinvent 3.11-3.12 location 2'!E11)/'[1]Ecoinvent 3.11-3.12 location 2'!E11), "")</f>
        <v/>
      </c>
      <c r="F14" s="18" t="str">
        <f>IFERROR((('[1]Ecoinvent 3.11-3.12 location 2'!K11-'[1]Ecoinvent 3.11-3.12 location 2'!F11)/'[1]Ecoinvent 3.11-3.12 location 2'!F11), "")</f>
        <v/>
      </c>
    </row>
    <row r="15" spans="1:12" x14ac:dyDescent="0.3">
      <c r="A15" t="s">
        <v>167</v>
      </c>
      <c r="B15" s="18">
        <f>IFERROR((('[1]Ecoinvent 3.11-3.12 location 2'!G12-'[1]Ecoinvent 3.11-3.12 location 2'!B12)/'[1]Ecoinvent 3.11-3.12 location 2'!B12), "")</f>
        <v>-7.5416280554971279E-2</v>
      </c>
      <c r="C15" s="18" t="str">
        <f>IFERROR((('[1]Ecoinvent 3.11-3.12 location 2'!H12-'[1]Ecoinvent 3.11-3.12 location 2'!C12)/'[1]Ecoinvent 3.11-3.12 location 2'!C12), "")</f>
        <v/>
      </c>
      <c r="D15" s="18" t="str">
        <f>IFERROR((('[1]Ecoinvent 3.11-3.12 location 2'!I12-'[1]Ecoinvent 3.11-3.12 location 2'!D12)/'[1]Ecoinvent 3.11-3.12 location 2'!D12), "")</f>
        <v/>
      </c>
      <c r="E15" s="18" t="str">
        <f>IFERROR((('[1]Ecoinvent 3.11-3.12 location 2'!J12-'[1]Ecoinvent 3.11-3.12 location 2'!E12)/'[1]Ecoinvent 3.11-3.12 location 2'!E12), "")</f>
        <v/>
      </c>
      <c r="F15" s="18" t="str">
        <f>IFERROR((('[1]Ecoinvent 3.11-3.12 location 2'!K12-'[1]Ecoinvent 3.11-3.12 location 2'!F12)/'[1]Ecoinvent 3.11-3.12 location 2'!F12), "")</f>
        <v/>
      </c>
    </row>
    <row r="16" spans="1:12" x14ac:dyDescent="0.3">
      <c r="A16" t="s">
        <v>168</v>
      </c>
      <c r="B16" s="18" t="str">
        <f>IFERROR((('[1]Ecoinvent 3.11-3.12 location 2'!G13-'[1]Ecoinvent 3.11-3.12 location 2'!B13)/'[1]Ecoinvent 3.11-3.12 location 2'!B13), "")</f>
        <v/>
      </c>
      <c r="C16" s="18" t="str">
        <f>IFERROR((('[1]Ecoinvent 3.11-3.12 location 2'!H13-'[1]Ecoinvent 3.11-3.12 location 2'!C13)/'[1]Ecoinvent 3.11-3.12 location 2'!C13), "")</f>
        <v/>
      </c>
      <c r="D16" s="18" t="str">
        <f>IFERROR((('[1]Ecoinvent 3.11-3.12 location 2'!I13-'[1]Ecoinvent 3.11-3.12 location 2'!D13)/'[1]Ecoinvent 3.11-3.12 location 2'!D13), "")</f>
        <v/>
      </c>
      <c r="E16" s="18">
        <f>IFERROR((('[1]Ecoinvent 3.11-3.12 location 2'!J13-'[1]Ecoinvent 3.11-3.12 location 2'!E13)/'[1]Ecoinvent 3.11-3.12 location 2'!E13), "")</f>
        <v>4.2544173283269496E-2</v>
      </c>
      <c r="F16" s="18" t="str">
        <f>IFERROR((('[1]Ecoinvent 3.11-3.12 location 2'!K13-'[1]Ecoinvent 3.11-3.12 location 2'!F13)/'[1]Ecoinvent 3.11-3.12 location 2'!F13), "")</f>
        <v/>
      </c>
    </row>
    <row r="17" spans="1:6" x14ac:dyDescent="0.3">
      <c r="A17" t="s">
        <v>169</v>
      </c>
      <c r="B17" s="18">
        <f>IFERROR((('[1]Ecoinvent 3.11-3.12 location 2'!G14-'[1]Ecoinvent 3.11-3.12 location 2'!B14)/'[1]Ecoinvent 3.11-3.12 location 2'!B14), "")</f>
        <v>-5.956762302257417E-3</v>
      </c>
      <c r="C17" s="18" t="str">
        <f>IFERROR((('[1]Ecoinvent 3.11-3.12 location 2'!H14-'[1]Ecoinvent 3.11-3.12 location 2'!C14)/'[1]Ecoinvent 3.11-3.12 location 2'!C14), "")</f>
        <v/>
      </c>
      <c r="D17" s="18" t="str">
        <f>IFERROR((('[1]Ecoinvent 3.11-3.12 location 2'!I14-'[1]Ecoinvent 3.11-3.12 location 2'!D14)/'[1]Ecoinvent 3.11-3.12 location 2'!D14), "")</f>
        <v/>
      </c>
      <c r="E17" s="18" t="str">
        <f>IFERROR((('[1]Ecoinvent 3.11-3.12 location 2'!J14-'[1]Ecoinvent 3.11-3.12 location 2'!E14)/'[1]Ecoinvent 3.11-3.12 location 2'!E14), "")</f>
        <v/>
      </c>
      <c r="F17" s="18" t="str">
        <f>IFERROR((('[1]Ecoinvent 3.11-3.12 location 2'!K14-'[1]Ecoinvent 3.11-3.12 location 2'!F14)/'[1]Ecoinvent 3.11-3.12 location 2'!F14), "")</f>
        <v/>
      </c>
    </row>
    <row r="18" spans="1:6" x14ac:dyDescent="0.3">
      <c r="A18" t="s">
        <v>170</v>
      </c>
      <c r="B18" s="18">
        <f>IFERROR((('[1]Ecoinvent 3.11-3.12 location 2'!G15-'[1]Ecoinvent 3.11-3.12 location 2'!B15)/'[1]Ecoinvent 3.11-3.12 location 2'!B15), "")</f>
        <v>-1.3846666428274187E-2</v>
      </c>
      <c r="C18" s="18" t="str">
        <f>IFERROR((('[1]Ecoinvent 3.11-3.12 location 2'!H15-'[1]Ecoinvent 3.11-3.12 location 2'!C15)/'[1]Ecoinvent 3.11-3.12 location 2'!C15), "")</f>
        <v/>
      </c>
      <c r="D18" s="18" t="str">
        <f>IFERROR((('[1]Ecoinvent 3.11-3.12 location 2'!I15-'[1]Ecoinvent 3.11-3.12 location 2'!D15)/'[1]Ecoinvent 3.11-3.12 location 2'!D15), "")</f>
        <v/>
      </c>
      <c r="E18" s="18" t="str">
        <f>IFERROR((('[1]Ecoinvent 3.11-3.12 location 2'!J15-'[1]Ecoinvent 3.11-3.12 location 2'!E15)/'[1]Ecoinvent 3.11-3.12 location 2'!E15), "")</f>
        <v/>
      </c>
      <c r="F18" s="18" t="str">
        <f>IFERROR((('[1]Ecoinvent 3.11-3.12 location 2'!K15-'[1]Ecoinvent 3.11-3.12 location 2'!F15)/'[1]Ecoinvent 3.11-3.12 location 2'!F15), "")</f>
        <v/>
      </c>
    </row>
    <row r="19" spans="1:6" x14ac:dyDescent="0.3">
      <c r="A19" t="s">
        <v>171</v>
      </c>
      <c r="B19" s="18" t="str">
        <f>IFERROR((('[1]Ecoinvent 3.11-3.12 location 2'!G16-'[1]Ecoinvent 3.11-3.12 location 2'!B16)/'[1]Ecoinvent 3.11-3.12 location 2'!B16), "")</f>
        <v/>
      </c>
      <c r="C19" s="18" t="str">
        <f>IFERROR((('[1]Ecoinvent 3.11-3.12 location 2'!H16-'[1]Ecoinvent 3.11-3.12 location 2'!C16)/'[1]Ecoinvent 3.11-3.12 location 2'!C16), "")</f>
        <v/>
      </c>
      <c r="D19" s="18" t="str">
        <f>IFERROR((('[1]Ecoinvent 3.11-3.12 location 2'!I16-'[1]Ecoinvent 3.11-3.12 location 2'!D16)/'[1]Ecoinvent 3.11-3.12 location 2'!D16), "")</f>
        <v/>
      </c>
      <c r="E19" s="18" t="str">
        <f>IFERROR((('[1]Ecoinvent 3.11-3.12 location 2'!J16-'[1]Ecoinvent 3.11-3.12 location 2'!E16)/'[1]Ecoinvent 3.11-3.12 location 2'!E16), "")</f>
        <v/>
      </c>
      <c r="F19" s="18" t="str">
        <f>IFERROR((('[1]Ecoinvent 3.11-3.12 location 2'!K16-'[1]Ecoinvent 3.11-3.12 location 2'!F16)/'[1]Ecoinvent 3.11-3.12 location 2'!F16), "")</f>
        <v/>
      </c>
    </row>
    <row r="20" spans="1:6" x14ac:dyDescent="0.3">
      <c r="A20" t="s">
        <v>172</v>
      </c>
      <c r="B20" s="18" t="str">
        <f>IFERROR((('[1]Ecoinvent 3.11-3.12 location 2'!G17-'[1]Ecoinvent 3.11-3.12 location 2'!B17)/'[1]Ecoinvent 3.11-3.12 location 2'!B17), "")</f>
        <v/>
      </c>
      <c r="C20" s="18" t="str">
        <f>IFERROR((('[1]Ecoinvent 3.11-3.12 location 2'!H17-'[1]Ecoinvent 3.11-3.12 location 2'!C17)/'[1]Ecoinvent 3.11-3.12 location 2'!C17), "")</f>
        <v/>
      </c>
      <c r="D20" s="18" t="str">
        <f>IFERROR((('[1]Ecoinvent 3.11-3.12 location 2'!I17-'[1]Ecoinvent 3.11-3.12 location 2'!D17)/'[1]Ecoinvent 3.11-3.12 location 2'!D17), "")</f>
        <v/>
      </c>
      <c r="E20" s="18" t="str">
        <f>IFERROR((('[1]Ecoinvent 3.11-3.12 location 2'!J17-'[1]Ecoinvent 3.11-3.12 location 2'!E17)/'[1]Ecoinvent 3.11-3.12 location 2'!E17), "")</f>
        <v/>
      </c>
      <c r="F20" s="18" t="str">
        <f>IFERROR((('[1]Ecoinvent 3.11-3.12 location 2'!K17-'[1]Ecoinvent 3.11-3.12 location 2'!F17)/'[1]Ecoinvent 3.11-3.12 location 2'!F17), "")</f>
        <v/>
      </c>
    </row>
    <row r="21" spans="1:6" x14ac:dyDescent="0.3">
      <c r="A21" t="s">
        <v>173</v>
      </c>
      <c r="B21" s="18" t="str">
        <f>IFERROR((('[1]Ecoinvent 3.11-3.12 location 2'!G18-'[1]Ecoinvent 3.11-3.12 location 2'!B18)/'[1]Ecoinvent 3.11-3.12 location 2'!B18), "")</f>
        <v/>
      </c>
      <c r="C21" s="18" t="str">
        <f>IFERROR((('[1]Ecoinvent 3.11-3.12 location 2'!H18-'[1]Ecoinvent 3.11-3.12 location 2'!C18)/'[1]Ecoinvent 3.11-3.12 location 2'!C18), "")</f>
        <v/>
      </c>
      <c r="D21" s="18" t="str">
        <f>IFERROR((('[1]Ecoinvent 3.11-3.12 location 2'!I18-'[1]Ecoinvent 3.11-3.12 location 2'!D18)/'[1]Ecoinvent 3.11-3.12 location 2'!D18), "")</f>
        <v/>
      </c>
      <c r="E21" s="18" t="str">
        <f>IFERROR((('[1]Ecoinvent 3.11-3.12 location 2'!J18-'[1]Ecoinvent 3.11-3.12 location 2'!E18)/'[1]Ecoinvent 3.11-3.12 location 2'!E18), "")</f>
        <v/>
      </c>
      <c r="F21" s="18" t="str">
        <f>IFERROR((('[1]Ecoinvent 3.11-3.12 location 2'!K18-'[1]Ecoinvent 3.11-3.12 location 2'!F18)/'[1]Ecoinvent 3.11-3.12 location 2'!F18), "")</f>
        <v/>
      </c>
    </row>
    <row r="22" spans="1:6" x14ac:dyDescent="0.3">
      <c r="A22" t="s">
        <v>174</v>
      </c>
      <c r="B22" s="18" t="str">
        <f>IFERROR((('[1]Ecoinvent 3.11-3.12 location 2'!G19-'[1]Ecoinvent 3.11-3.12 location 2'!B19)/'[1]Ecoinvent 3.11-3.12 location 2'!B19), "")</f>
        <v/>
      </c>
      <c r="C22" s="18" t="str">
        <f>IFERROR((('[1]Ecoinvent 3.11-3.12 location 2'!H19-'[1]Ecoinvent 3.11-3.12 location 2'!C19)/'[1]Ecoinvent 3.11-3.12 location 2'!C19), "")</f>
        <v/>
      </c>
      <c r="D22" s="18" t="str">
        <f>IFERROR((('[1]Ecoinvent 3.11-3.12 location 2'!I19-'[1]Ecoinvent 3.11-3.12 location 2'!D19)/'[1]Ecoinvent 3.11-3.12 location 2'!D19), "")</f>
        <v/>
      </c>
      <c r="E22" s="18">
        <f>IFERROR((('[1]Ecoinvent 3.11-3.12 location 2'!J19-'[1]Ecoinvent 3.11-3.12 location 2'!E19)/'[1]Ecoinvent 3.11-3.12 location 2'!E19), "")</f>
        <v>4.0518043219404033E-2</v>
      </c>
      <c r="F22" s="18" t="str">
        <f>IFERROR((('[1]Ecoinvent 3.11-3.12 location 2'!K19-'[1]Ecoinvent 3.11-3.12 location 2'!F19)/'[1]Ecoinvent 3.11-3.12 location 2'!F19), "")</f>
        <v/>
      </c>
    </row>
    <row r="23" spans="1:6" x14ac:dyDescent="0.3">
      <c r="A23" t="s">
        <v>175</v>
      </c>
      <c r="B23" s="18" t="str">
        <f>IFERROR((('[1]Ecoinvent 3.11-3.12 location 2'!G20-'[1]Ecoinvent 3.11-3.12 location 2'!B20)/'[1]Ecoinvent 3.11-3.12 location 2'!B20), "")</f>
        <v/>
      </c>
      <c r="C23" s="18" t="str">
        <f>IFERROR((('[1]Ecoinvent 3.11-3.12 location 2'!H20-'[1]Ecoinvent 3.11-3.12 location 2'!C20)/'[1]Ecoinvent 3.11-3.12 location 2'!C20), "")</f>
        <v/>
      </c>
      <c r="D23" s="18" t="str">
        <f>IFERROR((('[1]Ecoinvent 3.11-3.12 location 2'!I20-'[1]Ecoinvent 3.11-3.12 location 2'!D20)/'[1]Ecoinvent 3.11-3.12 location 2'!D20), "")</f>
        <v/>
      </c>
      <c r="E23" s="18">
        <f>IFERROR((('[1]Ecoinvent 3.11-3.12 location 2'!J20-'[1]Ecoinvent 3.11-3.12 location 2'!E20)/'[1]Ecoinvent 3.11-3.12 location 2'!E20), "")</f>
        <v>-1.3194315249991928E-2</v>
      </c>
      <c r="F23" s="18" t="str">
        <f>IFERROR((('[1]Ecoinvent 3.11-3.12 location 2'!K20-'[1]Ecoinvent 3.11-3.12 location 2'!F20)/'[1]Ecoinvent 3.11-3.12 location 2'!F20), "")</f>
        <v/>
      </c>
    </row>
    <row r="24" spans="1:6" x14ac:dyDescent="0.3">
      <c r="A24" t="s">
        <v>176</v>
      </c>
      <c r="B24" s="18">
        <f>IFERROR((('[1]Ecoinvent 3.11-3.12 location 2'!G21-'[1]Ecoinvent 3.11-3.12 location 2'!B21)/'[1]Ecoinvent 3.11-3.12 location 2'!B21), "")</f>
        <v>2.1939110732163251E-2</v>
      </c>
      <c r="C24" s="18" t="str">
        <f>IFERROR((('[1]Ecoinvent 3.11-3.12 location 2'!H21-'[1]Ecoinvent 3.11-3.12 location 2'!C21)/'[1]Ecoinvent 3.11-3.12 location 2'!C21), "")</f>
        <v/>
      </c>
      <c r="D24" s="18" t="str">
        <f>IFERROR((('[1]Ecoinvent 3.11-3.12 location 2'!I21-'[1]Ecoinvent 3.11-3.12 location 2'!D21)/'[1]Ecoinvent 3.11-3.12 location 2'!D21), "")</f>
        <v/>
      </c>
      <c r="E24" s="18" t="str">
        <f>IFERROR((('[1]Ecoinvent 3.11-3.12 location 2'!J21-'[1]Ecoinvent 3.11-3.12 location 2'!E21)/'[1]Ecoinvent 3.11-3.12 location 2'!E21), "")</f>
        <v/>
      </c>
      <c r="F24" s="18" t="str">
        <f>IFERROR((('[1]Ecoinvent 3.11-3.12 location 2'!K21-'[1]Ecoinvent 3.11-3.12 location 2'!F21)/'[1]Ecoinvent 3.11-3.12 location 2'!F21), "")</f>
        <v/>
      </c>
    </row>
    <row r="25" spans="1:6" x14ac:dyDescent="0.3">
      <c r="A25" t="s">
        <v>177</v>
      </c>
      <c r="B25" s="18" t="str">
        <f>IFERROR((('[1]Ecoinvent 3.11-3.12 location 2'!G22-'[1]Ecoinvent 3.11-3.12 location 2'!B22)/'[1]Ecoinvent 3.11-3.12 location 2'!B22), "")</f>
        <v/>
      </c>
      <c r="C25" s="18" t="str">
        <f>IFERROR((('[1]Ecoinvent 3.11-3.12 location 2'!H22-'[1]Ecoinvent 3.11-3.12 location 2'!C22)/'[1]Ecoinvent 3.11-3.12 location 2'!C22), "")</f>
        <v/>
      </c>
      <c r="D25" s="18" t="str">
        <f>IFERROR((('[1]Ecoinvent 3.11-3.12 location 2'!I22-'[1]Ecoinvent 3.11-3.12 location 2'!D22)/'[1]Ecoinvent 3.11-3.12 location 2'!D22), "")</f>
        <v/>
      </c>
      <c r="E25" s="18">
        <f>IFERROR((('[1]Ecoinvent 3.11-3.12 location 2'!J22-'[1]Ecoinvent 3.11-3.12 location 2'!E22)/'[1]Ecoinvent 3.11-3.12 location 2'!E22), "")</f>
        <v>4.7378591933187331E-2</v>
      </c>
      <c r="F25" s="18" t="str">
        <f>IFERROR((('[1]Ecoinvent 3.11-3.12 location 2'!K22-'[1]Ecoinvent 3.11-3.12 location 2'!F22)/'[1]Ecoinvent 3.11-3.12 location 2'!F22), "")</f>
        <v/>
      </c>
    </row>
    <row r="26" spans="1:6" x14ac:dyDescent="0.3">
      <c r="A26" t="s">
        <v>178</v>
      </c>
      <c r="B26" s="18" t="str">
        <f>IFERROR((('[1]Ecoinvent 3.11-3.12 location 2'!G23-'[1]Ecoinvent 3.11-3.12 location 2'!B23)/'[1]Ecoinvent 3.11-3.12 location 2'!B23), "")</f>
        <v/>
      </c>
      <c r="C26" s="18" t="str">
        <f>IFERROR((('[1]Ecoinvent 3.11-3.12 location 2'!H23-'[1]Ecoinvent 3.11-3.12 location 2'!C23)/'[1]Ecoinvent 3.11-3.12 location 2'!C23), "")</f>
        <v/>
      </c>
      <c r="D26" s="18" t="str">
        <f>IFERROR((('[1]Ecoinvent 3.11-3.12 location 2'!I23-'[1]Ecoinvent 3.11-3.12 location 2'!D23)/'[1]Ecoinvent 3.11-3.12 location 2'!D23), "")</f>
        <v/>
      </c>
      <c r="E26" s="18">
        <f>IFERROR((('[1]Ecoinvent 3.11-3.12 location 2'!J23-'[1]Ecoinvent 3.11-3.12 location 2'!E23)/'[1]Ecoinvent 3.11-3.12 location 2'!E23), "")</f>
        <v>6.7096861879278819E-3</v>
      </c>
      <c r="F26" s="18" t="str">
        <f>IFERROR((('[1]Ecoinvent 3.11-3.12 location 2'!K23-'[1]Ecoinvent 3.11-3.12 location 2'!F23)/'[1]Ecoinvent 3.11-3.12 location 2'!F23), "")</f>
        <v/>
      </c>
    </row>
    <row r="27" spans="1:6" x14ac:dyDescent="0.3">
      <c r="A27" t="s">
        <v>179</v>
      </c>
      <c r="B27" s="18" t="str">
        <f>IFERROR((('[1]Ecoinvent 3.11-3.12 location 2'!G24-'[1]Ecoinvent 3.11-3.12 location 2'!B24)/'[1]Ecoinvent 3.11-3.12 location 2'!B24), "")</f>
        <v/>
      </c>
      <c r="C27" s="18" t="str">
        <f>IFERROR((('[1]Ecoinvent 3.11-3.12 location 2'!H24-'[1]Ecoinvent 3.11-3.12 location 2'!C24)/'[1]Ecoinvent 3.11-3.12 location 2'!C24), "")</f>
        <v/>
      </c>
      <c r="D27" s="18" t="str">
        <f>IFERROR((('[1]Ecoinvent 3.11-3.12 location 2'!I24-'[1]Ecoinvent 3.11-3.12 location 2'!D24)/'[1]Ecoinvent 3.11-3.12 location 2'!D24), "")</f>
        <v/>
      </c>
      <c r="E27" s="18">
        <f>IFERROR((('[1]Ecoinvent 3.11-3.12 location 2'!J24-'[1]Ecoinvent 3.11-3.12 location 2'!E24)/'[1]Ecoinvent 3.11-3.12 location 2'!E24), "")</f>
        <v>1.431244276017477E-2</v>
      </c>
      <c r="F27" s="18" t="str">
        <f>IFERROR((('[1]Ecoinvent 3.11-3.12 location 2'!K24-'[1]Ecoinvent 3.11-3.12 location 2'!F24)/'[1]Ecoinvent 3.11-3.12 location 2'!F24), "")</f>
        <v/>
      </c>
    </row>
    <row r="28" spans="1:6" x14ac:dyDescent="0.3">
      <c r="A28" t="s">
        <v>180</v>
      </c>
      <c r="B28" s="18" t="str">
        <f>IFERROR((('[1]Ecoinvent 3.11-3.12 location 2'!G25-'[1]Ecoinvent 3.11-3.12 location 2'!B25)/'[1]Ecoinvent 3.11-3.12 location 2'!B25), "")</f>
        <v/>
      </c>
      <c r="C28" s="18" t="str">
        <f>IFERROR((('[1]Ecoinvent 3.11-3.12 location 2'!H25-'[1]Ecoinvent 3.11-3.12 location 2'!C25)/'[1]Ecoinvent 3.11-3.12 location 2'!C25), "")</f>
        <v/>
      </c>
      <c r="D28" s="18" t="str">
        <f>IFERROR((('[1]Ecoinvent 3.11-3.12 location 2'!I25-'[1]Ecoinvent 3.11-3.12 location 2'!D25)/'[1]Ecoinvent 3.11-3.12 location 2'!D25), "")</f>
        <v/>
      </c>
      <c r="E28" s="18">
        <f>IFERROR((('[1]Ecoinvent 3.11-3.12 location 2'!J25-'[1]Ecoinvent 3.11-3.12 location 2'!E25)/'[1]Ecoinvent 3.11-3.12 location 2'!E25), "")</f>
        <v>1.8568349022971404E-2</v>
      </c>
      <c r="F28" s="18" t="str">
        <f>IFERROR((('[1]Ecoinvent 3.11-3.12 location 2'!K25-'[1]Ecoinvent 3.11-3.12 location 2'!F25)/'[1]Ecoinvent 3.11-3.12 location 2'!F25), "")</f>
        <v/>
      </c>
    </row>
    <row r="29" spans="1:6" x14ac:dyDescent="0.3">
      <c r="A29" t="s">
        <v>181</v>
      </c>
      <c r="B29" s="18" t="str">
        <f>IFERROR((('[1]Ecoinvent 3.11-3.12 location 2'!G26-'[1]Ecoinvent 3.11-3.12 location 2'!B26)/'[1]Ecoinvent 3.11-3.12 location 2'!B26), "")</f>
        <v/>
      </c>
      <c r="C29" s="18" t="str">
        <f>IFERROR((('[1]Ecoinvent 3.11-3.12 location 2'!H26-'[1]Ecoinvent 3.11-3.12 location 2'!C26)/'[1]Ecoinvent 3.11-3.12 location 2'!C26), "")</f>
        <v/>
      </c>
      <c r="D29" s="18" t="str">
        <f>IFERROR((('[1]Ecoinvent 3.11-3.12 location 2'!I26-'[1]Ecoinvent 3.11-3.12 location 2'!D26)/'[1]Ecoinvent 3.11-3.12 location 2'!D26), "")</f>
        <v/>
      </c>
      <c r="E29" s="18">
        <f>IFERROR((('[1]Ecoinvent 3.11-3.12 location 2'!J26-'[1]Ecoinvent 3.11-3.12 location 2'!E26)/'[1]Ecoinvent 3.11-3.12 location 2'!E26), "")</f>
        <v>-0.1696716609206034</v>
      </c>
      <c r="F29" s="18" t="str">
        <f>IFERROR((('[1]Ecoinvent 3.11-3.12 location 2'!K26-'[1]Ecoinvent 3.11-3.12 location 2'!F26)/'[1]Ecoinvent 3.11-3.12 location 2'!F26), "")</f>
        <v/>
      </c>
    </row>
    <row r="30" spans="1:6" x14ac:dyDescent="0.3">
      <c r="A30" t="s">
        <v>182</v>
      </c>
      <c r="B30" s="18" t="str">
        <f>IFERROR((('[1]Ecoinvent 3.11-3.12 location 2'!G27-'[1]Ecoinvent 3.11-3.12 location 2'!B27)/'[1]Ecoinvent 3.11-3.12 location 2'!B27), "")</f>
        <v/>
      </c>
      <c r="C30" s="18" t="str">
        <f>IFERROR((('[1]Ecoinvent 3.11-3.12 location 2'!H27-'[1]Ecoinvent 3.11-3.12 location 2'!C27)/'[1]Ecoinvent 3.11-3.12 location 2'!C27), "")</f>
        <v/>
      </c>
      <c r="D30" s="18" t="str">
        <f>IFERROR((('[1]Ecoinvent 3.11-3.12 location 2'!I27-'[1]Ecoinvent 3.11-3.12 location 2'!D27)/'[1]Ecoinvent 3.11-3.12 location 2'!D27), "")</f>
        <v/>
      </c>
      <c r="E30" s="18">
        <f>IFERROR((('[1]Ecoinvent 3.11-3.12 location 2'!J27-'[1]Ecoinvent 3.11-3.12 location 2'!E27)/'[1]Ecoinvent 3.11-3.12 location 2'!E27), "")</f>
        <v>7.4356052686563815E-3</v>
      </c>
      <c r="F30" s="18" t="str">
        <f>IFERROR((('[1]Ecoinvent 3.11-3.12 location 2'!K27-'[1]Ecoinvent 3.11-3.12 location 2'!F27)/'[1]Ecoinvent 3.11-3.12 location 2'!F27), "")</f>
        <v/>
      </c>
    </row>
    <row r="31" spans="1:6" x14ac:dyDescent="0.3">
      <c r="A31" t="s">
        <v>183</v>
      </c>
      <c r="B31" s="18">
        <f>IFERROR((('[1]Ecoinvent 3.11-3.12 location 2'!G28-'[1]Ecoinvent 3.11-3.12 location 2'!B28)/'[1]Ecoinvent 3.11-3.12 location 2'!B28), "")</f>
        <v>-5.1532257009461657E-3</v>
      </c>
      <c r="C31" s="18" t="str">
        <f>IFERROR((('[1]Ecoinvent 3.11-3.12 location 2'!H28-'[1]Ecoinvent 3.11-3.12 location 2'!C28)/'[1]Ecoinvent 3.11-3.12 location 2'!C28), "")</f>
        <v/>
      </c>
      <c r="D31" s="18" t="str">
        <f>IFERROR((('[1]Ecoinvent 3.11-3.12 location 2'!I28-'[1]Ecoinvent 3.11-3.12 location 2'!D28)/'[1]Ecoinvent 3.11-3.12 location 2'!D28), "")</f>
        <v/>
      </c>
      <c r="E31" s="18" t="str">
        <f>IFERROR((('[1]Ecoinvent 3.11-3.12 location 2'!J28-'[1]Ecoinvent 3.11-3.12 location 2'!E28)/'[1]Ecoinvent 3.11-3.12 location 2'!E28), "")</f>
        <v/>
      </c>
      <c r="F31" s="18" t="str">
        <f>IFERROR((('[1]Ecoinvent 3.11-3.12 location 2'!K28-'[1]Ecoinvent 3.11-3.12 location 2'!F28)/'[1]Ecoinvent 3.11-3.12 location 2'!F28), "")</f>
        <v/>
      </c>
    </row>
    <row r="32" spans="1:6" x14ac:dyDescent="0.3">
      <c r="A32" t="s">
        <v>184</v>
      </c>
      <c r="B32" s="18" t="str">
        <f>IFERROR((('[1]Ecoinvent 3.11-3.12 location 2'!G29-'[1]Ecoinvent 3.11-3.12 location 2'!B29)/'[1]Ecoinvent 3.11-3.12 location 2'!B29), "")</f>
        <v/>
      </c>
      <c r="C32" s="18" t="str">
        <f>IFERROR((('[1]Ecoinvent 3.11-3.12 location 2'!H29-'[1]Ecoinvent 3.11-3.12 location 2'!C29)/'[1]Ecoinvent 3.11-3.12 location 2'!C29), "")</f>
        <v/>
      </c>
      <c r="D32" s="18" t="str">
        <f>IFERROR((('[1]Ecoinvent 3.11-3.12 location 2'!I29-'[1]Ecoinvent 3.11-3.12 location 2'!D29)/'[1]Ecoinvent 3.11-3.12 location 2'!D29), "")</f>
        <v/>
      </c>
      <c r="E32" s="18" t="str">
        <f>IFERROR((('[1]Ecoinvent 3.11-3.12 location 2'!J29-'[1]Ecoinvent 3.11-3.12 location 2'!E29)/'[1]Ecoinvent 3.11-3.12 location 2'!E29), "")</f>
        <v/>
      </c>
      <c r="F32" s="18" t="str">
        <f>IFERROR((('[1]Ecoinvent 3.11-3.12 location 2'!K29-'[1]Ecoinvent 3.11-3.12 location 2'!F29)/'[1]Ecoinvent 3.11-3.12 location 2'!F29), "")</f>
        <v/>
      </c>
    </row>
    <row r="33" spans="1:6" x14ac:dyDescent="0.3">
      <c r="A33" t="s">
        <v>185</v>
      </c>
      <c r="B33" s="18" t="str">
        <f>IFERROR((('[1]Ecoinvent 3.11-3.12 location 2'!G30-'[1]Ecoinvent 3.11-3.12 location 2'!B30)/'[1]Ecoinvent 3.11-3.12 location 2'!B30), "")</f>
        <v/>
      </c>
      <c r="C33" s="18" t="str">
        <f>IFERROR((('[1]Ecoinvent 3.11-3.12 location 2'!H30-'[1]Ecoinvent 3.11-3.12 location 2'!C30)/'[1]Ecoinvent 3.11-3.12 location 2'!C30), "")</f>
        <v/>
      </c>
      <c r="D33" s="18" t="str">
        <f>IFERROR((('[1]Ecoinvent 3.11-3.12 location 2'!I30-'[1]Ecoinvent 3.11-3.12 location 2'!D30)/'[1]Ecoinvent 3.11-3.12 location 2'!D30), "")</f>
        <v/>
      </c>
      <c r="E33" s="18">
        <f>IFERROR((('[1]Ecoinvent 3.11-3.12 location 2'!J30-'[1]Ecoinvent 3.11-3.12 location 2'!E30)/'[1]Ecoinvent 3.11-3.12 location 2'!E30), "")</f>
        <v>3.6083722095398049E-2</v>
      </c>
      <c r="F33" s="18" t="str">
        <f>IFERROR((('[1]Ecoinvent 3.11-3.12 location 2'!K30-'[1]Ecoinvent 3.11-3.12 location 2'!F30)/'[1]Ecoinvent 3.11-3.12 location 2'!F30), "")</f>
        <v/>
      </c>
    </row>
    <row r="34" spans="1:6" x14ac:dyDescent="0.3">
      <c r="A34" t="s">
        <v>186</v>
      </c>
      <c r="B34" s="18" t="str">
        <f>IFERROR((('[1]Ecoinvent 3.11-3.12 location 2'!G31-'[1]Ecoinvent 3.11-3.12 location 2'!B31)/'[1]Ecoinvent 3.11-3.12 location 2'!B31), "")</f>
        <v/>
      </c>
      <c r="C34" s="18" t="str">
        <f>IFERROR((('[1]Ecoinvent 3.11-3.12 location 2'!H31-'[1]Ecoinvent 3.11-3.12 location 2'!C31)/'[1]Ecoinvent 3.11-3.12 location 2'!C31), "")</f>
        <v/>
      </c>
      <c r="D34" s="18" t="str">
        <f>IFERROR((('[1]Ecoinvent 3.11-3.12 location 2'!I31-'[1]Ecoinvent 3.11-3.12 location 2'!D31)/'[1]Ecoinvent 3.11-3.12 location 2'!D31), "")</f>
        <v/>
      </c>
      <c r="E34" s="18">
        <f>IFERROR((('[1]Ecoinvent 3.11-3.12 location 2'!J31-'[1]Ecoinvent 3.11-3.12 location 2'!E31)/'[1]Ecoinvent 3.11-3.12 location 2'!E31), "")</f>
        <v>6.2662518267006589E-3</v>
      </c>
      <c r="F34" s="18" t="str">
        <f>IFERROR((('[1]Ecoinvent 3.11-3.12 location 2'!K31-'[1]Ecoinvent 3.11-3.12 location 2'!F31)/'[1]Ecoinvent 3.11-3.12 location 2'!F31), "")</f>
        <v/>
      </c>
    </row>
    <row r="35" spans="1:6" x14ac:dyDescent="0.3">
      <c r="A35" t="s">
        <v>187</v>
      </c>
      <c r="B35" s="18" t="str">
        <f>IFERROR((('[1]Ecoinvent 3.11-3.12 location 2'!G32-'[1]Ecoinvent 3.11-3.12 location 2'!B32)/'[1]Ecoinvent 3.11-3.12 location 2'!B32), "")</f>
        <v/>
      </c>
      <c r="C35" s="18" t="str">
        <f>IFERROR((('[1]Ecoinvent 3.11-3.12 location 2'!H32-'[1]Ecoinvent 3.11-3.12 location 2'!C32)/'[1]Ecoinvent 3.11-3.12 location 2'!C32), "")</f>
        <v/>
      </c>
      <c r="D35" s="18" t="str">
        <f>IFERROR((('[1]Ecoinvent 3.11-3.12 location 2'!I32-'[1]Ecoinvent 3.11-3.12 location 2'!D32)/'[1]Ecoinvent 3.11-3.12 location 2'!D32), "")</f>
        <v/>
      </c>
      <c r="E35" s="18">
        <f>IFERROR((('[1]Ecoinvent 3.11-3.12 location 2'!J32-'[1]Ecoinvent 3.11-3.12 location 2'!E32)/'[1]Ecoinvent 3.11-3.12 location 2'!E32), "")</f>
        <v>-9.7506226731570445E-3</v>
      </c>
      <c r="F35" s="18" t="str">
        <f>IFERROR((('[1]Ecoinvent 3.11-3.12 location 2'!K32-'[1]Ecoinvent 3.11-3.12 location 2'!F32)/'[1]Ecoinvent 3.11-3.12 location 2'!F32), "")</f>
        <v/>
      </c>
    </row>
    <row r="36" spans="1:6" x14ac:dyDescent="0.3">
      <c r="A36" t="s">
        <v>188</v>
      </c>
      <c r="B36" s="18">
        <f>IFERROR((('[1]Ecoinvent 3.11-3.12 location 2'!G33-'[1]Ecoinvent 3.11-3.12 location 2'!B33)/'[1]Ecoinvent 3.11-3.12 location 2'!B33), "")</f>
        <v>8.1834015344416479E-4</v>
      </c>
      <c r="C36" s="18" t="str">
        <f>IFERROR((('[1]Ecoinvent 3.11-3.12 location 2'!H33-'[1]Ecoinvent 3.11-3.12 location 2'!C33)/'[1]Ecoinvent 3.11-3.12 location 2'!C33), "")</f>
        <v/>
      </c>
      <c r="D36" s="18" t="str">
        <f>IFERROR((('[1]Ecoinvent 3.11-3.12 location 2'!I33-'[1]Ecoinvent 3.11-3.12 location 2'!D33)/'[1]Ecoinvent 3.11-3.12 location 2'!D33), "")</f>
        <v/>
      </c>
      <c r="E36" s="18" t="str">
        <f>IFERROR((('[1]Ecoinvent 3.11-3.12 location 2'!J33-'[1]Ecoinvent 3.11-3.12 location 2'!E33)/'[1]Ecoinvent 3.11-3.12 location 2'!E33), "")</f>
        <v/>
      </c>
      <c r="F36" s="18" t="str">
        <f>IFERROR((('[1]Ecoinvent 3.11-3.12 location 2'!K33-'[1]Ecoinvent 3.11-3.12 location 2'!F33)/'[1]Ecoinvent 3.11-3.12 location 2'!F33), "")</f>
        <v/>
      </c>
    </row>
    <row r="37" spans="1:6" x14ac:dyDescent="0.3">
      <c r="A37" t="s">
        <v>189</v>
      </c>
      <c r="B37" s="18" t="str">
        <f>IFERROR((('[1]Ecoinvent 3.11-3.12 location 2'!G34-'[1]Ecoinvent 3.11-3.12 location 2'!B34)/'[1]Ecoinvent 3.11-3.12 location 2'!B34), "")</f>
        <v/>
      </c>
      <c r="C37" s="18" t="str">
        <f>IFERROR((('[1]Ecoinvent 3.11-3.12 location 2'!H34-'[1]Ecoinvent 3.11-3.12 location 2'!C34)/'[1]Ecoinvent 3.11-3.12 location 2'!C34), "")</f>
        <v/>
      </c>
      <c r="D37" s="18" t="str">
        <f>IFERROR((('[1]Ecoinvent 3.11-3.12 location 2'!I34-'[1]Ecoinvent 3.11-3.12 location 2'!D34)/'[1]Ecoinvent 3.11-3.12 location 2'!D34), "")</f>
        <v/>
      </c>
      <c r="E37" s="18">
        <f>IFERROR((('[1]Ecoinvent 3.11-3.12 location 2'!J34-'[1]Ecoinvent 3.11-3.12 location 2'!E34)/'[1]Ecoinvent 3.11-3.12 location 2'!E34), "")</f>
        <v>8.7435785296174733E-3</v>
      </c>
      <c r="F37" s="18" t="str">
        <f>IFERROR((('[1]Ecoinvent 3.11-3.12 location 2'!K34-'[1]Ecoinvent 3.11-3.12 location 2'!F34)/'[1]Ecoinvent 3.11-3.12 location 2'!F34), "")</f>
        <v/>
      </c>
    </row>
    <row r="38" spans="1:6" x14ac:dyDescent="0.3">
      <c r="A38" t="s">
        <v>190</v>
      </c>
      <c r="B38" s="18" t="str">
        <f>IFERROR((('[1]Ecoinvent 3.11-3.12 location 2'!G35-'[1]Ecoinvent 3.11-3.12 location 2'!B35)/'[1]Ecoinvent 3.11-3.12 location 2'!B35), "")</f>
        <v/>
      </c>
      <c r="C38" s="18" t="str">
        <f>IFERROR((('[1]Ecoinvent 3.11-3.12 location 2'!H35-'[1]Ecoinvent 3.11-3.12 location 2'!C35)/'[1]Ecoinvent 3.11-3.12 location 2'!C35), "")</f>
        <v/>
      </c>
      <c r="D38" s="18" t="str">
        <f>IFERROR((('[1]Ecoinvent 3.11-3.12 location 2'!I35-'[1]Ecoinvent 3.11-3.12 location 2'!D35)/'[1]Ecoinvent 3.11-3.12 location 2'!D35), "")</f>
        <v/>
      </c>
      <c r="E38" s="18">
        <f>IFERROR((('[1]Ecoinvent 3.11-3.12 location 2'!J35-'[1]Ecoinvent 3.11-3.12 location 2'!E35)/'[1]Ecoinvent 3.11-3.12 location 2'!E35), "")</f>
        <v>3.1469818232719285E-2</v>
      </c>
      <c r="F38" s="18" t="str">
        <f>IFERROR((('[1]Ecoinvent 3.11-3.12 location 2'!K35-'[1]Ecoinvent 3.11-3.12 location 2'!F35)/'[1]Ecoinvent 3.11-3.12 location 2'!F35), "")</f>
        <v/>
      </c>
    </row>
    <row r="39" spans="1:6" x14ac:dyDescent="0.3">
      <c r="A39" t="s">
        <v>191</v>
      </c>
      <c r="B39" s="18" t="str">
        <f>IFERROR((('[1]Ecoinvent 3.11-3.12 location 2'!G36-'[1]Ecoinvent 3.11-3.12 location 2'!B36)/'[1]Ecoinvent 3.11-3.12 location 2'!B36), "")</f>
        <v/>
      </c>
      <c r="C39" s="18" t="str">
        <f>IFERROR((('[1]Ecoinvent 3.11-3.12 location 2'!H36-'[1]Ecoinvent 3.11-3.12 location 2'!C36)/'[1]Ecoinvent 3.11-3.12 location 2'!C36), "")</f>
        <v/>
      </c>
      <c r="D39" s="18" t="str">
        <f>IFERROR((('[1]Ecoinvent 3.11-3.12 location 2'!I36-'[1]Ecoinvent 3.11-3.12 location 2'!D36)/'[1]Ecoinvent 3.11-3.12 location 2'!D36), "")</f>
        <v/>
      </c>
      <c r="E39" s="18">
        <f>IFERROR((('[1]Ecoinvent 3.11-3.12 location 2'!J36-'[1]Ecoinvent 3.11-3.12 location 2'!E36)/'[1]Ecoinvent 3.11-3.12 location 2'!E36), "")</f>
        <v>2.6164885175056749E-2</v>
      </c>
      <c r="F39" s="18" t="str">
        <f>IFERROR((('[1]Ecoinvent 3.11-3.12 location 2'!K36-'[1]Ecoinvent 3.11-3.12 location 2'!F36)/'[1]Ecoinvent 3.11-3.12 location 2'!F36), "")</f>
        <v/>
      </c>
    </row>
    <row r="40" spans="1:6" x14ac:dyDescent="0.3">
      <c r="A40" t="s">
        <v>192</v>
      </c>
      <c r="B40" s="18">
        <f>IFERROR((('[1]Ecoinvent 3.11-3.12 location 2'!G37-'[1]Ecoinvent 3.11-3.12 location 2'!B37)/'[1]Ecoinvent 3.11-3.12 location 2'!B37), "")</f>
        <v>7.2212083847678674E-2</v>
      </c>
      <c r="C40" s="18" t="str">
        <f>IFERROR((('[1]Ecoinvent 3.11-3.12 location 2'!H37-'[1]Ecoinvent 3.11-3.12 location 2'!C37)/'[1]Ecoinvent 3.11-3.12 location 2'!C37), "")</f>
        <v/>
      </c>
      <c r="D40" s="18" t="str">
        <f>IFERROR((('[1]Ecoinvent 3.11-3.12 location 2'!I37-'[1]Ecoinvent 3.11-3.12 location 2'!D37)/'[1]Ecoinvent 3.11-3.12 location 2'!D37), "")</f>
        <v/>
      </c>
      <c r="E40" s="18" t="str">
        <f>IFERROR((('[1]Ecoinvent 3.11-3.12 location 2'!J37-'[1]Ecoinvent 3.11-3.12 location 2'!E37)/'[1]Ecoinvent 3.11-3.12 location 2'!E37), "")</f>
        <v/>
      </c>
      <c r="F40" s="18" t="str">
        <f>IFERROR((('[1]Ecoinvent 3.11-3.12 location 2'!K37-'[1]Ecoinvent 3.11-3.12 location 2'!F37)/'[1]Ecoinvent 3.11-3.12 location 2'!F37), "")</f>
        <v/>
      </c>
    </row>
    <row r="41" spans="1:6" x14ac:dyDescent="0.3">
      <c r="A41" t="s">
        <v>193</v>
      </c>
      <c r="B41" s="18">
        <f>IFERROR((('[1]Ecoinvent 3.11-3.12 location 2'!G38-'[1]Ecoinvent 3.11-3.12 location 2'!B38)/'[1]Ecoinvent 3.11-3.12 location 2'!B38), "")</f>
        <v>-3.4508293552452024E-2</v>
      </c>
      <c r="C41" s="18" t="str">
        <f>IFERROR((('[1]Ecoinvent 3.11-3.12 location 2'!H38-'[1]Ecoinvent 3.11-3.12 location 2'!C38)/'[1]Ecoinvent 3.11-3.12 location 2'!C38), "")</f>
        <v/>
      </c>
      <c r="D41" s="18" t="str">
        <f>IFERROR((('[1]Ecoinvent 3.11-3.12 location 2'!I38-'[1]Ecoinvent 3.11-3.12 location 2'!D38)/'[1]Ecoinvent 3.11-3.12 location 2'!D38), "")</f>
        <v/>
      </c>
      <c r="E41" s="18" t="str">
        <f>IFERROR((('[1]Ecoinvent 3.11-3.12 location 2'!J38-'[1]Ecoinvent 3.11-3.12 location 2'!E38)/'[1]Ecoinvent 3.11-3.12 location 2'!E38), "")</f>
        <v/>
      </c>
      <c r="F41" s="18" t="str">
        <f>IFERROR((('[1]Ecoinvent 3.11-3.12 location 2'!K38-'[1]Ecoinvent 3.11-3.12 location 2'!F38)/'[1]Ecoinvent 3.11-3.12 location 2'!F38), "")</f>
        <v/>
      </c>
    </row>
    <row r="42" spans="1:6" x14ac:dyDescent="0.3">
      <c r="A42" t="s">
        <v>194</v>
      </c>
      <c r="B42" s="18">
        <f>IFERROR((('[1]Ecoinvent 3.11-3.12 location 2'!G39-'[1]Ecoinvent 3.11-3.12 location 2'!B39)/'[1]Ecoinvent 3.11-3.12 location 2'!B39), "")</f>
        <v>-1.0997920335897592E-2</v>
      </c>
      <c r="C42" s="18" t="str">
        <f>IFERROR((('[1]Ecoinvent 3.11-3.12 location 2'!H39-'[1]Ecoinvent 3.11-3.12 location 2'!C39)/'[1]Ecoinvent 3.11-3.12 location 2'!C39), "")</f>
        <v/>
      </c>
      <c r="D42" s="18" t="str">
        <f>IFERROR((('[1]Ecoinvent 3.11-3.12 location 2'!I39-'[1]Ecoinvent 3.11-3.12 location 2'!D39)/'[1]Ecoinvent 3.11-3.12 location 2'!D39), "")</f>
        <v/>
      </c>
      <c r="E42" s="18" t="str">
        <f>IFERROR((('[1]Ecoinvent 3.11-3.12 location 2'!J39-'[1]Ecoinvent 3.11-3.12 location 2'!E39)/'[1]Ecoinvent 3.11-3.12 location 2'!E39), "")</f>
        <v/>
      </c>
      <c r="F42" s="18" t="str">
        <f>IFERROR((('[1]Ecoinvent 3.11-3.12 location 2'!K39-'[1]Ecoinvent 3.11-3.12 location 2'!F39)/'[1]Ecoinvent 3.11-3.12 location 2'!F39), "")</f>
        <v/>
      </c>
    </row>
    <row r="43" spans="1:6" x14ac:dyDescent="0.3">
      <c r="A43" t="s">
        <v>195</v>
      </c>
      <c r="B43" s="18" t="str">
        <f>IFERROR((('[1]Ecoinvent 3.11-3.12 location 2'!G40-'[1]Ecoinvent 3.11-3.12 location 2'!B40)/'[1]Ecoinvent 3.11-3.12 location 2'!B40), "")</f>
        <v/>
      </c>
      <c r="C43" s="18" t="str">
        <f>IFERROR((('[1]Ecoinvent 3.11-3.12 location 2'!H40-'[1]Ecoinvent 3.11-3.12 location 2'!C40)/'[1]Ecoinvent 3.11-3.12 location 2'!C40), "")</f>
        <v/>
      </c>
      <c r="D43" s="18" t="str">
        <f>IFERROR((('[1]Ecoinvent 3.11-3.12 location 2'!I40-'[1]Ecoinvent 3.11-3.12 location 2'!D40)/'[1]Ecoinvent 3.11-3.12 location 2'!D40), "")</f>
        <v/>
      </c>
      <c r="E43" s="18">
        <f>IFERROR((('[1]Ecoinvent 3.11-3.12 location 2'!J40-'[1]Ecoinvent 3.11-3.12 location 2'!E40)/'[1]Ecoinvent 3.11-3.12 location 2'!E40), "")</f>
        <v>2.3755692974159318E-2</v>
      </c>
      <c r="F43" s="18" t="str">
        <f>IFERROR((('[1]Ecoinvent 3.11-3.12 location 2'!K40-'[1]Ecoinvent 3.11-3.12 location 2'!F40)/'[1]Ecoinvent 3.11-3.12 location 2'!F40), "")</f>
        <v/>
      </c>
    </row>
    <row r="44" spans="1:6" x14ac:dyDescent="0.3">
      <c r="A44" t="s">
        <v>196</v>
      </c>
      <c r="B44" s="18" t="str">
        <f>IFERROR((('[1]Ecoinvent 3.11-3.12 location 2'!G41-'[1]Ecoinvent 3.11-3.12 location 2'!B41)/'[1]Ecoinvent 3.11-3.12 location 2'!B41), "")</f>
        <v/>
      </c>
      <c r="C44" s="18" t="str">
        <f>IFERROR((('[1]Ecoinvent 3.11-3.12 location 2'!H41-'[1]Ecoinvent 3.11-3.12 location 2'!C41)/'[1]Ecoinvent 3.11-3.12 location 2'!C41), "")</f>
        <v/>
      </c>
      <c r="D44" s="18" t="str">
        <f>IFERROR((('[1]Ecoinvent 3.11-3.12 location 2'!I41-'[1]Ecoinvent 3.11-3.12 location 2'!D41)/'[1]Ecoinvent 3.11-3.12 location 2'!D41), "")</f>
        <v/>
      </c>
      <c r="E44" s="18">
        <f>IFERROR((('[1]Ecoinvent 3.11-3.12 location 2'!J41-'[1]Ecoinvent 3.11-3.12 location 2'!E41)/'[1]Ecoinvent 3.11-3.12 location 2'!E41), "")</f>
        <v>-0.10615386399882779</v>
      </c>
      <c r="F44" s="18" t="str">
        <f>IFERROR((('[1]Ecoinvent 3.11-3.12 location 2'!K41-'[1]Ecoinvent 3.11-3.12 location 2'!F41)/'[1]Ecoinvent 3.11-3.12 location 2'!F41), "")</f>
        <v/>
      </c>
    </row>
    <row r="45" spans="1:6" x14ac:dyDescent="0.3">
      <c r="A45" t="s">
        <v>197</v>
      </c>
      <c r="B45" s="18" t="str">
        <f>IFERROR((('[1]Ecoinvent 3.11-3.12 location 2'!G42-'[1]Ecoinvent 3.11-3.12 location 2'!B42)/'[1]Ecoinvent 3.11-3.12 location 2'!B42), "")</f>
        <v/>
      </c>
      <c r="C45" s="18" t="str">
        <f>IFERROR((('[1]Ecoinvent 3.11-3.12 location 2'!H42-'[1]Ecoinvent 3.11-3.12 location 2'!C42)/'[1]Ecoinvent 3.11-3.12 location 2'!C42), "")</f>
        <v/>
      </c>
      <c r="D45" s="18" t="str">
        <f>IFERROR((('[1]Ecoinvent 3.11-3.12 location 2'!I42-'[1]Ecoinvent 3.11-3.12 location 2'!D42)/'[1]Ecoinvent 3.11-3.12 location 2'!D42), "")</f>
        <v/>
      </c>
      <c r="E45" s="18">
        <f>IFERROR((('[1]Ecoinvent 3.11-3.12 location 2'!J42-'[1]Ecoinvent 3.11-3.12 location 2'!E42)/'[1]Ecoinvent 3.11-3.12 location 2'!E42), "")</f>
        <v>-9.2041246338541174E-2</v>
      </c>
      <c r="F45" s="18" t="str">
        <f>IFERROR((('[1]Ecoinvent 3.11-3.12 location 2'!K42-'[1]Ecoinvent 3.11-3.12 location 2'!F42)/'[1]Ecoinvent 3.11-3.12 location 2'!F42), "")</f>
        <v/>
      </c>
    </row>
    <row r="46" spans="1:6" x14ac:dyDescent="0.3">
      <c r="A46" t="s">
        <v>198</v>
      </c>
      <c r="B46" s="18" t="str">
        <f>IFERROR((('[1]Ecoinvent 3.11-3.12 location 2'!G43-'[1]Ecoinvent 3.11-3.12 location 2'!B43)/'[1]Ecoinvent 3.11-3.12 location 2'!B43), "")</f>
        <v/>
      </c>
      <c r="C46" s="18" t="str">
        <f>IFERROR((('[1]Ecoinvent 3.11-3.12 location 2'!H43-'[1]Ecoinvent 3.11-3.12 location 2'!C43)/'[1]Ecoinvent 3.11-3.12 location 2'!C43), "")</f>
        <v/>
      </c>
      <c r="D46" s="18" t="str">
        <f>IFERROR((('[1]Ecoinvent 3.11-3.12 location 2'!I43-'[1]Ecoinvent 3.11-3.12 location 2'!D43)/'[1]Ecoinvent 3.11-3.12 location 2'!D43), "")</f>
        <v/>
      </c>
      <c r="E46" s="18">
        <f>IFERROR((('[1]Ecoinvent 3.11-3.12 location 2'!J43-'[1]Ecoinvent 3.11-3.12 location 2'!E43)/'[1]Ecoinvent 3.11-3.12 location 2'!E43), "")</f>
        <v>2.6653541997353848E-2</v>
      </c>
      <c r="F46" s="18" t="str">
        <f>IFERROR((('[1]Ecoinvent 3.11-3.12 location 2'!K43-'[1]Ecoinvent 3.11-3.12 location 2'!F43)/'[1]Ecoinvent 3.11-3.12 location 2'!F43), "")</f>
        <v/>
      </c>
    </row>
    <row r="47" spans="1:6" x14ac:dyDescent="0.3">
      <c r="A47" t="s">
        <v>199</v>
      </c>
      <c r="B47" s="18">
        <f>IFERROR((('[1]Ecoinvent 3.11-3.12 location 2'!G44-'[1]Ecoinvent 3.11-3.12 location 2'!B44)/'[1]Ecoinvent 3.11-3.12 location 2'!B44), "")</f>
        <v>4.2548199157943556E-2</v>
      </c>
      <c r="C47" s="18" t="str">
        <f>IFERROR((('[1]Ecoinvent 3.11-3.12 location 2'!H44-'[1]Ecoinvent 3.11-3.12 location 2'!C44)/'[1]Ecoinvent 3.11-3.12 location 2'!C44), "")</f>
        <v/>
      </c>
      <c r="D47" s="18" t="str">
        <f>IFERROR((('[1]Ecoinvent 3.11-3.12 location 2'!I44-'[1]Ecoinvent 3.11-3.12 location 2'!D44)/'[1]Ecoinvent 3.11-3.12 location 2'!D44), "")</f>
        <v/>
      </c>
      <c r="E47" s="18" t="str">
        <f>IFERROR((('[1]Ecoinvent 3.11-3.12 location 2'!J44-'[1]Ecoinvent 3.11-3.12 location 2'!E44)/'[1]Ecoinvent 3.11-3.12 location 2'!E44), "")</f>
        <v/>
      </c>
      <c r="F47" s="18" t="str">
        <f>IFERROR((('[1]Ecoinvent 3.11-3.12 location 2'!K44-'[1]Ecoinvent 3.11-3.12 location 2'!F44)/'[1]Ecoinvent 3.11-3.12 location 2'!F44), "")</f>
        <v/>
      </c>
    </row>
    <row r="48" spans="1:6" x14ac:dyDescent="0.3">
      <c r="A48" t="s">
        <v>200</v>
      </c>
      <c r="B48" s="18" t="str">
        <f>IFERROR((('[1]Ecoinvent 3.11-3.12 location 2'!G45-'[1]Ecoinvent 3.11-3.12 location 2'!B45)/'[1]Ecoinvent 3.11-3.12 location 2'!B45), "")</f>
        <v/>
      </c>
      <c r="C48" s="18" t="str">
        <f>IFERROR((('[1]Ecoinvent 3.11-3.12 location 2'!H45-'[1]Ecoinvent 3.11-3.12 location 2'!C45)/'[1]Ecoinvent 3.11-3.12 location 2'!C45), "")</f>
        <v/>
      </c>
      <c r="D48" s="18" t="str">
        <f>IFERROR((('[1]Ecoinvent 3.11-3.12 location 2'!I45-'[1]Ecoinvent 3.11-3.12 location 2'!D45)/'[1]Ecoinvent 3.11-3.12 location 2'!D45), "")</f>
        <v/>
      </c>
      <c r="E48" s="18">
        <f>IFERROR((('[1]Ecoinvent 3.11-3.12 location 2'!J45-'[1]Ecoinvent 3.11-3.12 location 2'!E45)/'[1]Ecoinvent 3.11-3.12 location 2'!E45), "")</f>
        <v>-0.19087560685387805</v>
      </c>
      <c r="F48" s="18" t="str">
        <f>IFERROR((('[1]Ecoinvent 3.11-3.12 location 2'!K45-'[1]Ecoinvent 3.11-3.12 location 2'!F45)/'[1]Ecoinvent 3.11-3.12 location 2'!F45), "")</f>
        <v/>
      </c>
    </row>
    <row r="49" spans="1:8" x14ac:dyDescent="0.3">
      <c r="A49" t="s">
        <v>201</v>
      </c>
      <c r="B49" s="18">
        <f>IFERROR((('[1]Ecoinvent 3.11-3.12 location 2'!G46-'[1]Ecoinvent 3.11-3.12 location 2'!B46)/'[1]Ecoinvent 3.11-3.12 location 2'!B46), "")</f>
        <v>-8.1017821193615936E-3</v>
      </c>
      <c r="C49" s="18" t="str">
        <f>IFERROR((('[1]Ecoinvent 3.11-3.12 location 2'!H46-'[1]Ecoinvent 3.11-3.12 location 2'!C46)/'[1]Ecoinvent 3.11-3.12 location 2'!C46), "")</f>
        <v/>
      </c>
      <c r="D49" s="18" t="str">
        <f>IFERROR((('[1]Ecoinvent 3.11-3.12 location 2'!I46-'[1]Ecoinvent 3.11-3.12 location 2'!D46)/'[1]Ecoinvent 3.11-3.12 location 2'!D46), "")</f>
        <v/>
      </c>
      <c r="E49" s="18" t="str">
        <f>IFERROR((('[1]Ecoinvent 3.11-3.12 location 2'!J46-'[1]Ecoinvent 3.11-3.12 location 2'!E46)/'[1]Ecoinvent 3.11-3.12 location 2'!E46), "")</f>
        <v/>
      </c>
      <c r="F49" s="18" t="str">
        <f>IFERROR((('[1]Ecoinvent 3.11-3.12 location 2'!K46-'[1]Ecoinvent 3.11-3.12 location 2'!F46)/'[1]Ecoinvent 3.11-3.12 location 2'!F46), "")</f>
        <v/>
      </c>
    </row>
    <row r="50" spans="1:8" x14ac:dyDescent="0.3">
      <c r="A50" t="s">
        <v>202</v>
      </c>
      <c r="B50" s="18" t="str">
        <f>IFERROR((('[1]Ecoinvent 3.11-3.12 location 2'!G47-'[1]Ecoinvent 3.11-3.12 location 2'!B47)/'[1]Ecoinvent 3.11-3.12 location 2'!B47), "")</f>
        <v/>
      </c>
      <c r="C50" s="18" t="str">
        <f>IFERROR((('[1]Ecoinvent 3.11-3.12 location 2'!H47-'[1]Ecoinvent 3.11-3.12 location 2'!C47)/'[1]Ecoinvent 3.11-3.12 location 2'!C47), "")</f>
        <v/>
      </c>
      <c r="D50" s="18" t="str">
        <f>IFERROR((('[1]Ecoinvent 3.11-3.12 location 2'!I47-'[1]Ecoinvent 3.11-3.12 location 2'!D47)/'[1]Ecoinvent 3.11-3.12 location 2'!D47), "")</f>
        <v/>
      </c>
      <c r="E50" s="18">
        <f>IFERROR((('[1]Ecoinvent 3.11-3.12 location 2'!J47-'[1]Ecoinvent 3.11-3.12 location 2'!E47)/'[1]Ecoinvent 3.11-3.12 location 2'!E47), "")</f>
        <v>4.059626525683524E-2</v>
      </c>
      <c r="F50" s="18" t="str">
        <f>IFERROR((('[1]Ecoinvent 3.11-3.12 location 2'!K47-'[1]Ecoinvent 3.11-3.12 location 2'!F47)/'[1]Ecoinvent 3.11-3.12 location 2'!F47), "")</f>
        <v/>
      </c>
    </row>
    <row r="51" spans="1:8" x14ac:dyDescent="0.3">
      <c r="A51" t="s">
        <v>203</v>
      </c>
      <c r="B51" s="18" t="str">
        <f>IFERROR((('[1]Ecoinvent 3.11-3.12 location 2'!G48-'[1]Ecoinvent 3.11-3.12 location 2'!B48)/'[1]Ecoinvent 3.11-3.12 location 2'!B48), "")</f>
        <v/>
      </c>
      <c r="C51" s="18" t="str">
        <f>IFERROR((('[1]Ecoinvent 3.11-3.12 location 2'!H48-'[1]Ecoinvent 3.11-3.12 location 2'!C48)/'[1]Ecoinvent 3.11-3.12 location 2'!C48), "")</f>
        <v/>
      </c>
      <c r="D51" s="18" t="str">
        <f>IFERROR((('[1]Ecoinvent 3.11-3.12 location 2'!I48-'[1]Ecoinvent 3.11-3.12 location 2'!D48)/'[1]Ecoinvent 3.11-3.12 location 2'!D48), "")</f>
        <v/>
      </c>
      <c r="E51" s="18">
        <f>IFERROR((('[1]Ecoinvent 3.11-3.12 location 2'!J48-'[1]Ecoinvent 3.11-3.12 location 2'!E48)/'[1]Ecoinvent 3.11-3.12 location 2'!E48), "")</f>
        <v>-0.11147311210551052</v>
      </c>
      <c r="F51" s="18" t="str">
        <f>IFERROR((('[1]Ecoinvent 3.11-3.12 location 2'!K48-'[1]Ecoinvent 3.11-3.12 location 2'!F48)/'[1]Ecoinvent 3.11-3.12 location 2'!F48), "")</f>
        <v/>
      </c>
    </row>
    <row r="52" spans="1:8" x14ac:dyDescent="0.3">
      <c r="A52" t="s">
        <v>204</v>
      </c>
      <c r="B52" s="18" t="str">
        <f>IFERROR((('[1]Ecoinvent 3.11-3.12 location 2'!G49-'[1]Ecoinvent 3.11-3.12 location 2'!B49)/'[1]Ecoinvent 3.11-3.12 location 2'!B49), "")</f>
        <v/>
      </c>
      <c r="C52" s="18" t="str">
        <f>IFERROR((('[1]Ecoinvent 3.11-3.12 location 2'!H49-'[1]Ecoinvent 3.11-3.12 location 2'!C49)/'[1]Ecoinvent 3.11-3.12 location 2'!C49), "")</f>
        <v/>
      </c>
      <c r="D52" s="18" t="str">
        <f>IFERROR((('[1]Ecoinvent 3.11-3.12 location 2'!I49-'[1]Ecoinvent 3.11-3.12 location 2'!D49)/'[1]Ecoinvent 3.11-3.12 location 2'!D49), "")</f>
        <v/>
      </c>
      <c r="E52" s="18">
        <f>IFERROR((('[1]Ecoinvent 3.11-3.12 location 2'!J49-'[1]Ecoinvent 3.11-3.12 location 2'!E49)/'[1]Ecoinvent 3.11-3.12 location 2'!E49), "")</f>
        <v>6.6085193206607698E-3</v>
      </c>
      <c r="F52" s="18" t="str">
        <f>IFERROR((('[1]Ecoinvent 3.11-3.12 location 2'!K49-'[1]Ecoinvent 3.11-3.12 location 2'!F49)/'[1]Ecoinvent 3.11-3.12 location 2'!F49), "")</f>
        <v/>
      </c>
    </row>
    <row r="53" spans="1:8" x14ac:dyDescent="0.3">
      <c r="A53" t="s">
        <v>205</v>
      </c>
      <c r="B53" s="18" t="str">
        <f>IFERROR((('[1]Ecoinvent 3.11-3.12 location 2'!G50-'[1]Ecoinvent 3.11-3.12 location 2'!B50)/'[1]Ecoinvent 3.11-3.12 location 2'!B50), "")</f>
        <v/>
      </c>
      <c r="C53" s="18" t="str">
        <f>IFERROR((('[1]Ecoinvent 3.11-3.12 location 2'!H50-'[1]Ecoinvent 3.11-3.12 location 2'!C50)/'[1]Ecoinvent 3.11-3.12 location 2'!C50), "")</f>
        <v/>
      </c>
      <c r="D53" s="18" t="str">
        <f>IFERROR((('[1]Ecoinvent 3.11-3.12 location 2'!I50-'[1]Ecoinvent 3.11-3.12 location 2'!D50)/'[1]Ecoinvent 3.11-3.12 location 2'!D50), "")</f>
        <v/>
      </c>
      <c r="E53" s="18">
        <f>IFERROR((('[1]Ecoinvent 3.11-3.12 location 2'!J50-'[1]Ecoinvent 3.11-3.12 location 2'!E50)/'[1]Ecoinvent 3.11-3.12 location 2'!E50), "")</f>
        <v>-3.8452503736991168E-2</v>
      </c>
      <c r="F53" s="18" t="str">
        <f>IFERROR((('[1]Ecoinvent 3.11-3.12 location 2'!K50-'[1]Ecoinvent 3.11-3.12 location 2'!F50)/'[1]Ecoinvent 3.11-3.12 location 2'!F50), "")</f>
        <v/>
      </c>
    </row>
    <row r="54" spans="1:8" x14ac:dyDescent="0.3">
      <c r="A54" t="s">
        <v>206</v>
      </c>
      <c r="B54" s="18" t="str">
        <f>IFERROR((('[1]Ecoinvent 3.11-3.12 location 2'!G51-'[1]Ecoinvent 3.11-3.12 location 2'!B51)/'[1]Ecoinvent 3.11-3.12 location 2'!B51), "")</f>
        <v/>
      </c>
      <c r="C54" s="18" t="str">
        <f>IFERROR((('[1]Ecoinvent 3.11-3.12 location 2'!H51-'[1]Ecoinvent 3.11-3.12 location 2'!C51)/'[1]Ecoinvent 3.11-3.12 location 2'!C51), "")</f>
        <v/>
      </c>
      <c r="D54" s="18" t="str">
        <f>IFERROR((('[1]Ecoinvent 3.11-3.12 location 2'!I51-'[1]Ecoinvent 3.11-3.12 location 2'!D51)/'[1]Ecoinvent 3.11-3.12 location 2'!D51), "")</f>
        <v/>
      </c>
      <c r="E54" s="18">
        <f>IFERROR((('[1]Ecoinvent 3.11-3.12 location 2'!J51-'[1]Ecoinvent 3.11-3.12 location 2'!E51)/'[1]Ecoinvent 3.11-3.12 location 2'!E51), "")</f>
        <v>1.4343343566650072E-2</v>
      </c>
      <c r="F54" s="18">
        <f>IFERROR((('[1]Ecoinvent 3.11-3.12 location 2'!K51-'[1]Ecoinvent 3.11-3.12 location 2'!F51)/'[1]Ecoinvent 3.11-3.12 location 2'!F51), "")</f>
        <v>1.3298000804147858E-2</v>
      </c>
    </row>
    <row r="55" spans="1:8" x14ac:dyDescent="0.3">
      <c r="A55" t="s">
        <v>207</v>
      </c>
      <c r="B55" s="18">
        <f>IFERROR((('[1]Ecoinvent 3.11-3.12 location 2'!G52-'[1]Ecoinvent 3.11-3.12 location 2'!B52)/'[1]Ecoinvent 3.11-3.12 location 2'!B52), "")</f>
        <v>-5.7607826863373202E-3</v>
      </c>
      <c r="C55" s="18" t="str">
        <f>IFERROR((('[1]Ecoinvent 3.11-3.12 location 2'!H52-'[1]Ecoinvent 3.11-3.12 location 2'!C52)/'[1]Ecoinvent 3.11-3.12 location 2'!C52), "")</f>
        <v/>
      </c>
      <c r="D55" s="18" t="str">
        <f>IFERROR((('[1]Ecoinvent 3.11-3.12 location 2'!I52-'[1]Ecoinvent 3.11-3.12 location 2'!D52)/'[1]Ecoinvent 3.11-3.12 location 2'!D52), "")</f>
        <v/>
      </c>
      <c r="E55" s="18" t="str">
        <f>IFERROR((('[1]Ecoinvent 3.11-3.12 location 2'!J52-'[1]Ecoinvent 3.11-3.12 location 2'!E52)/'[1]Ecoinvent 3.11-3.12 location 2'!E52), "")</f>
        <v/>
      </c>
      <c r="F55" s="18" t="str">
        <f>IFERROR((('[1]Ecoinvent 3.11-3.12 location 2'!K52-'[1]Ecoinvent 3.11-3.12 location 2'!F52)/'[1]Ecoinvent 3.11-3.12 location 2'!F52), "")</f>
        <v/>
      </c>
    </row>
    <row r="56" spans="1:8" x14ac:dyDescent="0.3">
      <c r="A56" t="s">
        <v>208</v>
      </c>
      <c r="B56" s="18" t="str">
        <f>IFERROR((('[1]Ecoinvent 3.11-3.12 location 2'!G53-'[1]Ecoinvent 3.11-3.12 location 2'!B53)/'[1]Ecoinvent 3.11-3.12 location 2'!B53), "")</f>
        <v/>
      </c>
      <c r="C56" s="18" t="str">
        <f>IFERROR((('[1]Ecoinvent 3.11-3.12 location 2'!H53-'[1]Ecoinvent 3.11-3.12 location 2'!C53)/'[1]Ecoinvent 3.11-3.12 location 2'!C53), "")</f>
        <v/>
      </c>
      <c r="D56" s="18" t="str">
        <f>IFERROR((('[1]Ecoinvent 3.11-3.12 location 2'!I53-'[1]Ecoinvent 3.11-3.12 location 2'!D53)/'[1]Ecoinvent 3.11-3.12 location 2'!D53), "")</f>
        <v/>
      </c>
      <c r="E56" s="18">
        <f>IFERROR((('[1]Ecoinvent 3.11-3.12 location 2'!J53-'[1]Ecoinvent 3.11-3.12 location 2'!E53)/'[1]Ecoinvent 3.11-3.12 location 2'!E53), "")</f>
        <v>1.4019863766552587E-3</v>
      </c>
      <c r="F56" s="18" t="str">
        <f>IFERROR((('[1]Ecoinvent 3.11-3.12 location 2'!K53-'[1]Ecoinvent 3.11-3.12 location 2'!F53)/'[1]Ecoinvent 3.11-3.12 location 2'!F53), "")</f>
        <v/>
      </c>
    </row>
    <row r="57" spans="1:8" x14ac:dyDescent="0.3">
      <c r="A57" t="s">
        <v>209</v>
      </c>
      <c r="B57" s="18" t="str">
        <f>IFERROR((('[1]Ecoinvent 3.11-3.12 location 2'!G54-'[1]Ecoinvent 3.11-3.12 location 2'!B54)/'[1]Ecoinvent 3.11-3.12 location 2'!B54), "")</f>
        <v/>
      </c>
      <c r="C57" s="18" t="str">
        <f>IFERROR((('[1]Ecoinvent 3.11-3.12 location 2'!H54-'[1]Ecoinvent 3.11-3.12 location 2'!C54)/'[1]Ecoinvent 3.11-3.12 location 2'!C54), "")</f>
        <v/>
      </c>
      <c r="D57" s="18" t="str">
        <f>IFERROR((('[1]Ecoinvent 3.11-3.12 location 2'!I54-'[1]Ecoinvent 3.11-3.12 location 2'!D54)/'[1]Ecoinvent 3.11-3.12 location 2'!D54), "")</f>
        <v/>
      </c>
      <c r="E57" s="18">
        <f>IFERROR((('[1]Ecoinvent 3.11-3.12 location 2'!J54-'[1]Ecoinvent 3.11-3.12 location 2'!E54)/'[1]Ecoinvent 3.11-3.12 location 2'!E54), "")</f>
        <v>5.4415336580971134E-3</v>
      </c>
      <c r="F57" s="18" t="str">
        <f>IFERROR((('[1]Ecoinvent 3.11-3.12 location 2'!K54-'[1]Ecoinvent 3.11-3.12 location 2'!F54)/'[1]Ecoinvent 3.11-3.12 location 2'!F54), "")</f>
        <v/>
      </c>
    </row>
    <row r="58" spans="1:8" x14ac:dyDescent="0.3">
      <c r="A58" t="s">
        <v>210</v>
      </c>
      <c r="B58" s="18" t="str">
        <f>IFERROR((('[1]Ecoinvent 3.11-3.12 location 2'!G55-'[1]Ecoinvent 3.11-3.12 location 2'!B55)/'[1]Ecoinvent 3.11-3.12 location 2'!B55), "")</f>
        <v/>
      </c>
      <c r="C58" s="18" t="str">
        <f>IFERROR((('[1]Ecoinvent 3.11-3.12 location 2'!H55-'[1]Ecoinvent 3.11-3.12 location 2'!C55)/'[1]Ecoinvent 3.11-3.12 location 2'!C55), "")</f>
        <v/>
      </c>
      <c r="D58" s="18" t="str">
        <f>IFERROR((('[1]Ecoinvent 3.11-3.12 location 2'!I55-'[1]Ecoinvent 3.11-3.12 location 2'!D55)/'[1]Ecoinvent 3.11-3.12 location 2'!D55), "")</f>
        <v/>
      </c>
      <c r="E58" s="18">
        <f>IFERROR((('[1]Ecoinvent 3.11-3.12 location 2'!J55-'[1]Ecoinvent 3.11-3.12 location 2'!E55)/'[1]Ecoinvent 3.11-3.12 location 2'!E55), "")</f>
        <v>3.0290859119111304E-5</v>
      </c>
      <c r="F58" s="18" t="str">
        <f>IFERROR((('[1]Ecoinvent 3.11-3.12 location 2'!K55-'[1]Ecoinvent 3.11-3.12 location 2'!F55)/'[1]Ecoinvent 3.11-3.12 location 2'!F55), "")</f>
        <v/>
      </c>
    </row>
    <row r="59" spans="1:8" x14ac:dyDescent="0.3">
      <c r="A59" t="s">
        <v>211</v>
      </c>
      <c r="B59" s="18" t="str">
        <f>IFERROR((('[1]Ecoinvent 3.11-3.12 location 2'!G56-'[1]Ecoinvent 3.11-3.12 location 2'!B56)/'[1]Ecoinvent 3.11-3.12 location 2'!B56), "")</f>
        <v/>
      </c>
      <c r="C59" s="18" t="str">
        <f>IFERROR((('[1]Ecoinvent 3.11-3.12 location 2'!H56-'[1]Ecoinvent 3.11-3.12 location 2'!C56)/'[1]Ecoinvent 3.11-3.12 location 2'!C56), "")</f>
        <v/>
      </c>
      <c r="D59" s="18" t="str">
        <f>IFERROR(((#REF!-#REF!)/#REF!), "")</f>
        <v/>
      </c>
      <c r="E59" s="18" t="str">
        <f>IFERROR((('[1]Ecoinvent 3.11-3.12 location 2'!I56-'[1]Ecoinvent 3.11-3.12 location 2'!D56)/'[1]Ecoinvent 3.11-3.12 location 2'!D56), "")</f>
        <v/>
      </c>
      <c r="F59" s="18">
        <f>IFERROR((('[1]Ecoinvent 3.11-3.12 location 2'!J56-'[1]Ecoinvent 3.11-3.12 location 2'!E56)/'[1]Ecoinvent 3.11-3.12 location 2'!E56), "")</f>
        <v>5.3684601085802656E-5</v>
      </c>
      <c r="H59" s="17" t="str">
        <f>IFERROR((('[1]Ecoinvent 3.11-3.12 location 2'!K56-'[1]Ecoinvent 3.11-3.12 location 2'!F56)/'[1]Ecoinvent 3.11-3.12 location 2'!F56), "")</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EE6E-310F-40AF-AAAA-740F852FAB5B}">
  <sheetPr codeName="Sheet5"/>
  <dimension ref="A1:C9"/>
  <sheetViews>
    <sheetView zoomScaleNormal="100" workbookViewId="0">
      <selection activeCell="C12" sqref="C12"/>
    </sheetView>
  </sheetViews>
  <sheetFormatPr defaultRowHeight="14.4" x14ac:dyDescent="0.3"/>
  <cols>
    <col min="1" max="1" width="29.44140625" customWidth="1"/>
    <col min="2" max="2" width="55.109375" customWidth="1"/>
    <col min="3" max="3" width="27.6640625" customWidth="1"/>
  </cols>
  <sheetData>
    <row r="1" spans="1:3" ht="24" thickBot="1" x14ac:dyDescent="0.5">
      <c r="A1" s="2" t="s">
        <v>108</v>
      </c>
      <c r="B1" s="24" t="s">
        <v>272</v>
      </c>
    </row>
    <row r="2" spans="1:3" ht="88.8" thickTop="1" thickBot="1" x14ac:dyDescent="0.45">
      <c r="A2" s="2" t="s">
        <v>219</v>
      </c>
      <c r="B2" s="33" t="s">
        <v>273</v>
      </c>
    </row>
    <row r="3" spans="1:3" ht="15" thickTop="1" x14ac:dyDescent="0.3"/>
    <row r="4" spans="1:3" ht="15" thickBot="1" x14ac:dyDescent="0.35"/>
    <row r="5" spans="1:3" x14ac:dyDescent="0.3">
      <c r="B5" s="7" t="s">
        <v>213</v>
      </c>
      <c r="C5" s="30">
        <f>AVERAGE(Hotspot_products_with_footprint___processed__2[Unit footprint difference from 3.11 to 3.12])</f>
        <v>-1.2692611896514733E-2</v>
      </c>
    </row>
    <row r="6" spans="1:3" x14ac:dyDescent="0.3">
      <c r="B6" s="25" t="s">
        <v>214</v>
      </c>
      <c r="C6" s="28">
        <f>MEDIAN(Hotspot_products_with_footprint___processed__2[Unit footprint difference from 3.11 to 3.12])</f>
        <v>5.230700243039936E-5</v>
      </c>
    </row>
    <row r="7" spans="1:3" x14ac:dyDescent="0.3">
      <c r="B7" s="25" t="s">
        <v>215</v>
      </c>
      <c r="C7" s="28">
        <f>MIN(Hotspot_products_with_footprint___processed__2[Unit footprint difference from 3.11 to 3.12])</f>
        <v>-0.2320546488965318</v>
      </c>
    </row>
    <row r="8" spans="1:3" x14ac:dyDescent="0.3">
      <c r="B8" s="25" t="s">
        <v>216</v>
      </c>
      <c r="C8" s="28">
        <f>MAX(Hotspot_products_with_footprint___processed__2[Unit footprint difference from 3.11 to 3.12])</f>
        <v>7.2212083847678993E-2</v>
      </c>
    </row>
    <row r="9" spans="1:3" ht="15" thickBot="1" x14ac:dyDescent="0.35">
      <c r="B9" s="26" t="s">
        <v>217</v>
      </c>
      <c r="C9" s="29">
        <f>_xlfn.STDEV.P(Hotspot_products_with_footprint___processed__2[Unit footprint difference from 3.11 to 3.12])</f>
        <v>6.0882477138519249E-2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A3F3-3636-4493-87BD-CB90E85CCE53}">
  <sheetPr codeName="Sheet3"/>
  <dimension ref="A1:E24"/>
  <sheetViews>
    <sheetView zoomScale="130" zoomScaleNormal="130" workbookViewId="0">
      <selection activeCell="B2" sqref="B2"/>
    </sheetView>
  </sheetViews>
  <sheetFormatPr defaultRowHeight="14.4" x14ac:dyDescent="0.3"/>
  <cols>
    <col min="1" max="1" width="29.21875" customWidth="1"/>
    <col min="2" max="2" width="39.109375" customWidth="1"/>
    <col min="4" max="4" width="18.33203125" customWidth="1"/>
  </cols>
  <sheetData>
    <row r="1" spans="1:5" ht="24" thickBot="1" x14ac:dyDescent="0.5">
      <c r="A1" s="2" t="s">
        <v>108</v>
      </c>
      <c r="B1" s="24" t="s">
        <v>278</v>
      </c>
    </row>
    <row r="2" spans="1:5" ht="21" thickTop="1" thickBot="1" x14ac:dyDescent="0.45">
      <c r="A2" s="2" t="s">
        <v>219</v>
      </c>
      <c r="B2" s="21" t="s">
        <v>271</v>
      </c>
    </row>
    <row r="3" spans="1:5" ht="15" thickTop="1" x14ac:dyDescent="0.3"/>
    <row r="4" spans="1:5" ht="15" thickBot="1" x14ac:dyDescent="0.35">
      <c r="B4" s="16" t="s">
        <v>143</v>
      </c>
    </row>
    <row r="6" spans="1:5" x14ac:dyDescent="0.3">
      <c r="B6" t="s">
        <v>36</v>
      </c>
      <c r="C6" s="50">
        <v>0.9585499999999999</v>
      </c>
      <c r="D6" s="36" t="s">
        <v>144</v>
      </c>
      <c r="E6" s="49" t="s">
        <v>270</v>
      </c>
    </row>
    <row r="8" spans="1:5" x14ac:dyDescent="0.3">
      <c r="B8" t="s">
        <v>139</v>
      </c>
      <c r="C8" s="50">
        <v>2.0795315128667213</v>
      </c>
      <c r="D8" s="47" t="s">
        <v>148</v>
      </c>
      <c r="E8" s="49" t="s">
        <v>225</v>
      </c>
    </row>
    <row r="9" spans="1:5" x14ac:dyDescent="0.3">
      <c r="B9" t="s">
        <v>230</v>
      </c>
      <c r="C9" s="17">
        <f>C8*C6</f>
        <v>1.9933349316583955</v>
      </c>
      <c r="D9" s="47" t="s">
        <v>148</v>
      </c>
    </row>
    <row r="10" spans="1:5" x14ac:dyDescent="0.3">
      <c r="B10" t="s">
        <v>231</v>
      </c>
      <c r="C10" s="50">
        <v>9.3133569965030301</v>
      </c>
      <c r="D10" s="47" t="s">
        <v>148</v>
      </c>
      <c r="E10" s="49" t="s">
        <v>232</v>
      </c>
    </row>
    <row r="11" spans="1:5" x14ac:dyDescent="0.3">
      <c r="B11" t="s">
        <v>230</v>
      </c>
      <c r="C11" s="18">
        <f>C9/C10</f>
        <v>0.21402969223738025</v>
      </c>
      <c r="D11" s="47" t="s">
        <v>233</v>
      </c>
    </row>
    <row r="13" spans="1:5" ht="15" thickBot="1" x14ac:dyDescent="0.35">
      <c r="B13" s="16" t="s">
        <v>145</v>
      </c>
    </row>
    <row r="15" spans="1:5" x14ac:dyDescent="0.3">
      <c r="B15" t="s">
        <v>53</v>
      </c>
      <c r="C15" s="50">
        <v>0.64600000000000002</v>
      </c>
      <c r="D15" s="47" t="s">
        <v>147</v>
      </c>
      <c r="E15" s="49" t="s">
        <v>268</v>
      </c>
    </row>
    <row r="16" spans="1:5" x14ac:dyDescent="0.3">
      <c r="B16" t="s">
        <v>146</v>
      </c>
      <c r="C16" s="50">
        <v>0.51300000000000001</v>
      </c>
      <c r="D16" s="47" t="s">
        <v>147</v>
      </c>
      <c r="E16" s="49" t="s">
        <v>269</v>
      </c>
    </row>
    <row r="18" spans="2:5" x14ac:dyDescent="0.3">
      <c r="B18" t="s">
        <v>149</v>
      </c>
      <c r="C18" s="50">
        <v>1.361899876262209</v>
      </c>
      <c r="D18" s="47" t="s">
        <v>148</v>
      </c>
      <c r="E18" s="49" t="s">
        <v>225</v>
      </c>
    </row>
    <row r="19" spans="2:5" x14ac:dyDescent="0.3">
      <c r="B19" t="s">
        <v>150</v>
      </c>
      <c r="C19" s="50">
        <v>0.13472933319248531</v>
      </c>
      <c r="D19" s="47" t="s">
        <v>148</v>
      </c>
      <c r="E19" s="49" t="s">
        <v>226</v>
      </c>
    </row>
    <row r="20" spans="2:5" x14ac:dyDescent="0.3">
      <c r="B20" t="s">
        <v>229</v>
      </c>
      <c r="C20" s="17">
        <f>C18*C15</f>
        <v>0.87978732006538707</v>
      </c>
      <c r="D20" s="47" t="s">
        <v>148</v>
      </c>
    </row>
    <row r="21" spans="2:5" x14ac:dyDescent="0.3">
      <c r="B21" t="s">
        <v>228</v>
      </c>
      <c r="C21" s="17">
        <f>C19*C16</f>
        <v>6.9116147927744967E-2</v>
      </c>
      <c r="D21" s="47" t="s">
        <v>148</v>
      </c>
    </row>
    <row r="22" spans="2:5" x14ac:dyDescent="0.3">
      <c r="B22" t="s">
        <v>227</v>
      </c>
      <c r="C22" s="50">
        <v>8.2583219149978468</v>
      </c>
      <c r="D22" s="47" t="s">
        <v>148</v>
      </c>
      <c r="E22" s="49" t="s">
        <v>232</v>
      </c>
    </row>
    <row r="23" spans="2:5" x14ac:dyDescent="0.3">
      <c r="B23" t="s">
        <v>229</v>
      </c>
      <c r="C23" s="18">
        <f>C20/C22</f>
        <v>0.1065334252068347</v>
      </c>
      <c r="D23" s="47" t="s">
        <v>233</v>
      </c>
    </row>
    <row r="24" spans="2:5" x14ac:dyDescent="0.3">
      <c r="B24" t="s">
        <v>228</v>
      </c>
      <c r="C24" s="18">
        <f>C21/C22</f>
        <v>8.3692726729656663E-3</v>
      </c>
      <c r="D24" s="47" t="s">
        <v>233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89e107a-002f-47cb-94f0-e5bf57bc2a72" xsi:nil="true"/>
    <lcf76f155ced4ddcb4097134ff3c332f xmlns="e3526620-295c-4e7a-bc15-71d5d129bc8a">
      <Terms xmlns="http://schemas.microsoft.com/office/infopath/2007/PartnerControls"/>
    </lcf76f155ced4ddcb4097134ff3c332f>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4AF39AFB91D254FB182AF94C5DC49BB" ma:contentTypeVersion="11" ma:contentTypeDescription="Crée un document." ma:contentTypeScope="" ma:versionID="dbf3a68182155b17bdc3666382daf776">
  <xsd:schema xmlns:xsd="http://www.w3.org/2001/XMLSchema" xmlns:xs="http://www.w3.org/2001/XMLSchema" xmlns:p="http://schemas.microsoft.com/office/2006/metadata/properties" xmlns:ns2="e3526620-295c-4e7a-bc15-71d5d129bc8a" xmlns:ns3="f89e107a-002f-47cb-94f0-e5bf57bc2a72" targetNamespace="http://schemas.microsoft.com/office/2006/metadata/properties" ma:root="true" ma:fieldsID="ccb4e8835da535e86e7998c3a5e457f2" ns2:_="" ns3:_="">
    <xsd:import namespace="e3526620-295c-4e7a-bc15-71d5d129bc8a"/>
    <xsd:import namespace="f89e107a-002f-47cb-94f0-e5bf57bc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6620-295c-4e7a-bc15-71d5d129b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89d98ed-d87d-4b5f-8cfd-2c453ac98c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107a-002f-47cb-94f0-e5bf57bc2a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9249a1-d208-40d2-81eb-01a4abb22e02}" ma:internalName="TaxCatchAll" ma:showField="CatchAllData" ma:web="f89e107a-002f-47cb-94f0-e5bf57bc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201825-E6AC-4921-997C-6D5C57E9EAE5}">
  <ds:schemaRefs>
    <ds:schemaRef ds:uri="http://schemas.microsoft.com/office/2006/metadata/properties"/>
    <ds:schemaRef ds:uri="http://schemas.microsoft.com/office/infopath/2007/PartnerControls"/>
    <ds:schemaRef ds:uri="f89e107a-002f-47cb-94f0-e5bf57bc2a72"/>
    <ds:schemaRef ds:uri="e3526620-295c-4e7a-bc15-71d5d129bc8a"/>
  </ds:schemaRefs>
</ds:datastoreItem>
</file>

<file path=customXml/itemProps2.xml><?xml version="1.0" encoding="utf-8"?>
<ds:datastoreItem xmlns:ds="http://schemas.openxmlformats.org/officeDocument/2006/customXml" ds:itemID="{8EF77A7B-00BC-4525-B850-1EF8A0FD7255}">
  <ds:schemaRefs>
    <ds:schemaRef ds:uri="http://schemas.microsoft.com/DataMashup"/>
  </ds:schemaRefs>
</ds:datastoreItem>
</file>

<file path=customXml/itemProps3.xml><?xml version="1.0" encoding="utf-8"?>
<ds:datastoreItem xmlns:ds="http://schemas.openxmlformats.org/officeDocument/2006/customXml" ds:itemID="{21C0DBCB-3D5C-4C6E-BB20-3FBB6EA99F1C}">
  <ds:schemaRefs>
    <ds:schemaRef ds:uri="http://schemas.microsoft.com/sharepoint/v3/contenttype/forms"/>
  </ds:schemaRefs>
</ds:datastoreItem>
</file>

<file path=customXml/itemProps4.xml><?xml version="1.0" encoding="utf-8"?>
<ds:datastoreItem xmlns:ds="http://schemas.openxmlformats.org/officeDocument/2006/customXml" ds:itemID="{2C14E0D2-7C99-4782-8FA8-7A925306F2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26620-295c-4e7a-bc15-71d5d129bc8a"/>
    <ds:schemaRef ds:uri="f89e107a-002f-47cb-94f0-e5bf57bc2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Figure 2 data</vt:lpstr>
      <vt:lpstr>Location sensitivity analysis</vt:lpstr>
      <vt:lpstr>EI version total sensitivity</vt:lpstr>
      <vt:lpstr>PA-6 and PA-6,6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Lienart</dc:creator>
  <cp:keywords/>
  <dc:description/>
  <cp:lastModifiedBy>Nicolas Lienart</cp:lastModifiedBy>
  <cp:revision/>
  <dcterms:created xsi:type="dcterms:W3CDTF">2026-05-05T08:18:00Z</dcterms:created>
  <dcterms:modified xsi:type="dcterms:W3CDTF">2026-08-23T10:05:48Z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0x010100E4AF39AFB91D254FB182AF94C5DC49BB</vt:lpwstr>
  </property>
  <property fmtid="{D5CDD505-2E9C-101B-9397-08002B2CF9AE}" pid="3" name="MediaServiceImageTags">
    <vt:lpwstr/>
  </property>
</Properties>
</file>