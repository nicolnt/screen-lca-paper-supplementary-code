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wsl.localhost\Ubuntu\home\nicolas\projects\202604-paper-1-supplementary-code\Article_data\"/>
    </mc:Choice>
  </mc:AlternateContent>
  <xr:revisionPtr revIDLastSave="0" documentId="13_ncr:1_{2A1107EF-031A-4030-A1C2-AD29DCE61D22}" xr6:coauthVersionLast="47" xr6:coauthVersionMax="47" xr10:uidLastSave="{00000000-0000-0000-0000-000000000000}"/>
  <bookViews>
    <workbookView xWindow="-28920" yWindow="-30" windowWidth="29040" windowHeight="15720" tabRatio="570" xr2:uid="{EE4678C9-3BCB-4D41-A2DA-6855614353C7}"/>
  </bookViews>
  <sheets>
    <sheet name="README" sheetId="4" r:id="rId1"/>
    <sheet name="Filtered PRODCOM data" sheetId="3" r:id="rId2"/>
    <sheet name="Correlation EU27 2019-2022" sheetId="8" r:id="rId3"/>
    <sheet name="Split Polyamides &amp; Isocyanates" sheetId="6" r:id="rId4"/>
    <sheet name="End-of-life fates" sheetId="10" r:id="rId5"/>
    <sheet name="Hotspot products export" sheetId="7" r:id="rId6"/>
    <sheet name="Sensitivity analysis" sheetId="9" r:id="rId7"/>
    <sheet name="References" sheetId="5" r:id="rId8"/>
  </sheets>
  <definedNames>
    <definedName name="ExternalData_1" localSheetId="1" hidden="1">'Filtered PRODCOM data'!$A$4:$AA$239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2" i="4" l="1"/>
  <c r="C41" i="4"/>
  <c r="C40" i="4"/>
  <c r="C39" i="4"/>
  <c r="C38" i="4"/>
  <c r="C37" i="4"/>
  <c r="C36" i="4"/>
  <c r="C18" i="10"/>
  <c r="F18" i="10"/>
  <c r="F10" i="10"/>
  <c r="C10" i="10"/>
  <c r="F16" i="10" l="1"/>
  <c r="F15" i="10"/>
  <c r="F14" i="10"/>
  <c r="F13" i="10"/>
  <c r="F12" i="10"/>
  <c r="F11" i="10"/>
  <c r="D5" i="9" a="1"/>
  <c r="D5" i="9" s="1"/>
  <c r="C5" i="9" a="1"/>
  <c r="C5" i="9" s="1"/>
  <c r="C7" i="8" a="1"/>
  <c r="C7" i="8" s="1"/>
  <c r="C5" i="8"/>
  <c r="C4" i="8"/>
  <c r="S47" i="7" a="1"/>
  <c r="S47" i="7" s="1"/>
  <c r="AA35" i="7" a="1"/>
  <c r="AA35" i="7" s="1"/>
  <c r="S35" i="7" a="1"/>
  <c r="S35" i="7" s="1"/>
  <c r="Y32" i="7" a="1"/>
  <c r="Y32" i="7" s="1"/>
  <c r="S32" i="7" a="1"/>
  <c r="S32" i="7" s="1"/>
  <c r="Y31" i="7" a="1"/>
  <c r="Y31" i="7" s="1"/>
  <c r="S31" i="7" a="1"/>
  <c r="S31" i="7" s="1"/>
  <c r="S25" i="7" a="1"/>
  <c r="S25" i="7" s="1"/>
  <c r="Y23" i="7" a="1"/>
  <c r="Y23" i="7" s="1"/>
  <c r="AC18" i="7" a="1"/>
  <c r="AC18" i="7" s="1"/>
  <c r="S18" i="7" a="1"/>
  <c r="S18" i="7" s="1"/>
  <c r="AA16" i="7" a="1"/>
  <c r="AA16" i="7" s="1"/>
  <c r="AA15" i="7" a="1"/>
  <c r="AA15" i="7" s="1"/>
  <c r="Y15" i="7"/>
  <c r="S15" i="7" a="1"/>
  <c r="S15" i="7" s="1"/>
  <c r="Y14" i="7" a="1"/>
  <c r="Y14" i="7" s="1"/>
  <c r="S14" i="7" a="1"/>
  <c r="S14" i="7" s="1"/>
  <c r="AA12" i="7" a="1"/>
  <c r="AA12" i="7" s="1"/>
  <c r="AC11" i="7" a="1"/>
  <c r="AC11" i="7"/>
  <c r="S11" i="7" a="1"/>
  <c r="S11" i="7" s="1"/>
  <c r="S10" i="7" a="1"/>
  <c r="S10" i="7" s="1"/>
  <c r="AA9" i="7" a="1"/>
  <c r="AA9" i="7" s="1"/>
  <c r="Y9" i="7"/>
  <c r="Y60" i="7" a="1"/>
  <c r="Y60" i="7" s="1"/>
  <c r="S60" i="7" a="1"/>
  <c r="S60" i="7" s="1"/>
  <c r="Y59" i="7" a="1"/>
  <c r="Y59" i="7" s="1"/>
  <c r="S59" i="7" a="1"/>
  <c r="S59" i="7" s="1"/>
  <c r="N58" i="7"/>
  <c r="N59" i="7"/>
  <c r="N60" i="7"/>
  <c r="N61" i="7"/>
  <c r="N57" i="7"/>
  <c r="H57" i="7"/>
  <c r="H58" i="7"/>
  <c r="H59" i="7"/>
  <c r="H60" i="7"/>
  <c r="H61" i="7"/>
  <c r="G58" i="7"/>
  <c r="G59" i="7"/>
  <c r="G60" i="7"/>
  <c r="G61" i="7"/>
  <c r="F57" i="7"/>
  <c r="G57" i="7" s="1"/>
  <c r="F58" i="7"/>
  <c r="F59" i="7"/>
  <c r="F60" i="7"/>
  <c r="F61" i="7"/>
  <c r="D149" i="9" l="1"/>
  <c r="F5" i="9" s="1"/>
  <c r="C149" i="9"/>
  <c r="E37" i="9" s="1"/>
  <c r="C22" i="6"/>
  <c r="C13" i="6"/>
  <c r="F65" i="7"/>
  <c r="F64" i="7"/>
  <c r="F131" i="9" l="1"/>
  <c r="F111" i="9"/>
  <c r="F91" i="9"/>
  <c r="F71" i="9"/>
  <c r="F51" i="9"/>
  <c r="F31" i="9"/>
  <c r="F11" i="9"/>
  <c r="F130" i="9"/>
  <c r="F110" i="9"/>
  <c r="F90" i="9"/>
  <c r="F70" i="9"/>
  <c r="F50" i="9"/>
  <c r="F30" i="9"/>
  <c r="F10" i="9"/>
  <c r="F129" i="9"/>
  <c r="F109" i="9"/>
  <c r="F89" i="9"/>
  <c r="F69" i="9"/>
  <c r="F49" i="9"/>
  <c r="F29" i="9"/>
  <c r="F9" i="9"/>
  <c r="F128" i="9"/>
  <c r="F108" i="9"/>
  <c r="F88" i="9"/>
  <c r="F68" i="9"/>
  <c r="F48" i="9"/>
  <c r="F28" i="9"/>
  <c r="F143" i="9"/>
  <c r="F140" i="9"/>
  <c r="F92" i="9"/>
  <c r="F8" i="9"/>
  <c r="F63" i="9"/>
  <c r="F60" i="9"/>
  <c r="F32" i="9"/>
  <c r="F147" i="9"/>
  <c r="F127" i="9"/>
  <c r="F107" i="9"/>
  <c r="F87" i="9"/>
  <c r="F67" i="9"/>
  <c r="F47" i="9"/>
  <c r="F27" i="9"/>
  <c r="F7" i="9"/>
  <c r="F146" i="9"/>
  <c r="F126" i="9"/>
  <c r="F106" i="9"/>
  <c r="F86" i="9"/>
  <c r="F66" i="9"/>
  <c r="F46" i="9"/>
  <c r="F26" i="9"/>
  <c r="F6" i="9"/>
  <c r="F83" i="9"/>
  <c r="F80" i="9"/>
  <c r="F145" i="9"/>
  <c r="F125" i="9"/>
  <c r="F105" i="9"/>
  <c r="F85" i="9"/>
  <c r="F65" i="9"/>
  <c r="F45" i="9"/>
  <c r="F25" i="9"/>
  <c r="F103" i="9"/>
  <c r="F43" i="9"/>
  <c r="F120" i="9"/>
  <c r="F20" i="9"/>
  <c r="F72" i="9"/>
  <c r="F144" i="9"/>
  <c r="F124" i="9"/>
  <c r="F104" i="9"/>
  <c r="F84" i="9"/>
  <c r="F64" i="9"/>
  <c r="F44" i="9"/>
  <c r="F24" i="9"/>
  <c r="F123" i="9"/>
  <c r="F23" i="9"/>
  <c r="F100" i="9"/>
  <c r="F40" i="9"/>
  <c r="F52" i="9"/>
  <c r="F142" i="9"/>
  <c r="F122" i="9"/>
  <c r="F102" i="9"/>
  <c r="F82" i="9"/>
  <c r="F62" i="9"/>
  <c r="F42" i="9"/>
  <c r="F22" i="9"/>
  <c r="F141" i="9"/>
  <c r="F121" i="9"/>
  <c r="F101" i="9"/>
  <c r="F81" i="9"/>
  <c r="F61" i="9"/>
  <c r="F41" i="9"/>
  <c r="F21" i="9"/>
  <c r="F139" i="9"/>
  <c r="F119" i="9"/>
  <c r="F99" i="9"/>
  <c r="F79" i="9"/>
  <c r="F59" i="9"/>
  <c r="F39" i="9"/>
  <c r="F19" i="9"/>
  <c r="F138" i="9"/>
  <c r="F118" i="9"/>
  <c r="F98" i="9"/>
  <c r="F78" i="9"/>
  <c r="F58" i="9"/>
  <c r="F38" i="9"/>
  <c r="F18" i="9"/>
  <c r="F137" i="9"/>
  <c r="F117" i="9"/>
  <c r="F97" i="9"/>
  <c r="F77" i="9"/>
  <c r="F57" i="9"/>
  <c r="F37" i="9"/>
  <c r="F17" i="9"/>
  <c r="F136" i="9"/>
  <c r="F116" i="9"/>
  <c r="F96" i="9"/>
  <c r="F76" i="9"/>
  <c r="F56" i="9"/>
  <c r="F36" i="9"/>
  <c r="F16" i="9"/>
  <c r="F75" i="9"/>
  <c r="F112" i="9"/>
  <c r="F135" i="9"/>
  <c r="F115" i="9"/>
  <c r="F95" i="9"/>
  <c r="F55" i="9"/>
  <c r="F35" i="9"/>
  <c r="F15" i="9"/>
  <c r="F134" i="9"/>
  <c r="F114" i="9"/>
  <c r="F94" i="9"/>
  <c r="F74" i="9"/>
  <c r="F54" i="9"/>
  <c r="F34" i="9"/>
  <c r="F14" i="9"/>
  <c r="F133" i="9"/>
  <c r="F113" i="9"/>
  <c r="F93" i="9"/>
  <c r="F73" i="9"/>
  <c r="F53" i="9"/>
  <c r="F33" i="9"/>
  <c r="F13" i="9"/>
  <c r="F132" i="9"/>
  <c r="F12" i="9"/>
  <c r="E68" i="9"/>
  <c r="E7" i="9"/>
  <c r="E28" i="9"/>
  <c r="E117" i="9"/>
  <c r="E27" i="9"/>
  <c r="E58" i="9"/>
  <c r="E38" i="9"/>
  <c r="E18" i="9"/>
  <c r="E137" i="9"/>
  <c r="E128" i="9"/>
  <c r="E78" i="9"/>
  <c r="E17" i="9"/>
  <c r="E48" i="9"/>
  <c r="E8" i="9"/>
  <c r="E147" i="9"/>
  <c r="E127" i="9"/>
  <c r="E107" i="9"/>
  <c r="E97" i="9"/>
  <c r="E87" i="9"/>
  <c r="E77" i="9"/>
  <c r="E118" i="9"/>
  <c r="E67" i="9"/>
  <c r="E108" i="9"/>
  <c r="E57" i="9"/>
  <c r="E98" i="9"/>
  <c r="E47" i="9"/>
  <c r="E88" i="9"/>
  <c r="E138" i="9"/>
  <c r="E75" i="9"/>
  <c r="E96" i="9"/>
  <c r="E139" i="9"/>
  <c r="E116" i="9"/>
  <c r="E105" i="9"/>
  <c r="E94" i="9"/>
  <c r="E83" i="9"/>
  <c r="E72" i="9"/>
  <c r="E61" i="9"/>
  <c r="E50" i="9"/>
  <c r="E39" i="9"/>
  <c r="E16" i="9"/>
  <c r="E126" i="9"/>
  <c r="E115" i="9"/>
  <c r="E104" i="9"/>
  <c r="E93" i="9"/>
  <c r="E82" i="9"/>
  <c r="E60" i="9"/>
  <c r="E49" i="9"/>
  <c r="E26" i="9"/>
  <c r="E15" i="9"/>
  <c r="E112" i="9"/>
  <c r="E79" i="9"/>
  <c r="E56" i="9"/>
  <c r="E34" i="9"/>
  <c r="E12" i="9"/>
  <c r="E122" i="9"/>
  <c r="E100" i="9"/>
  <c r="E55" i="9"/>
  <c r="E22" i="9"/>
  <c r="E121" i="9"/>
  <c r="E99" i="9"/>
  <c r="E65" i="9"/>
  <c r="E21" i="9"/>
  <c r="E120" i="9"/>
  <c r="E53" i="9"/>
  <c r="E9" i="9"/>
  <c r="E119" i="9"/>
  <c r="E74" i="9"/>
  <c r="E30" i="9"/>
  <c r="E71" i="9"/>
  <c r="E109" i="9"/>
  <c r="E31" i="9"/>
  <c r="E141" i="9"/>
  <c r="E41" i="9"/>
  <c r="E80" i="9"/>
  <c r="E123" i="9"/>
  <c r="E110" i="9"/>
  <c r="E136" i="9"/>
  <c r="E125" i="9"/>
  <c r="E114" i="9"/>
  <c r="E103" i="9"/>
  <c r="E92" i="9"/>
  <c r="E81" i="9"/>
  <c r="E70" i="9"/>
  <c r="E59" i="9"/>
  <c r="E36" i="9"/>
  <c r="E25" i="9"/>
  <c r="E14" i="9"/>
  <c r="E146" i="9"/>
  <c r="E135" i="9"/>
  <c r="E124" i="9"/>
  <c r="E113" i="9"/>
  <c r="E102" i="9"/>
  <c r="E91" i="9"/>
  <c r="E69" i="9"/>
  <c r="E46" i="9"/>
  <c r="E35" i="9"/>
  <c r="E24" i="9"/>
  <c r="E13" i="9"/>
  <c r="E145" i="9"/>
  <c r="E101" i="9"/>
  <c r="E90" i="9"/>
  <c r="E45" i="9"/>
  <c r="E23" i="9"/>
  <c r="E133" i="9"/>
  <c r="E111" i="9"/>
  <c r="E66" i="9"/>
  <c r="E44" i="9"/>
  <c r="E132" i="9"/>
  <c r="E54" i="9"/>
  <c r="E32" i="9"/>
  <c r="E10" i="9"/>
  <c r="E131" i="9"/>
  <c r="E64" i="9"/>
  <c r="E85" i="9"/>
  <c r="E63" i="9"/>
  <c r="E19" i="9"/>
  <c r="E134" i="9"/>
  <c r="E144" i="9"/>
  <c r="E89" i="9"/>
  <c r="E33" i="9"/>
  <c r="E11" i="9"/>
  <c r="E143" i="9"/>
  <c r="E76" i="9"/>
  <c r="E43" i="9"/>
  <c r="E142" i="9"/>
  <c r="E42" i="9"/>
  <c r="E130" i="9"/>
  <c r="E52" i="9"/>
  <c r="E86" i="9"/>
  <c r="E20" i="9"/>
  <c r="E6" i="9"/>
  <c r="E140" i="9"/>
  <c r="E129" i="9"/>
  <c r="E106" i="9"/>
  <c r="E95" i="9"/>
  <c r="E84" i="9"/>
  <c r="E73" i="9"/>
  <c r="E62" i="9"/>
  <c r="E51" i="9"/>
  <c r="E40" i="9"/>
  <c r="E29" i="9"/>
  <c r="E5" i="9"/>
  <c r="Y63" i="7" a="1"/>
  <c r="Y63" i="7" s="1"/>
  <c r="Y62" i="7" a="1"/>
  <c r="Y62" i="7" s="1"/>
  <c r="S63" i="7" a="1"/>
  <c r="S63" i="7" s="1"/>
  <c r="S62" i="7" a="1"/>
  <c r="S62" i="7" s="1"/>
  <c r="S65" i="7" a="1"/>
  <c r="S65" i="7" s="1"/>
  <c r="Y65" i="7" a="1"/>
  <c r="Y65" i="7" s="1"/>
  <c r="Y64" i="7" a="1"/>
  <c r="Y64" i="7" s="1"/>
  <c r="S64" i="7" a="1"/>
  <c r="S64" i="7" s="1"/>
  <c r="Y56" i="7" a="1"/>
  <c r="Y56" i="7" s="1"/>
  <c r="S56" i="7" a="1"/>
  <c r="S56" i="7" s="1"/>
  <c r="Y55" i="7" a="1"/>
  <c r="Y55" i="7" s="1"/>
  <c r="S55" i="7" a="1"/>
  <c r="S55" i="7" s="1"/>
  <c r="Y54" i="7" a="1"/>
  <c r="Y54" i="7" s="1"/>
  <c r="S54" i="7" a="1"/>
  <c r="S54" i="7" s="1"/>
  <c r="Y51" i="7" a="1"/>
  <c r="Y51" i="7" s="1"/>
  <c r="S51" i="7" a="1"/>
  <c r="S51" i="7" s="1"/>
  <c r="Y49" i="7" a="1"/>
  <c r="Y49" i="7" s="1"/>
  <c r="S49" i="7" a="1"/>
  <c r="S49" i="7" s="1"/>
  <c r="Y48" i="7" a="1"/>
  <c r="Y48" i="7" s="1"/>
  <c r="S48" i="7" a="1"/>
  <c r="S48" i="7" s="1"/>
  <c r="Y46" i="7" a="1"/>
  <c r="Y46" i="7" s="1"/>
  <c r="S46" i="7" a="1"/>
  <c r="S46" i="7" s="1"/>
  <c r="Y42" i="7" a="1"/>
  <c r="Y42" i="7" s="1"/>
  <c r="S42" i="7" a="1"/>
  <c r="S42" i="7" s="1"/>
  <c r="Y41" i="7" a="1"/>
  <c r="Y41" i="7" s="1"/>
  <c r="S41" i="7" a="1"/>
  <c r="S41" i="7" s="1"/>
  <c r="Y40" i="7" a="1"/>
  <c r="Y40" i="7" s="1"/>
  <c r="S40" i="7" a="1"/>
  <c r="S40" i="7" s="1"/>
  <c r="Y38" i="7" a="1"/>
  <c r="Y38" i="7" s="1"/>
  <c r="S38" i="7" a="1"/>
  <c r="S38" i="7" s="1"/>
  <c r="Y36" i="7" a="1"/>
  <c r="Y36" i="7" s="1"/>
  <c r="S36" i="7" a="1"/>
  <c r="S36" i="7" s="1"/>
  <c r="Y30" i="7" a="1"/>
  <c r="Y30" i="7" s="1"/>
  <c r="S30" i="7" a="1"/>
  <c r="S30" i="7" s="1"/>
  <c r="Y28" i="7" a="1"/>
  <c r="Y28" i="7" s="1"/>
  <c r="S28" i="7" a="1"/>
  <c r="S28" i="7" s="1"/>
  <c r="Y27" i="7" a="1"/>
  <c r="Y27" i="7" s="1"/>
  <c r="S27" i="7" a="1"/>
  <c r="S27" i="7" s="1"/>
  <c r="Y24" i="7" a="1"/>
  <c r="Y24" i="7" s="1"/>
  <c r="S24" i="7" a="1"/>
  <c r="S24" i="7" s="1"/>
  <c r="AE13" i="7" a="1"/>
  <c r="AE13" i="7" s="1"/>
  <c r="U13" i="7"/>
  <c r="N62" i="7"/>
  <c r="N63" i="7"/>
  <c r="N64" i="7"/>
  <c r="N65" i="7"/>
  <c r="N10" i="7"/>
  <c r="N11" i="7"/>
  <c r="N27" i="7"/>
  <c r="N28" i="7"/>
  <c r="N29" i="7"/>
  <c r="N30" i="7"/>
  <c r="N31" i="7"/>
  <c r="N47" i="7"/>
  <c r="N48" i="7"/>
  <c r="N49" i="7"/>
  <c r="N50" i="7"/>
  <c r="N51" i="7"/>
  <c r="N16" i="7"/>
  <c r="N17" i="7"/>
  <c r="N35" i="7"/>
  <c r="N36" i="7"/>
  <c r="N37" i="7"/>
  <c r="N38" i="7"/>
  <c r="N55" i="7"/>
  <c r="N9" i="7"/>
  <c r="C21" i="6"/>
  <c r="C11" i="6"/>
  <c r="I5" i="9" l="1"/>
  <c r="N15" i="7"/>
  <c r="N20" i="7"/>
  <c r="N14" i="7"/>
  <c r="N19" i="7"/>
  <c r="N53" i="7"/>
  <c r="N33" i="7"/>
  <c r="N13" i="7"/>
  <c r="N52" i="7"/>
  <c r="N32" i="7"/>
  <c r="N12" i="7"/>
  <c r="N22" i="7"/>
  <c r="N40" i="7"/>
  <c r="N26" i="7"/>
  <c r="N34" i="7"/>
  <c r="N39" i="7"/>
  <c r="N25" i="7"/>
  <c r="N24" i="7"/>
  <c r="N41" i="7"/>
  <c r="N18" i="7"/>
  <c r="N45" i="7"/>
  <c r="N43" i="7"/>
  <c r="N54" i="7"/>
  <c r="N46" i="7"/>
  <c r="N42" i="7"/>
  <c r="N56" i="7"/>
  <c r="N44" i="7"/>
  <c r="N23" i="7"/>
  <c r="N21" i="7"/>
  <c r="AJ6" i="3" l="1"/>
  <c r="H9" i="7" s="1"/>
  <c r="AJ7" i="3"/>
  <c r="H10" i="7" s="1"/>
  <c r="AJ8" i="3"/>
  <c r="H11" i="7" s="1"/>
  <c r="AJ9" i="3"/>
  <c r="H12" i="7" s="1"/>
  <c r="AJ10" i="3"/>
  <c r="H13" i="7" s="1"/>
  <c r="AJ11" i="3"/>
  <c r="H14" i="7" s="1"/>
  <c r="AJ12" i="3"/>
  <c r="AJ13" i="3"/>
  <c r="AJ14" i="3"/>
  <c r="H15" i="7" s="1"/>
  <c r="AJ15" i="3"/>
  <c r="H16" i="7" s="1"/>
  <c r="AJ16" i="3"/>
  <c r="AJ17" i="3"/>
  <c r="H17" i="7" s="1"/>
  <c r="AJ18" i="3"/>
  <c r="H18" i="7" s="1"/>
  <c r="AJ19" i="3"/>
  <c r="H19" i="7" s="1"/>
  <c r="AJ20" i="3"/>
  <c r="H20" i="7" s="1"/>
  <c r="AJ21" i="3"/>
  <c r="AJ22" i="3"/>
  <c r="AJ23" i="3"/>
  <c r="H21" i="7" s="1"/>
  <c r="AJ24" i="3"/>
  <c r="AJ25" i="3"/>
  <c r="AJ26" i="3"/>
  <c r="AJ27" i="3"/>
  <c r="AJ28" i="3"/>
  <c r="AJ29" i="3"/>
  <c r="AJ30" i="3"/>
  <c r="H22" i="7" s="1"/>
  <c r="AJ31" i="3"/>
  <c r="AJ32" i="3"/>
  <c r="H23" i="7" s="1"/>
  <c r="AJ33" i="3"/>
  <c r="AJ34" i="3"/>
  <c r="H24" i="7" s="1"/>
  <c r="AJ35" i="3"/>
  <c r="AJ36" i="3"/>
  <c r="AJ37" i="3"/>
  <c r="H25" i="7" s="1"/>
  <c r="AJ38" i="3"/>
  <c r="AJ39" i="3"/>
  <c r="H26" i="7" s="1"/>
  <c r="AJ40" i="3"/>
  <c r="AJ41" i="3"/>
  <c r="AJ42" i="3"/>
  <c r="AJ43" i="3"/>
  <c r="AJ44" i="3"/>
  <c r="H27" i="7" s="1"/>
  <c r="AJ45" i="3"/>
  <c r="H28" i="7" s="1"/>
  <c r="AJ46" i="3"/>
  <c r="H29" i="7" s="1"/>
  <c r="AJ47" i="3"/>
  <c r="H30" i="7" s="1"/>
  <c r="AJ48" i="3"/>
  <c r="AJ49" i="3"/>
  <c r="H31" i="7" s="1"/>
  <c r="AJ50" i="3"/>
  <c r="AJ51" i="3"/>
  <c r="H32" i="7" s="1"/>
  <c r="AJ52" i="3"/>
  <c r="H33" i="7" s="1"/>
  <c r="AJ53" i="3"/>
  <c r="H34" i="7" s="1"/>
  <c r="AJ54" i="3"/>
  <c r="AJ55" i="3"/>
  <c r="H35" i="7" s="1"/>
  <c r="AJ56" i="3"/>
  <c r="H36" i="7" s="1"/>
  <c r="AJ57" i="3"/>
  <c r="H37" i="7" s="1"/>
  <c r="AJ58" i="3"/>
  <c r="AJ59" i="3"/>
  <c r="H38" i="7" s="1"/>
  <c r="AJ60" i="3"/>
  <c r="H39" i="7" s="1"/>
  <c r="AJ61" i="3"/>
  <c r="AJ62" i="3"/>
  <c r="AJ63" i="3"/>
  <c r="H40" i="7" s="1"/>
  <c r="AJ64" i="3"/>
  <c r="AJ65" i="3"/>
  <c r="H41" i="7" s="1"/>
  <c r="AJ66" i="3"/>
  <c r="AJ67" i="3"/>
  <c r="H42" i="7" s="1"/>
  <c r="AJ68" i="3"/>
  <c r="AJ69" i="3"/>
  <c r="AJ70" i="3"/>
  <c r="AJ71" i="3"/>
  <c r="AJ72" i="3"/>
  <c r="AJ73" i="3"/>
  <c r="H43" i="7" s="1"/>
  <c r="AJ74" i="3"/>
  <c r="H44" i="7" s="1"/>
  <c r="AJ75" i="3"/>
  <c r="H45" i="7" s="1"/>
  <c r="AJ76" i="3"/>
  <c r="AJ77" i="3"/>
  <c r="H46" i="7" s="1"/>
  <c r="AJ78" i="3"/>
  <c r="AJ79" i="3"/>
  <c r="AJ80" i="3"/>
  <c r="H47" i="7" s="1"/>
  <c r="AJ81" i="3"/>
  <c r="AJ82" i="3"/>
  <c r="AJ83" i="3"/>
  <c r="H48" i="7" s="1"/>
  <c r="AJ84" i="3"/>
  <c r="AJ85" i="3"/>
  <c r="H49" i="7" s="1"/>
  <c r="AJ86" i="3"/>
  <c r="AJ87" i="3"/>
  <c r="AJ88" i="3"/>
  <c r="AJ89" i="3"/>
  <c r="AJ90" i="3"/>
  <c r="AJ91" i="3"/>
  <c r="AJ92" i="3"/>
  <c r="AJ93" i="3"/>
  <c r="H50" i="7" s="1"/>
  <c r="AJ94" i="3"/>
  <c r="AJ95" i="3"/>
  <c r="AJ96" i="3"/>
  <c r="AJ97" i="3"/>
  <c r="AJ98" i="3"/>
  <c r="AJ99" i="3"/>
  <c r="AJ100" i="3"/>
  <c r="AJ101" i="3"/>
  <c r="AJ102" i="3"/>
  <c r="AJ103" i="3"/>
  <c r="H51" i="7" s="1"/>
  <c r="AJ104" i="3"/>
  <c r="AJ105" i="3"/>
  <c r="AJ106" i="3"/>
  <c r="AJ107" i="3"/>
  <c r="AJ108" i="3"/>
  <c r="H52" i="7" s="1"/>
  <c r="AJ109" i="3"/>
  <c r="AJ110" i="3"/>
  <c r="AJ111" i="3"/>
  <c r="AJ112" i="3"/>
  <c r="AJ113" i="3"/>
  <c r="AJ114" i="3"/>
  <c r="AJ115" i="3"/>
  <c r="AJ116" i="3"/>
  <c r="H53" i="7" s="1"/>
  <c r="AJ117" i="3"/>
  <c r="AJ118" i="3"/>
  <c r="H54" i="7" s="1"/>
  <c r="AJ119" i="3"/>
  <c r="AJ120" i="3"/>
  <c r="H55" i="7" s="1"/>
  <c r="AJ121" i="3"/>
  <c r="H56" i="7" s="1"/>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5"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H62" i="7" l="1"/>
  <c r="H63" i="7"/>
  <c r="H64" i="7"/>
  <c r="H65" i="7"/>
  <c r="AB24" i="3"/>
  <c r="AB7" i="3"/>
  <c r="AB8" i="3"/>
  <c r="AB30" i="3"/>
  <c r="AB23" i="3"/>
  <c r="AB224" i="3"/>
  <c r="AB225" i="3"/>
  <c r="AB42" i="3"/>
  <c r="AB74" i="3"/>
  <c r="AB145" i="3"/>
  <c r="AB11" i="3"/>
  <c r="AB46" i="3"/>
  <c r="AB121" i="3"/>
  <c r="AB45" i="3"/>
  <c r="AB63" i="3"/>
  <c r="AB18" i="3"/>
  <c r="AB80" i="3"/>
  <c r="AB67" i="3"/>
  <c r="AB66" i="3"/>
  <c r="AB124" i="3"/>
  <c r="AB150" i="3"/>
  <c r="AB164" i="3"/>
  <c r="AB199" i="3"/>
  <c r="AB44" i="3"/>
  <c r="AB185" i="3"/>
  <c r="AB55" i="3"/>
  <c r="AB156" i="3"/>
  <c r="AB144" i="3"/>
  <c r="AB140" i="3"/>
  <c r="AB167" i="3"/>
  <c r="AB159" i="3"/>
  <c r="AB175" i="3"/>
  <c r="AB183" i="3"/>
  <c r="AB221" i="3"/>
  <c r="AB131" i="3"/>
  <c r="AB88" i="3"/>
  <c r="AB10" i="3"/>
  <c r="AB77" i="3"/>
  <c r="AB93" i="3"/>
  <c r="AB178" i="3"/>
  <c r="AB105" i="3"/>
  <c r="AB94" i="3"/>
  <c r="AB198" i="3"/>
  <c r="AB34" i="3"/>
  <c r="AB59" i="3"/>
  <c r="AB104" i="3"/>
  <c r="AB69" i="3"/>
  <c r="AB165" i="3"/>
  <c r="AB226" i="3"/>
  <c r="AB209" i="3"/>
  <c r="AB70" i="3"/>
  <c r="AB171" i="3"/>
  <c r="AB194" i="3"/>
  <c r="AB33" i="3"/>
  <c r="AB129" i="3"/>
  <c r="AB202" i="3"/>
  <c r="AB211" i="3"/>
  <c r="AB117" i="3"/>
  <c r="AB149" i="3"/>
  <c r="AB148" i="3"/>
  <c r="AB89" i="3"/>
  <c r="AB29" i="3"/>
  <c r="AB108" i="3"/>
  <c r="AB40" i="3"/>
  <c r="AB107" i="3"/>
  <c r="AB227" i="3"/>
  <c r="AB128" i="3"/>
  <c r="AB228" i="3"/>
  <c r="AB106" i="3"/>
  <c r="AB52" i="3"/>
  <c r="AB134" i="3"/>
  <c r="AB168" i="3"/>
  <c r="AB82" i="3"/>
  <c r="AB113" i="3"/>
  <c r="AB83" i="3"/>
  <c r="AB176" i="3"/>
  <c r="AB120" i="3"/>
  <c r="AB158" i="3"/>
  <c r="AB143" i="3"/>
  <c r="AB182" i="3"/>
  <c r="AB222" i="3"/>
  <c r="AB151" i="3"/>
  <c r="AB123" i="3"/>
  <c r="AB223" i="3"/>
  <c r="AB229" i="3"/>
  <c r="AB75" i="3"/>
  <c r="AB166" i="3"/>
  <c r="AB200" i="3"/>
  <c r="AB91" i="3"/>
  <c r="AB19" i="3"/>
  <c r="AB86" i="3"/>
  <c r="AB61" i="3"/>
  <c r="AB79" i="3"/>
  <c r="AB101" i="3"/>
  <c r="AB170" i="3"/>
  <c r="AB132" i="3"/>
  <c r="AB103" i="3"/>
  <c r="AB162" i="3"/>
  <c r="AB169" i="3"/>
  <c r="AB56" i="3"/>
  <c r="AB204" i="3"/>
  <c r="AB163" i="3"/>
  <c r="AB174" i="3"/>
  <c r="AB152" i="3"/>
  <c r="AB172" i="3"/>
  <c r="AB230" i="3"/>
  <c r="AB119" i="3"/>
  <c r="AB231" i="3"/>
  <c r="AB72" i="3"/>
  <c r="AB213" i="3"/>
  <c r="AB220" i="3"/>
  <c r="AB181" i="3"/>
  <c r="AB184" i="3"/>
  <c r="AB73" i="3"/>
  <c r="AB203" i="3"/>
  <c r="AB127" i="3"/>
  <c r="AB206" i="3"/>
  <c r="AB137" i="3"/>
  <c r="AB48" i="3"/>
  <c r="AB191" i="3"/>
  <c r="AB97" i="3"/>
  <c r="AB102" i="3"/>
  <c r="AB232" i="3"/>
  <c r="AB96" i="3"/>
  <c r="AB233" i="3"/>
  <c r="AB190" i="3"/>
  <c r="AB157" i="3"/>
  <c r="AB210" i="3"/>
  <c r="AB115" i="3"/>
  <c r="AB87" i="3"/>
  <c r="AB142" i="3"/>
  <c r="AB160" i="3"/>
  <c r="AB133" i="3"/>
  <c r="AB49" i="3"/>
  <c r="AB186" i="3"/>
  <c r="AB125" i="3"/>
  <c r="AB110" i="3"/>
  <c r="AB201" i="3"/>
  <c r="AB234" i="3"/>
  <c r="AB208" i="3"/>
  <c r="AB235" i="3"/>
  <c r="AB219" i="3"/>
  <c r="AB177" i="3"/>
  <c r="AB218" i="3"/>
  <c r="AB78" i="3"/>
  <c r="AB47" i="3"/>
  <c r="AB147" i="3"/>
  <c r="AB195" i="3"/>
  <c r="AB197" i="3"/>
  <c r="AB187" i="3"/>
  <c r="AB189" i="3"/>
  <c r="AB216" i="3"/>
  <c r="AB205" i="3"/>
  <c r="AB214" i="3"/>
  <c r="AB215" i="3"/>
  <c r="AB161" i="3"/>
  <c r="AB25" i="3"/>
  <c r="AB192" i="3"/>
  <c r="AB180" i="3"/>
  <c r="AB118" i="3"/>
  <c r="AB98" i="3"/>
  <c r="AB217" i="3"/>
  <c r="AB236" i="3"/>
  <c r="AB193" i="3"/>
  <c r="AB53" i="3"/>
  <c r="AB37" i="3"/>
  <c r="AB153" i="3"/>
  <c r="AB237" i="3"/>
  <c r="AB212" i="3"/>
  <c r="AB100" i="3"/>
  <c r="AB207" i="3"/>
  <c r="AB112" i="3"/>
  <c r="AB76" i="3"/>
  <c r="AB81" i="3"/>
  <c r="AB188" i="3"/>
  <c r="AB90" i="3"/>
  <c r="AB126" i="3"/>
  <c r="AB54" i="3"/>
  <c r="AB28" i="3"/>
  <c r="AB12" i="3"/>
  <c r="AB179" i="3"/>
  <c r="AB5" i="3"/>
  <c r="AB13" i="3"/>
  <c r="AB41" i="3"/>
  <c r="AB92" i="3"/>
  <c r="AB17" i="3"/>
  <c r="AB15" i="3"/>
  <c r="AB9" i="3"/>
  <c r="AB85" i="3"/>
  <c r="AB27" i="3"/>
  <c r="AB32" i="3"/>
  <c r="AB39" i="3"/>
  <c r="AB139" i="3"/>
  <c r="AB60" i="3"/>
  <c r="AB64" i="3"/>
  <c r="AB14" i="3"/>
  <c r="AB114" i="3"/>
  <c r="AB65" i="3"/>
  <c r="AB99" i="3"/>
  <c r="AB155" i="3"/>
  <c r="AB173" i="3"/>
  <c r="AB116" i="3"/>
  <c r="AB35" i="3"/>
  <c r="AB136" i="3"/>
  <c r="AB68" i="3"/>
  <c r="AB43" i="3"/>
  <c r="AB122" i="3"/>
  <c r="AB20" i="3"/>
  <c r="AB57" i="3"/>
  <c r="AB84" i="3"/>
  <c r="AB141" i="3"/>
  <c r="AB36" i="3"/>
  <c r="AB6" i="3"/>
  <c r="AB22" i="3"/>
  <c r="AB51" i="3"/>
  <c r="AB130" i="3"/>
  <c r="AB111" i="3"/>
  <c r="AB154" i="3"/>
  <c r="AB16" i="3"/>
  <c r="AB26" i="3"/>
  <c r="AB109" i="3"/>
  <c r="AB21" i="3"/>
  <c r="AB62" i="3"/>
  <c r="AB38" i="3"/>
  <c r="AB50" i="3"/>
  <c r="AB31" i="3"/>
  <c r="AB58" i="3"/>
  <c r="AB71" i="3"/>
  <c r="AB238" i="3"/>
  <c r="AB196" i="3"/>
  <c r="AB95" i="3"/>
  <c r="AB146" i="3"/>
  <c r="AB239" i="3"/>
  <c r="AB138" i="3"/>
  <c r="AB135" i="3"/>
  <c r="AD24" i="3"/>
  <c r="AD7" i="3"/>
  <c r="F10" i="7" s="1"/>
  <c r="G10" i="7" s="1"/>
  <c r="AD8" i="3"/>
  <c r="F11" i="7" s="1"/>
  <c r="G11" i="7" s="1"/>
  <c r="AD30" i="3"/>
  <c r="F22" i="7" s="1"/>
  <c r="G22" i="7" s="1"/>
  <c r="AD23" i="3"/>
  <c r="F21" i="7" s="1"/>
  <c r="G21" i="7" s="1"/>
  <c r="AD224" i="3"/>
  <c r="AD225" i="3"/>
  <c r="AD42" i="3"/>
  <c r="AD74" i="3"/>
  <c r="F44" i="7" s="1"/>
  <c r="G44" i="7" s="1"/>
  <c r="AD145" i="3"/>
  <c r="AD11" i="3"/>
  <c r="F14" i="7" s="1"/>
  <c r="G14" i="7" s="1"/>
  <c r="AD46" i="3"/>
  <c r="F29" i="7" s="1"/>
  <c r="G29" i="7" s="1"/>
  <c r="AD121" i="3"/>
  <c r="F56" i="7" s="1"/>
  <c r="G56" i="7" s="1"/>
  <c r="AD45" i="3"/>
  <c r="F28" i="7" s="1"/>
  <c r="G28" i="7" s="1"/>
  <c r="AD63" i="3"/>
  <c r="F40" i="7" s="1"/>
  <c r="G40" i="7" s="1"/>
  <c r="AD18" i="3"/>
  <c r="F18" i="7" s="1"/>
  <c r="G18" i="7" s="1"/>
  <c r="AD80" i="3"/>
  <c r="F47" i="7" s="1"/>
  <c r="G47" i="7" s="1"/>
  <c r="AD67" i="3"/>
  <c r="F42" i="7" s="1"/>
  <c r="G42" i="7" s="1"/>
  <c r="AD66" i="3"/>
  <c r="AD124" i="3"/>
  <c r="AD150" i="3"/>
  <c r="AD164" i="3"/>
  <c r="AD199" i="3"/>
  <c r="AD44" i="3"/>
  <c r="F27" i="7" s="1"/>
  <c r="G27" i="7" s="1"/>
  <c r="AD185" i="3"/>
  <c r="AD55" i="3"/>
  <c r="F35" i="7" s="1"/>
  <c r="G35" i="7" s="1"/>
  <c r="AD156" i="3"/>
  <c r="AD144" i="3"/>
  <c r="AD140" i="3"/>
  <c r="AD167" i="3"/>
  <c r="AD159" i="3"/>
  <c r="AD175" i="3"/>
  <c r="AD183" i="3"/>
  <c r="AD221" i="3"/>
  <c r="AD131" i="3"/>
  <c r="AD88" i="3"/>
  <c r="AD10" i="3"/>
  <c r="F13" i="7" s="1"/>
  <c r="G13" i="7" s="1"/>
  <c r="AD77" i="3"/>
  <c r="F46" i="7" s="1"/>
  <c r="G46" i="7" s="1"/>
  <c r="AD93" i="3"/>
  <c r="F50" i="7" s="1"/>
  <c r="G50" i="7" s="1"/>
  <c r="AD178" i="3"/>
  <c r="AD105" i="3"/>
  <c r="AD94" i="3"/>
  <c r="AD198" i="3"/>
  <c r="AD34" i="3"/>
  <c r="F24" i="7" s="1"/>
  <c r="G24" i="7" s="1"/>
  <c r="AD59" i="3"/>
  <c r="F38" i="7" s="1"/>
  <c r="G38" i="7" s="1"/>
  <c r="AD104" i="3"/>
  <c r="AD69" i="3"/>
  <c r="AD165" i="3"/>
  <c r="AD226" i="3"/>
  <c r="AD209" i="3"/>
  <c r="AD70" i="3"/>
  <c r="AD171" i="3"/>
  <c r="AD194" i="3"/>
  <c r="AD33" i="3"/>
  <c r="AD129" i="3"/>
  <c r="AD202" i="3"/>
  <c r="AD211" i="3"/>
  <c r="AD117" i="3"/>
  <c r="AD149" i="3"/>
  <c r="AD148" i="3"/>
  <c r="AD89" i="3"/>
  <c r="AD29" i="3"/>
  <c r="AD108" i="3"/>
  <c r="F52" i="7" s="1"/>
  <c r="G52" i="7" s="1"/>
  <c r="AD40" i="3"/>
  <c r="AD107" i="3"/>
  <c r="AD227" i="3"/>
  <c r="AD128" i="3"/>
  <c r="AD228" i="3"/>
  <c r="AD106" i="3"/>
  <c r="AD52" i="3"/>
  <c r="F33" i="7" s="1"/>
  <c r="G33" i="7" s="1"/>
  <c r="AD134" i="3"/>
  <c r="AD168" i="3"/>
  <c r="AD82" i="3"/>
  <c r="AD113" i="3"/>
  <c r="AD83" i="3"/>
  <c r="F48" i="7" s="1"/>
  <c r="G48" i="7" s="1"/>
  <c r="AD176" i="3"/>
  <c r="AD120" i="3"/>
  <c r="F55" i="7" s="1"/>
  <c r="G55" i="7" s="1"/>
  <c r="AD158" i="3"/>
  <c r="AD143" i="3"/>
  <c r="AD182" i="3"/>
  <c r="AD222" i="3"/>
  <c r="AD151" i="3"/>
  <c r="AD123" i="3"/>
  <c r="AD223" i="3"/>
  <c r="AD229" i="3"/>
  <c r="AD75" i="3"/>
  <c r="F45" i="7" s="1"/>
  <c r="G45" i="7" s="1"/>
  <c r="AD166" i="3"/>
  <c r="AD200" i="3"/>
  <c r="AD91" i="3"/>
  <c r="AD19" i="3"/>
  <c r="F19" i="7" s="1"/>
  <c r="G19" i="7" s="1"/>
  <c r="AD86" i="3"/>
  <c r="AD61" i="3"/>
  <c r="AD79" i="3"/>
  <c r="AD101" i="3"/>
  <c r="AD170" i="3"/>
  <c r="AD132" i="3"/>
  <c r="AD103" i="3"/>
  <c r="F51" i="7" s="1"/>
  <c r="G51" i="7" s="1"/>
  <c r="AD162" i="3"/>
  <c r="AD169" i="3"/>
  <c r="AD56" i="3"/>
  <c r="F36" i="7" s="1"/>
  <c r="G36" i="7" s="1"/>
  <c r="AD204" i="3"/>
  <c r="AD163" i="3"/>
  <c r="AD174" i="3"/>
  <c r="AD152" i="3"/>
  <c r="AD172" i="3"/>
  <c r="AD230" i="3"/>
  <c r="AD119" i="3"/>
  <c r="AD231" i="3"/>
  <c r="AD72" i="3"/>
  <c r="AD213" i="3"/>
  <c r="AD220" i="3"/>
  <c r="AD181" i="3"/>
  <c r="AD184" i="3"/>
  <c r="AD73" i="3"/>
  <c r="F43" i="7" s="1"/>
  <c r="G43" i="7" s="1"/>
  <c r="AD203" i="3"/>
  <c r="AD127" i="3"/>
  <c r="AD206" i="3"/>
  <c r="AD137" i="3"/>
  <c r="AD48" i="3"/>
  <c r="C32" i="6" s="1"/>
  <c r="AD191" i="3"/>
  <c r="AD97" i="3"/>
  <c r="AD102" i="3"/>
  <c r="AD232" i="3"/>
  <c r="AD96" i="3"/>
  <c r="AD233" i="3"/>
  <c r="AD190" i="3"/>
  <c r="AD157" i="3"/>
  <c r="AD210" i="3"/>
  <c r="AD115" i="3"/>
  <c r="AD87" i="3"/>
  <c r="AD142" i="3"/>
  <c r="AD160" i="3"/>
  <c r="AD133" i="3"/>
  <c r="AD49" i="3"/>
  <c r="F31" i="7" s="1"/>
  <c r="G31" i="7" s="1"/>
  <c r="AD186" i="3"/>
  <c r="AD125" i="3"/>
  <c r="AD110" i="3"/>
  <c r="AD201" i="3"/>
  <c r="AD234" i="3"/>
  <c r="AD208" i="3"/>
  <c r="AD235" i="3"/>
  <c r="AD219" i="3"/>
  <c r="AD177" i="3"/>
  <c r="AD218" i="3"/>
  <c r="AD78" i="3"/>
  <c r="AD47" i="3"/>
  <c r="F30" i="7" s="1"/>
  <c r="G30" i="7" s="1"/>
  <c r="AD147" i="3"/>
  <c r="AD195" i="3"/>
  <c r="AD197" i="3"/>
  <c r="AD187" i="3"/>
  <c r="AD189" i="3"/>
  <c r="AD216" i="3"/>
  <c r="AD205" i="3"/>
  <c r="AD214" i="3"/>
  <c r="AD215" i="3"/>
  <c r="AD161" i="3"/>
  <c r="AD25" i="3"/>
  <c r="AD192" i="3"/>
  <c r="AD180" i="3"/>
  <c r="AD118" i="3"/>
  <c r="F54" i="7" s="1"/>
  <c r="G54" i="7" s="1"/>
  <c r="AD98" i="3"/>
  <c r="AD217" i="3"/>
  <c r="AD236" i="3"/>
  <c r="AD193" i="3"/>
  <c r="AD53" i="3"/>
  <c r="F34" i="7" s="1"/>
  <c r="G34" i="7" s="1"/>
  <c r="AD37" i="3"/>
  <c r="F25" i="7" s="1"/>
  <c r="G25" i="7" s="1"/>
  <c r="AD153" i="3"/>
  <c r="AD237" i="3"/>
  <c r="AD212" i="3"/>
  <c r="AD100" i="3"/>
  <c r="AD207" i="3"/>
  <c r="AD112" i="3"/>
  <c r="AD76" i="3"/>
  <c r="AD81" i="3"/>
  <c r="AD188" i="3"/>
  <c r="AD90" i="3"/>
  <c r="AD126" i="3"/>
  <c r="AD54" i="3"/>
  <c r="AD28" i="3"/>
  <c r="AD12" i="3"/>
  <c r="AD179" i="3"/>
  <c r="AD5" i="3"/>
  <c r="AD13" i="3"/>
  <c r="AD41" i="3"/>
  <c r="AD92" i="3"/>
  <c r="AD17" i="3"/>
  <c r="F17" i="7" s="1"/>
  <c r="G17" i="7" s="1"/>
  <c r="AD15" i="3"/>
  <c r="F16" i="7" s="1"/>
  <c r="G16" i="7" s="1"/>
  <c r="AD9" i="3"/>
  <c r="F12" i="7" s="1"/>
  <c r="G12" i="7" s="1"/>
  <c r="AD85" i="3"/>
  <c r="F49" i="7" s="1"/>
  <c r="G49" i="7" s="1"/>
  <c r="AD27" i="3"/>
  <c r="AD32" i="3"/>
  <c r="F23" i="7" s="1"/>
  <c r="G23" i="7" s="1"/>
  <c r="AD39" i="3"/>
  <c r="F26" i="7" s="1"/>
  <c r="G26" i="7" s="1"/>
  <c r="AD139" i="3"/>
  <c r="AD60" i="3"/>
  <c r="F39" i="7" s="1"/>
  <c r="G39" i="7" s="1"/>
  <c r="AD64" i="3"/>
  <c r="AD14" i="3"/>
  <c r="F15" i="7" s="1"/>
  <c r="G15" i="7" s="1"/>
  <c r="AD114" i="3"/>
  <c r="AD65" i="3"/>
  <c r="F41" i="7" s="1"/>
  <c r="G41" i="7" s="1"/>
  <c r="AD99" i="3"/>
  <c r="AD155" i="3"/>
  <c r="AD173" i="3"/>
  <c r="AD116" i="3"/>
  <c r="F53" i="7" s="1"/>
  <c r="G53" i="7" s="1"/>
  <c r="AD35" i="3"/>
  <c r="AD136" i="3"/>
  <c r="AD68" i="3"/>
  <c r="AD43" i="3"/>
  <c r="AD122" i="3"/>
  <c r="AD20" i="3"/>
  <c r="F20" i="7" s="1"/>
  <c r="G20" i="7" s="1"/>
  <c r="AD57" i="3"/>
  <c r="F37" i="7" s="1"/>
  <c r="G37" i="7" s="1"/>
  <c r="AD84" i="3"/>
  <c r="AD141" i="3"/>
  <c r="AD36" i="3"/>
  <c r="AD6" i="3"/>
  <c r="F9" i="7" s="1"/>
  <c r="G9" i="7" s="1"/>
  <c r="AD22" i="3"/>
  <c r="AD51" i="3"/>
  <c r="F32" i="7" s="1"/>
  <c r="G32" i="7" s="1"/>
  <c r="AD130" i="3"/>
  <c r="AD111" i="3"/>
  <c r="AD154" i="3"/>
  <c r="AD16" i="3"/>
  <c r="AD26" i="3"/>
  <c r="C6" i="6" s="1"/>
  <c r="AD109" i="3"/>
  <c r="AD21" i="3"/>
  <c r="AD62" i="3"/>
  <c r="AD38" i="3"/>
  <c r="AD50" i="3"/>
  <c r="AD31" i="3"/>
  <c r="AD58" i="3"/>
  <c r="AD71" i="3"/>
  <c r="AD238" i="3"/>
  <c r="AD196" i="3"/>
  <c r="AD95" i="3"/>
  <c r="AD146" i="3"/>
  <c r="AD239" i="3"/>
  <c r="AD138" i="3"/>
  <c r="AD135" i="3"/>
  <c r="AF24" i="3"/>
  <c r="AF7" i="3"/>
  <c r="AF8" i="3"/>
  <c r="AF30" i="3"/>
  <c r="AF23" i="3"/>
  <c r="AF224" i="3"/>
  <c r="AF225" i="3"/>
  <c r="AF42" i="3"/>
  <c r="AF74" i="3"/>
  <c r="AF145" i="3"/>
  <c r="AF11" i="3"/>
  <c r="AF46" i="3"/>
  <c r="AF121" i="3"/>
  <c r="AF45" i="3"/>
  <c r="AF63" i="3"/>
  <c r="AF18" i="3"/>
  <c r="AF80" i="3"/>
  <c r="AF67" i="3"/>
  <c r="AF66" i="3"/>
  <c r="AF124" i="3"/>
  <c r="AF150" i="3"/>
  <c r="AF164" i="3"/>
  <c r="AF199" i="3"/>
  <c r="AF44" i="3"/>
  <c r="AF185" i="3"/>
  <c r="AF55" i="3"/>
  <c r="AF156" i="3"/>
  <c r="AF144" i="3"/>
  <c r="AF140" i="3"/>
  <c r="AF167" i="3"/>
  <c r="AF159" i="3"/>
  <c r="AF175" i="3"/>
  <c r="AF183" i="3"/>
  <c r="AF221" i="3"/>
  <c r="AF131" i="3"/>
  <c r="AF88" i="3"/>
  <c r="AF10" i="3"/>
  <c r="AF77" i="3"/>
  <c r="AF93" i="3"/>
  <c r="AF178" i="3"/>
  <c r="AF105" i="3"/>
  <c r="AF94" i="3"/>
  <c r="AF198" i="3"/>
  <c r="AF34" i="3"/>
  <c r="AF59" i="3"/>
  <c r="AF104" i="3"/>
  <c r="AF69" i="3"/>
  <c r="AF165" i="3"/>
  <c r="AF226" i="3"/>
  <c r="AF209" i="3"/>
  <c r="AF70" i="3"/>
  <c r="AF171" i="3"/>
  <c r="AF194" i="3"/>
  <c r="AF33" i="3"/>
  <c r="AF129" i="3"/>
  <c r="AF202" i="3"/>
  <c r="AF211" i="3"/>
  <c r="AF117" i="3"/>
  <c r="AF149" i="3"/>
  <c r="AF148" i="3"/>
  <c r="AF89" i="3"/>
  <c r="AF29" i="3"/>
  <c r="AF108" i="3"/>
  <c r="AF40" i="3"/>
  <c r="AF107" i="3"/>
  <c r="AF227" i="3"/>
  <c r="AF128" i="3"/>
  <c r="AF228" i="3"/>
  <c r="AF106" i="3"/>
  <c r="AF52" i="3"/>
  <c r="AF134" i="3"/>
  <c r="AF168" i="3"/>
  <c r="AF82" i="3"/>
  <c r="AF113" i="3"/>
  <c r="AF83" i="3"/>
  <c r="AF176" i="3"/>
  <c r="AF120" i="3"/>
  <c r="AF158" i="3"/>
  <c r="AF143" i="3"/>
  <c r="AF182" i="3"/>
  <c r="AF222" i="3"/>
  <c r="AF151" i="3"/>
  <c r="AF123" i="3"/>
  <c r="AF223" i="3"/>
  <c r="AF229" i="3"/>
  <c r="AF75" i="3"/>
  <c r="AF166" i="3"/>
  <c r="AF200" i="3"/>
  <c r="AF91" i="3"/>
  <c r="AF19" i="3"/>
  <c r="AF86" i="3"/>
  <c r="AF61" i="3"/>
  <c r="AF79" i="3"/>
  <c r="AF101" i="3"/>
  <c r="AF170" i="3"/>
  <c r="AF132" i="3"/>
  <c r="AF103" i="3"/>
  <c r="AF162" i="3"/>
  <c r="AF169" i="3"/>
  <c r="AF56" i="3"/>
  <c r="AF204" i="3"/>
  <c r="AF163" i="3"/>
  <c r="AF174" i="3"/>
  <c r="AF152" i="3"/>
  <c r="AF172" i="3"/>
  <c r="AF230" i="3"/>
  <c r="AF119" i="3"/>
  <c r="AF231" i="3"/>
  <c r="AF72" i="3"/>
  <c r="AF213" i="3"/>
  <c r="AF220" i="3"/>
  <c r="AF181" i="3"/>
  <c r="AF184" i="3"/>
  <c r="AF73" i="3"/>
  <c r="AF203" i="3"/>
  <c r="AF127" i="3"/>
  <c r="AF206" i="3"/>
  <c r="AF137" i="3"/>
  <c r="AF48" i="3"/>
  <c r="AF191" i="3"/>
  <c r="AF97" i="3"/>
  <c r="AF102" i="3"/>
  <c r="AF232" i="3"/>
  <c r="AF96" i="3"/>
  <c r="AF233" i="3"/>
  <c r="AF190" i="3"/>
  <c r="AF157" i="3"/>
  <c r="AF210" i="3"/>
  <c r="AF115" i="3"/>
  <c r="AF87" i="3"/>
  <c r="AF142" i="3"/>
  <c r="AF160" i="3"/>
  <c r="AF133" i="3"/>
  <c r="AF49" i="3"/>
  <c r="AF186" i="3"/>
  <c r="AF125" i="3"/>
  <c r="AF110" i="3"/>
  <c r="AF201" i="3"/>
  <c r="AF234" i="3"/>
  <c r="AF208" i="3"/>
  <c r="AF235" i="3"/>
  <c r="AF219" i="3"/>
  <c r="AF177" i="3"/>
  <c r="AF218" i="3"/>
  <c r="AF78" i="3"/>
  <c r="AF47" i="3"/>
  <c r="AF147" i="3"/>
  <c r="AF195" i="3"/>
  <c r="AF197" i="3"/>
  <c r="AF187" i="3"/>
  <c r="AF189" i="3"/>
  <c r="AF216" i="3"/>
  <c r="AF205" i="3"/>
  <c r="AF214" i="3"/>
  <c r="AF215" i="3"/>
  <c r="AF161" i="3"/>
  <c r="AF25" i="3"/>
  <c r="AF192" i="3"/>
  <c r="AF180" i="3"/>
  <c r="AF118" i="3"/>
  <c r="AF98" i="3"/>
  <c r="AF217" i="3"/>
  <c r="AF236" i="3"/>
  <c r="AF193" i="3"/>
  <c r="AF53" i="3"/>
  <c r="AF37" i="3"/>
  <c r="AF153" i="3"/>
  <c r="AF237" i="3"/>
  <c r="AF212" i="3"/>
  <c r="AF100" i="3"/>
  <c r="AF207" i="3"/>
  <c r="AF112" i="3"/>
  <c r="AF76" i="3"/>
  <c r="AF81" i="3"/>
  <c r="AF188" i="3"/>
  <c r="AF90" i="3"/>
  <c r="AF126" i="3"/>
  <c r="AF54" i="3"/>
  <c r="AF28" i="3"/>
  <c r="AF12" i="3"/>
  <c r="AF179" i="3"/>
  <c r="AF5" i="3"/>
  <c r="AF13" i="3"/>
  <c r="AF41" i="3"/>
  <c r="AF92" i="3"/>
  <c r="AF17" i="3"/>
  <c r="AF15" i="3"/>
  <c r="AF9" i="3"/>
  <c r="AF85" i="3"/>
  <c r="AF27" i="3"/>
  <c r="AF32" i="3"/>
  <c r="AF39" i="3"/>
  <c r="AF139" i="3"/>
  <c r="AF60" i="3"/>
  <c r="AF64" i="3"/>
  <c r="AF14" i="3"/>
  <c r="AF114" i="3"/>
  <c r="AF65" i="3"/>
  <c r="AF99" i="3"/>
  <c r="AF155" i="3"/>
  <c r="AF173" i="3"/>
  <c r="AF116" i="3"/>
  <c r="AF35" i="3"/>
  <c r="AF136" i="3"/>
  <c r="AF68" i="3"/>
  <c r="AF43" i="3"/>
  <c r="AF122" i="3"/>
  <c r="AF20" i="3"/>
  <c r="AF57" i="3"/>
  <c r="AF84" i="3"/>
  <c r="AF141" i="3"/>
  <c r="AF36" i="3"/>
  <c r="AF6" i="3"/>
  <c r="AF22" i="3"/>
  <c r="AF51" i="3"/>
  <c r="AF130" i="3"/>
  <c r="AF111" i="3"/>
  <c r="AF154" i="3"/>
  <c r="AF16" i="3"/>
  <c r="AF26" i="3"/>
  <c r="AF109" i="3"/>
  <c r="AF21" i="3"/>
  <c r="AF62" i="3"/>
  <c r="AF38" i="3"/>
  <c r="AF50" i="3"/>
  <c r="AF31" i="3"/>
  <c r="AF58" i="3"/>
  <c r="AF71" i="3"/>
  <c r="AF238" i="3"/>
  <c r="AF196" i="3"/>
  <c r="AF95" i="3"/>
  <c r="AF146" i="3"/>
  <c r="AF239" i="3"/>
  <c r="AF138" i="3"/>
  <c r="AF135" i="3"/>
  <c r="AH24" i="3"/>
  <c r="AH7" i="3"/>
  <c r="AH8" i="3"/>
  <c r="AH30" i="3"/>
  <c r="AH23" i="3"/>
  <c r="AH224" i="3"/>
  <c r="AH225" i="3"/>
  <c r="AH42" i="3"/>
  <c r="AH74" i="3"/>
  <c r="AH145" i="3"/>
  <c r="AH11" i="3"/>
  <c r="AH46" i="3"/>
  <c r="AH121" i="3"/>
  <c r="AH45" i="3"/>
  <c r="AH63" i="3"/>
  <c r="AH18" i="3"/>
  <c r="AH80" i="3"/>
  <c r="AH67" i="3"/>
  <c r="AH66" i="3"/>
  <c r="AH124" i="3"/>
  <c r="AH150" i="3"/>
  <c r="AH164" i="3"/>
  <c r="AH199" i="3"/>
  <c r="AH44" i="3"/>
  <c r="AH185" i="3"/>
  <c r="AH55" i="3"/>
  <c r="AH156" i="3"/>
  <c r="AH144" i="3"/>
  <c r="AH140" i="3"/>
  <c r="AH167" i="3"/>
  <c r="AH159" i="3"/>
  <c r="AH175" i="3"/>
  <c r="AH183" i="3"/>
  <c r="AH221" i="3"/>
  <c r="AH131" i="3"/>
  <c r="AH88" i="3"/>
  <c r="AH10" i="3"/>
  <c r="AH77" i="3"/>
  <c r="AH93" i="3"/>
  <c r="AH178" i="3"/>
  <c r="AH105" i="3"/>
  <c r="AH94" i="3"/>
  <c r="AH198" i="3"/>
  <c r="AH34" i="3"/>
  <c r="AH59" i="3"/>
  <c r="AH104" i="3"/>
  <c r="AH69" i="3"/>
  <c r="AH165" i="3"/>
  <c r="AH226" i="3"/>
  <c r="AH209" i="3"/>
  <c r="AH70" i="3"/>
  <c r="AH171" i="3"/>
  <c r="AH194" i="3"/>
  <c r="AH33" i="3"/>
  <c r="AH129" i="3"/>
  <c r="AH202" i="3"/>
  <c r="AH211" i="3"/>
  <c r="AH117" i="3"/>
  <c r="AH149" i="3"/>
  <c r="AH148" i="3"/>
  <c r="AH89" i="3"/>
  <c r="AH29" i="3"/>
  <c r="AH108" i="3"/>
  <c r="AH40" i="3"/>
  <c r="AH107" i="3"/>
  <c r="AH227" i="3"/>
  <c r="AH128" i="3"/>
  <c r="AH228" i="3"/>
  <c r="AH106" i="3"/>
  <c r="AH52" i="3"/>
  <c r="AH134" i="3"/>
  <c r="AH168" i="3"/>
  <c r="AH82" i="3"/>
  <c r="AH113" i="3"/>
  <c r="AH83" i="3"/>
  <c r="AH176" i="3"/>
  <c r="AH120" i="3"/>
  <c r="AH158" i="3"/>
  <c r="AH143" i="3"/>
  <c r="AH182" i="3"/>
  <c r="AH222" i="3"/>
  <c r="AH151" i="3"/>
  <c r="AH123" i="3"/>
  <c r="AH223" i="3"/>
  <c r="AH229" i="3"/>
  <c r="AH75" i="3"/>
  <c r="AH166" i="3"/>
  <c r="AH200" i="3"/>
  <c r="AH91" i="3"/>
  <c r="AH19" i="3"/>
  <c r="AH86" i="3"/>
  <c r="AH61" i="3"/>
  <c r="AH79" i="3"/>
  <c r="AH101" i="3"/>
  <c r="AH170" i="3"/>
  <c r="AH132" i="3"/>
  <c r="AH103" i="3"/>
  <c r="AH162" i="3"/>
  <c r="AH169" i="3"/>
  <c r="AH56" i="3"/>
  <c r="AH204" i="3"/>
  <c r="AH163" i="3"/>
  <c r="AH174" i="3"/>
  <c r="AH152" i="3"/>
  <c r="AH172" i="3"/>
  <c r="AH230" i="3"/>
  <c r="AH119" i="3"/>
  <c r="AH231" i="3"/>
  <c r="AH72" i="3"/>
  <c r="AH213" i="3"/>
  <c r="AH220" i="3"/>
  <c r="AH181" i="3"/>
  <c r="AH184" i="3"/>
  <c r="AH73" i="3"/>
  <c r="AH203" i="3"/>
  <c r="AH127" i="3"/>
  <c r="AH206" i="3"/>
  <c r="AH137" i="3"/>
  <c r="AH48" i="3"/>
  <c r="AH191" i="3"/>
  <c r="AH97" i="3"/>
  <c r="AH102" i="3"/>
  <c r="AH232" i="3"/>
  <c r="AH96" i="3"/>
  <c r="AH233" i="3"/>
  <c r="AH190" i="3"/>
  <c r="AH157" i="3"/>
  <c r="AH210" i="3"/>
  <c r="AH115" i="3"/>
  <c r="AH87" i="3"/>
  <c r="AH142" i="3"/>
  <c r="AH160" i="3"/>
  <c r="AH133" i="3"/>
  <c r="AH49" i="3"/>
  <c r="AH186" i="3"/>
  <c r="AH125" i="3"/>
  <c r="AH110" i="3"/>
  <c r="AH201" i="3"/>
  <c r="AH234" i="3"/>
  <c r="AH208" i="3"/>
  <c r="AH235" i="3"/>
  <c r="AH219" i="3"/>
  <c r="AH177" i="3"/>
  <c r="AH218" i="3"/>
  <c r="AH78" i="3"/>
  <c r="AH47" i="3"/>
  <c r="AH147" i="3"/>
  <c r="AH195" i="3"/>
  <c r="AH197" i="3"/>
  <c r="AH187" i="3"/>
  <c r="AH189" i="3"/>
  <c r="AH216" i="3"/>
  <c r="AH205" i="3"/>
  <c r="AH214" i="3"/>
  <c r="AH215" i="3"/>
  <c r="AH161" i="3"/>
  <c r="AH25" i="3"/>
  <c r="AH192" i="3"/>
  <c r="AH180" i="3"/>
  <c r="AH118" i="3"/>
  <c r="AH98" i="3"/>
  <c r="AH217" i="3"/>
  <c r="AH236" i="3"/>
  <c r="AH193" i="3"/>
  <c r="AH53" i="3"/>
  <c r="AH37" i="3"/>
  <c r="AH153" i="3"/>
  <c r="AH237" i="3"/>
  <c r="AH212" i="3"/>
  <c r="AH100" i="3"/>
  <c r="AH207" i="3"/>
  <c r="AH112" i="3"/>
  <c r="AH76" i="3"/>
  <c r="AH81" i="3"/>
  <c r="AH188" i="3"/>
  <c r="AH90" i="3"/>
  <c r="AH126" i="3"/>
  <c r="AH54" i="3"/>
  <c r="AH28" i="3"/>
  <c r="AH12" i="3"/>
  <c r="AH179" i="3"/>
  <c r="AH5" i="3"/>
  <c r="AH13" i="3"/>
  <c r="AH41" i="3"/>
  <c r="AH92" i="3"/>
  <c r="AH17" i="3"/>
  <c r="AH15" i="3"/>
  <c r="AH9" i="3"/>
  <c r="AH85" i="3"/>
  <c r="AH27" i="3"/>
  <c r="AH32" i="3"/>
  <c r="AH39" i="3"/>
  <c r="AH139" i="3"/>
  <c r="AH60" i="3"/>
  <c r="AH64" i="3"/>
  <c r="AH14" i="3"/>
  <c r="AH114" i="3"/>
  <c r="AH65" i="3"/>
  <c r="AH99" i="3"/>
  <c r="AH155" i="3"/>
  <c r="AH173" i="3"/>
  <c r="AH116" i="3"/>
  <c r="AH35" i="3"/>
  <c r="AH136" i="3"/>
  <c r="AH68" i="3"/>
  <c r="AH43" i="3"/>
  <c r="AH122" i="3"/>
  <c r="AH20" i="3"/>
  <c r="AH57" i="3"/>
  <c r="AH84" i="3"/>
  <c r="AH141" i="3"/>
  <c r="AH36" i="3"/>
  <c r="AH6" i="3"/>
  <c r="AH22" i="3"/>
  <c r="AH51" i="3"/>
  <c r="AH130" i="3"/>
  <c r="AH111" i="3"/>
  <c r="AH154" i="3"/>
  <c r="AH16" i="3"/>
  <c r="AH26" i="3"/>
  <c r="AH109" i="3"/>
  <c r="AH21" i="3"/>
  <c r="AH62" i="3"/>
  <c r="AH38" i="3"/>
  <c r="AH50" i="3"/>
  <c r="AH31" i="3"/>
  <c r="AH58" i="3"/>
  <c r="AH71" i="3"/>
  <c r="AH238" i="3"/>
  <c r="AH196" i="3"/>
  <c r="AH95" i="3"/>
  <c r="AH146" i="3"/>
  <c r="AH239" i="3"/>
  <c r="AH138" i="3"/>
  <c r="AH135" i="3"/>
  <c r="F63" i="7" l="1"/>
  <c r="G63" i="7" s="1"/>
  <c r="F62" i="7"/>
  <c r="G62" i="7" s="1"/>
  <c r="G64" i="7"/>
  <c r="G6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X9" authorId="0" shapeId="0" xr:uid="{4DDA655F-A03F-4A8A-9FBE-8E0ECEC195C2}">
      <text>
        <r>
          <rPr>
            <b/>
            <sz val="9"/>
            <color indexed="81"/>
            <rFont val="Tahoma"/>
            <family val="2"/>
          </rPr>
          <t>Nicolas Lienart:</t>
        </r>
        <r>
          <rPr>
            <sz val="9"/>
            <color indexed="81"/>
            <rFont val="Tahoma"/>
            <family val="2"/>
          </rPr>
          <t xml:space="preserve">
Saudi Arabia and South Korea</t>
        </r>
      </text>
    </comment>
    <comment ref="X15" authorId="0" shapeId="0" xr:uid="{59700EF9-EB1E-4FC4-A0CF-E1B9A01EFC14}">
      <text>
        <r>
          <rPr>
            <b/>
            <sz val="9"/>
            <color indexed="81"/>
            <rFont val="Tahoma"/>
            <family val="2"/>
          </rPr>
          <t>Nicolas Lienart:</t>
        </r>
        <r>
          <rPr>
            <sz val="9"/>
            <color indexed="81"/>
            <rFont val="Tahoma"/>
            <family val="2"/>
          </rPr>
          <t xml:space="preserve">
United States + Mexico</t>
        </r>
      </text>
    </comment>
    <comment ref="I53" authorId="0" shapeId="0" xr:uid="{ECD7D4FD-83B1-417F-8548-0E059BE763C1}">
      <text>
        <r>
          <rPr>
            <b/>
            <sz val="9"/>
            <color indexed="81"/>
            <rFont val="Tahoma"/>
            <family val="2"/>
          </rPr>
          <t>Nicolas Lienart:</t>
        </r>
        <r>
          <rPr>
            <sz val="9"/>
            <color indexed="81"/>
            <rFont val="Tahoma"/>
            <family val="2"/>
          </rPr>
          <t xml:space="preserve">
Fixed gwp 100 value (absent from Ecoinvent 3.11 and 3.12)</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5A1D6A-1C90-4C86-A353-5A1DABBDB377}" keepAlive="1" name="Query - 20260808 - filtered_prodcom_grouped_df" description="Connection to the '20260808 - filtered_prodcom_grouped_df' query in the workbook." type="5" refreshedVersion="7" background="1" saveData="1">
    <dbPr connection="Provider=Microsoft.Mashup.OleDb.1;Data Source=$Workbook$;Location=&quot;20260808 - filtered_prodcom_grouped_df&quot;;Extended Properties=&quot;&quot;" command="SELECT * FROM [20260808 - filtered_prodcom_grouped_df]"/>
  </connection>
  <connection id="2" xr16:uid="{6A0A0925-0624-4199-A358-13E0BB63449E}" keepAlive="1" name="Query - 20260808 - filtered_prodcom_grouped_EU27_2020-FR_2019-2022" description="Connection to the '20260808 - filtered_prodcom_grouped_EU27_2020-FR_2019-2022' query in the workbook." type="5" refreshedVersion="7" background="1" saveData="1">
    <dbPr connection="Provider=Microsoft.Mashup.OleDb.1;Data Source=$Workbook$;Location=&quot;20260808 - filtered_prodcom_grouped_EU27_2020-FR_2019-2022&quot;;Extended Properties=&quot;&quot;" command="SELECT * FROM [20260808 - filtered_prodcom_grouped_EU27_2020-FR_2019-202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<sst xmlns="http://schemas.openxmlformats.org/spreadsheetml/2006/main" count="7909" uniqueCount="3139">
  <si>
    <t>freq</t>
  </si>
  <si>
    <t>product</t>
  </si>
  <si>
    <t>product label</t>
  </si>
  <si>
    <t>A</t>
  </si>
  <si>
    <t>20141120</t>
  </si>
  <si>
    <t>Saturated acyclic hydrocarbons</t>
  </si>
  <si>
    <t>861284640</t>
  </si>
  <si>
    <t>KG</t>
  </si>
  <si>
    <t>20141130</t>
  </si>
  <si>
    <t>Ethylene</t>
  </si>
  <si>
    <t>9817689027</t>
  </si>
  <si>
    <t>20141140</t>
  </si>
  <si>
    <t>Propene (propylene)</t>
  </si>
  <si>
    <t>9792446126</t>
  </si>
  <si>
    <t>20141150</t>
  </si>
  <si>
    <t>Butene (butylene) and isomers thereof</t>
  </si>
  <si>
    <t>1674613555</t>
  </si>
  <si>
    <t>20141160</t>
  </si>
  <si>
    <t>Buta-1,3-diene and isoprene</t>
  </si>
  <si>
    <t>2742866596</t>
  </si>
  <si>
    <t>20141165</t>
  </si>
  <si>
    <t>Unsaturated acyclic hydrocarbons; buta-1.3-diene</t>
  </si>
  <si>
    <t xml:space="preserve">: </t>
  </si>
  <si>
    <t>20141167</t>
  </si>
  <si>
    <t>Unsaturated acyclic hydrocarbons; Isoprene</t>
  </si>
  <si>
    <t>20141190</t>
  </si>
  <si>
    <t>Unsaturated acyclic hydrocarbons (excluding ethylene, propene, butene, buta-1,3-diene and isoprene)</t>
  </si>
  <si>
    <t>946317441</t>
  </si>
  <si>
    <t>20141213</t>
  </si>
  <si>
    <t>Cyclohexane</t>
  </si>
  <si>
    <t>608450270</t>
  </si>
  <si>
    <t>20141215</t>
  </si>
  <si>
    <t>Cyclanes; cyclenes and cycloterpenes (excluding cyclohexane)</t>
  </si>
  <si>
    <t>100000000</t>
  </si>
  <si>
    <t>20141223</t>
  </si>
  <si>
    <t>Benzene</t>
  </si>
  <si>
    <t>5406482633</t>
  </si>
  <si>
    <t>20141225</t>
  </si>
  <si>
    <t>Toluene</t>
  </si>
  <si>
    <t>1279401108</t>
  </si>
  <si>
    <t>20141243</t>
  </si>
  <si>
    <t>o-Xylene</t>
  </si>
  <si>
    <t>229557755</t>
  </si>
  <si>
    <t>20141245</t>
  </si>
  <si>
    <t>p-Xylene</t>
  </si>
  <si>
    <t>895504408</t>
  </si>
  <si>
    <t>20141247</t>
  </si>
  <si>
    <t>m-Xylene and mixed xylene isomers</t>
  </si>
  <si>
    <t>932028815</t>
  </si>
  <si>
    <t>20141250</t>
  </si>
  <si>
    <t>Styrene</t>
  </si>
  <si>
    <t>2880904684</t>
  </si>
  <si>
    <t>20141260</t>
  </si>
  <si>
    <t>Ethylbenzene</t>
  </si>
  <si>
    <t>566842570</t>
  </si>
  <si>
    <t>20141270</t>
  </si>
  <si>
    <t>Cumene</t>
  </si>
  <si>
    <t>1117467000</t>
  </si>
  <si>
    <t>20141290</t>
  </si>
  <si>
    <t>Other cyclic hydrocarbons</t>
  </si>
  <si>
    <t>599253882</t>
  </si>
  <si>
    <t>20141313</t>
  </si>
  <si>
    <t>Chloromethane (methyl chloride) and chloroethane (ethyl chloride)</t>
  </si>
  <si>
    <t>210000000</t>
  </si>
  <si>
    <t>20141315</t>
  </si>
  <si>
    <t>Dichloromethane (methylene chloride)</t>
  </si>
  <si>
    <t>120000000</t>
  </si>
  <si>
    <t>20141323</t>
  </si>
  <si>
    <t>Chloroform (trichloromethane)</t>
  </si>
  <si>
    <t>20141325</t>
  </si>
  <si>
    <t>Carbon tetrachloride</t>
  </si>
  <si>
    <t>26721000</t>
  </si>
  <si>
    <t>20141353</t>
  </si>
  <si>
    <t>1,2-Dichloroethane (ethylene dichloride)</t>
  </si>
  <si>
    <t>1000000000</t>
  </si>
  <si>
    <t>20141357</t>
  </si>
  <si>
    <t>Saturated chlorinated derivatives of acyclic hydrocarbons, n.e.c.</t>
  </si>
  <si>
    <t>116056666</t>
  </si>
  <si>
    <t>20141371</t>
  </si>
  <si>
    <t>Vinyl chloride (chloroethylene)</t>
  </si>
  <si>
    <t>822829309</t>
  </si>
  <si>
    <t>20141374</t>
  </si>
  <si>
    <t>Trichloroethylene; tetrachloroethylene (perchloroethylene)</t>
  </si>
  <si>
    <t>96476439</t>
  </si>
  <si>
    <t>20141379</t>
  </si>
  <si>
    <t>Unsaturated chlorinated derivatives of acyclic hydrocarbons (excluding vinyl chloride, trichloroethylene, tetrachloroethylene)</t>
  </si>
  <si>
    <t>160000000</t>
  </si>
  <si>
    <t>20141450</t>
  </si>
  <si>
    <t>Derivatives of hydrocarbons containing only sulpho groups; their salts and ethyl esters</t>
  </si>
  <si>
    <t>210260186</t>
  </si>
  <si>
    <t>20141470</t>
  </si>
  <si>
    <t>Derivatives of hydrocarbons containing only nitro or only nitroso groups</t>
  </si>
  <si>
    <t>45000000</t>
  </si>
  <si>
    <t>20141490</t>
  </si>
  <si>
    <t>Derivatives of hydrocarbons (excluding those containing only sulpho groups; their salts and ethyl esters, those containing only nitro or only nitroso groups)</t>
  </si>
  <si>
    <t>38836855</t>
  </si>
  <si>
    <t>20141910</t>
  </si>
  <si>
    <t>Fluorinated; brominated or iodinated derivatives of acyclic hydrocarbons</t>
  </si>
  <si>
    <t>41522467</t>
  </si>
  <si>
    <t>20141930</t>
  </si>
  <si>
    <t>Halogenated derivatives of acyclic hydrocarbons containing &gt;= 2 different halogens</t>
  </si>
  <si>
    <t>47840344</t>
  </si>
  <si>
    <t>20141950</t>
  </si>
  <si>
    <t>Halogenated derivatives of cyclanic, cyclenic or cycloterpenic hydrocarbons</t>
  </si>
  <si>
    <t>3000000</t>
  </si>
  <si>
    <t>20141970</t>
  </si>
  <si>
    <t>Halogenated derivatives of aromatic hydrocarbons</t>
  </si>
  <si>
    <t>178136726</t>
  </si>
  <si>
    <t>20142100</t>
  </si>
  <si>
    <t>Industrial fatty alcohols</t>
  </si>
  <si>
    <t>300000000</t>
  </si>
  <si>
    <t>20142210</t>
  </si>
  <si>
    <t>Methanol (methyl alcohol)</t>
  </si>
  <si>
    <t>1200000000</t>
  </si>
  <si>
    <t>20142220</t>
  </si>
  <si>
    <t>Propan-1-ol (propyl alcohol) and propan-2-ol (isopropyl alcohol)</t>
  </si>
  <si>
    <t>316272147</t>
  </si>
  <si>
    <t>20142230</t>
  </si>
  <si>
    <t>Butan-1-ol (n-butyl alcohol)</t>
  </si>
  <si>
    <t>236971246</t>
  </si>
  <si>
    <t>20142240</t>
  </si>
  <si>
    <t>Butanols (excluding butan-1-ol (n-butyl alcohol))</t>
  </si>
  <si>
    <t>66153375</t>
  </si>
  <si>
    <t>20142263</t>
  </si>
  <si>
    <t>Octanol (octyl alcohol) and isomers thereof</t>
  </si>
  <si>
    <t>426168674</t>
  </si>
  <si>
    <t>20142265</t>
  </si>
  <si>
    <t>Lauryl alcohol; cetyl alcohol; stearyl alcohol and other saturated monohydric alcohols (excluding methyl, propyl and isopropyl, n-butyl, other butanols, octyl)</t>
  </si>
  <si>
    <t>360000000</t>
  </si>
  <si>
    <t>20142270</t>
  </si>
  <si>
    <t>Unsaturated monohydric alcohols</t>
  </si>
  <si>
    <t>17347849</t>
  </si>
  <si>
    <t>20142310</t>
  </si>
  <si>
    <t>Ethylene glycol (ethanediol)</t>
  </si>
  <si>
    <t>1052439255</t>
  </si>
  <si>
    <t>20142320</t>
  </si>
  <si>
    <t>Propylene glycol (propane-1,2-diol)</t>
  </si>
  <si>
    <t>669561750</t>
  </si>
  <si>
    <t>20142333</t>
  </si>
  <si>
    <t>D-glucitol (sorbitol)</t>
  </si>
  <si>
    <t>404987207</t>
  </si>
  <si>
    <t>20142337</t>
  </si>
  <si>
    <t>Diols and polyhydric alcohols (excluding ethylene glycol and propylene glycol, D-glucitol and tetramethylene glycol having a bio-based carbon content of 100 % by mass)</t>
  </si>
  <si>
    <t>650000000</t>
  </si>
  <si>
    <t>20142338</t>
  </si>
  <si>
    <t>Butane-1,4-diol or tetramethylene glycol (1,4-butanediol) having a bio-based carbon content of 100 % by mass</t>
  </si>
  <si>
    <t>70000000</t>
  </si>
  <si>
    <t>20142339</t>
  </si>
  <si>
    <t>Diols and polyhydric alcohols (excluding ethylene glycol and propylene glycol, D-glucitol)</t>
  </si>
  <si>
    <t>20142350</t>
  </si>
  <si>
    <t>Halogenated, sulphonated, nitrated or nitrosated derivatives of acyclic alcohols</t>
  </si>
  <si>
    <t>8005943</t>
  </si>
  <si>
    <t>20142360</t>
  </si>
  <si>
    <t>Glycerol (including synthetic; excluding crude, waters and lyes)</t>
  </si>
  <si>
    <t>601480482</t>
  </si>
  <si>
    <t>20142373</t>
  </si>
  <si>
    <t>Cyclanic, cyclenic or cycloterpenic alcohols and their halogenated, sulphonated, nitrated or nitrosated derivatives</t>
  </si>
  <si>
    <t>60002309</t>
  </si>
  <si>
    <t>20142375</t>
  </si>
  <si>
    <t>Aromatic alcohols and their halogenated, sulphonated, nitrated or nitrosated derivatives</t>
  </si>
  <si>
    <t>21000000</t>
  </si>
  <si>
    <t>20142410</t>
  </si>
  <si>
    <t>Monophenols</t>
  </si>
  <si>
    <t>1966372084</t>
  </si>
  <si>
    <t>20142433</t>
  </si>
  <si>
    <t>4,4-Isopropylidenediphenol (bisphenol A; diphenylolpropane) and its salts</t>
  </si>
  <si>
    <t>20142439</t>
  </si>
  <si>
    <t>Polyphenols (including salts; excluding 4,4 isopropylidenediphenol) and phenol-alcohols</t>
  </si>
  <si>
    <t>16483610</t>
  </si>
  <si>
    <t>20142450</t>
  </si>
  <si>
    <t>Halogenated, sulphonated, nitrated or nitrosated derivatives of phenols or phenol-alcohols</t>
  </si>
  <si>
    <t>6264338</t>
  </si>
  <si>
    <t>20143120</t>
  </si>
  <si>
    <t>Industrial stearic acid</t>
  </si>
  <si>
    <t>20143130</t>
  </si>
  <si>
    <t>Industrial oleic acid</t>
  </si>
  <si>
    <t>116373570</t>
  </si>
  <si>
    <t>20143150</t>
  </si>
  <si>
    <t>Industrial tall oil fatty acids</t>
  </si>
  <si>
    <t>157634558</t>
  </si>
  <si>
    <t>20143195</t>
  </si>
  <si>
    <t>Industrial monocarboxylic fatty acids distilled (excluding stearic, oleic tall oil)</t>
  </si>
  <si>
    <t>400000000</t>
  </si>
  <si>
    <t>20143197</t>
  </si>
  <si>
    <t>Industrial monocarboxylic fatty acids (excluding stearic, oleic, tall oil, distilled)</t>
  </si>
  <si>
    <t>177875247</t>
  </si>
  <si>
    <t>20143215</t>
  </si>
  <si>
    <t>Ethyl acetate</t>
  </si>
  <si>
    <t>36000000</t>
  </si>
  <si>
    <t>20143219</t>
  </si>
  <si>
    <t>Esters of acetic acid (excluding ethyl acetate)</t>
  </si>
  <si>
    <t>637080618</t>
  </si>
  <si>
    <t>20143220</t>
  </si>
  <si>
    <t>Mono-, di- or tri-chloroacetic acids; propionic, butanoic and pentanoic acids; their salts and esters</t>
  </si>
  <si>
    <t>383296407</t>
  </si>
  <si>
    <t>20143230</t>
  </si>
  <si>
    <t>Palmitic acid, its salts and esters</t>
  </si>
  <si>
    <t>20143235</t>
  </si>
  <si>
    <t>Palmitic acid, stearic acid, their salts and esters</t>
  </si>
  <si>
    <t>187867807</t>
  </si>
  <si>
    <t>20143240</t>
  </si>
  <si>
    <t>Stearic acid, its salts and esters</t>
  </si>
  <si>
    <t>20143250</t>
  </si>
  <si>
    <t>Formic acid, its salts and esters</t>
  </si>
  <si>
    <t>379667588</t>
  </si>
  <si>
    <t>20143271</t>
  </si>
  <si>
    <t>Acetic acid</t>
  </si>
  <si>
    <t>175203694</t>
  </si>
  <si>
    <t>20143277</t>
  </si>
  <si>
    <t>Acetic anhydride</t>
  </si>
  <si>
    <t>900000</t>
  </si>
  <si>
    <t>20143278</t>
  </si>
  <si>
    <t>Salts of acetic acid</t>
  </si>
  <si>
    <t>60075174</t>
  </si>
  <si>
    <t>20143280</t>
  </si>
  <si>
    <t>Lauric acid and others; salts and esters</t>
  </si>
  <si>
    <t>340000000</t>
  </si>
  <si>
    <t>20143310</t>
  </si>
  <si>
    <t>Acrylic acid and its salts and other monocarboxylic acid</t>
  </si>
  <si>
    <t>423283936</t>
  </si>
  <si>
    <t>20143320</t>
  </si>
  <si>
    <t>Esters of acrylic acid</t>
  </si>
  <si>
    <t>588789183</t>
  </si>
  <si>
    <t>20143330</t>
  </si>
  <si>
    <t>Methacrylic acid and its salts</t>
  </si>
  <si>
    <t>50000000</t>
  </si>
  <si>
    <t>20143340</t>
  </si>
  <si>
    <t>Esters of methacrylic acid</t>
  </si>
  <si>
    <t>201480335</t>
  </si>
  <si>
    <t>20143350</t>
  </si>
  <si>
    <t>Oleic, linoleic or linolenic acids; their salts and esters</t>
  </si>
  <si>
    <t>38060206</t>
  </si>
  <si>
    <t>20143363</t>
  </si>
  <si>
    <t>Benzoic acid; its salts and esters</t>
  </si>
  <si>
    <t>159495729</t>
  </si>
  <si>
    <t>20143365</t>
  </si>
  <si>
    <t>Benzoyl peroxide and benzoyl chloride</t>
  </si>
  <si>
    <t>44433213</t>
  </si>
  <si>
    <t>20143367</t>
  </si>
  <si>
    <t>Phenylacetic acid; its salts and esters</t>
  </si>
  <si>
    <t>452889</t>
  </si>
  <si>
    <t>20143370</t>
  </si>
  <si>
    <t>Aromatic monocarboxylic acids, (anhydrides), halides, peroxides, peroxyacids, derivatives excluding benzoic acid, phenylacetic acids their salts/esters, benzoyl peroxide, benzoyl chloride</t>
  </si>
  <si>
    <t>200000000</t>
  </si>
  <si>
    <t>20143381</t>
  </si>
  <si>
    <t>Oxalic, azelaic, malonic, other, cyclanic, cylenic or cycloterpenic polycarboxylic acids, salts (excluding butanedioic acid having a bio-based carbon content of 100 % by mass)</t>
  </si>
  <si>
    <t>197690655</t>
  </si>
  <si>
    <t>20143382</t>
  </si>
  <si>
    <t>Ethane-1,2-dicarboxylic acid or butanedioic acid (succinic acid) having a bio-based carbon content of 100 % by mass</t>
  </si>
  <si>
    <t>80000</t>
  </si>
  <si>
    <t>20143383</t>
  </si>
  <si>
    <t>Oxalic, azelaic, malonic, other, cyclanic, cylenic or cycloterpenic polycarboxylic acids, salts</t>
  </si>
  <si>
    <t>20143385</t>
  </si>
  <si>
    <t>Adipic acid; its salts and esters</t>
  </si>
  <si>
    <t>20143387</t>
  </si>
  <si>
    <t>Maleic anhydride</t>
  </si>
  <si>
    <t>40000000</t>
  </si>
  <si>
    <t>20143410</t>
  </si>
  <si>
    <t>Dibutyl and dioctyl orthophthalates</t>
  </si>
  <si>
    <t>150000000</t>
  </si>
  <si>
    <t>20143420</t>
  </si>
  <si>
    <t>Other esters of orthophthalic acid</t>
  </si>
  <si>
    <t>475430988</t>
  </si>
  <si>
    <t>20143430</t>
  </si>
  <si>
    <t>Phthalic anhydride; terephthalic acid and its salts</t>
  </si>
  <si>
    <t>3205054549</t>
  </si>
  <si>
    <t>20143440</t>
  </si>
  <si>
    <t>Aromatic polycarboxylic acids, their anhydrides, halides, peroxides, peroxyacids and their halogenated, sulphonated, nitrated or nitrosated derivatives (excluding esters of orthophthalic acid, phthalic anhydride, terephthalic acid and its salts)</t>
  </si>
  <si>
    <t>320000000</t>
  </si>
  <si>
    <t>20143473</t>
  </si>
  <si>
    <t>Citric acid and its salts and esters</t>
  </si>
  <si>
    <t>422900973</t>
  </si>
  <si>
    <t>20143475</t>
  </si>
  <si>
    <t>Carboxylic acid with alcohol, phenol, aldehyde or ketone functions</t>
  </si>
  <si>
    <t>414540872</t>
  </si>
  <si>
    <t>201434Z1</t>
  </si>
  <si>
    <t>Esters of orthophthalic acid</t>
  </si>
  <si>
    <t>651912003</t>
  </si>
  <si>
    <t>20144113</t>
  </si>
  <si>
    <t>Methylamine; di- or trimethylamine and their salts</t>
  </si>
  <si>
    <t>113325732</t>
  </si>
  <si>
    <t>20144119</t>
  </si>
  <si>
    <t>Other acylic monoamines and their derivatives; salts thereof</t>
  </si>
  <si>
    <t>159741746</t>
  </si>
  <si>
    <t>20144123</t>
  </si>
  <si>
    <t>Hexamethylenediamine and its salts; ethylenediamine and its salts</t>
  </si>
  <si>
    <t>589609211</t>
  </si>
  <si>
    <t>20144129</t>
  </si>
  <si>
    <t>Other acyclic polyamines and their derivatives; salts thereof</t>
  </si>
  <si>
    <t>101317296</t>
  </si>
  <si>
    <t>20144130</t>
  </si>
  <si>
    <t>Cyclanic, cyclenic or cycloterpenic mono- or polyamines, and their derivatives; salts thereof</t>
  </si>
  <si>
    <t>80000000</t>
  </si>
  <si>
    <t>20144151</t>
  </si>
  <si>
    <t>Aniline and its salts (excluding derivatives)</t>
  </si>
  <si>
    <t>541632905</t>
  </si>
  <si>
    <t>20144153</t>
  </si>
  <si>
    <t>Aniline derivatives and their salts</t>
  </si>
  <si>
    <t>6000000</t>
  </si>
  <si>
    <t>20144159</t>
  </si>
  <si>
    <t>Other aromatic monoamines and their derivatives; salts thereof</t>
  </si>
  <si>
    <t>118288762</t>
  </si>
  <si>
    <t>20144170</t>
  </si>
  <si>
    <t>Aromatic polyamines and their derivatives; salts thereof</t>
  </si>
  <si>
    <t>29918329</t>
  </si>
  <si>
    <t>20144233</t>
  </si>
  <si>
    <t>Monoethanolamine and its salts</t>
  </si>
  <si>
    <t>130584083</t>
  </si>
  <si>
    <t>20144235</t>
  </si>
  <si>
    <t>Diethanolamine and its salts</t>
  </si>
  <si>
    <t>44256214</t>
  </si>
  <si>
    <t>20144237</t>
  </si>
  <si>
    <t>Triethanolamine and its salts</t>
  </si>
  <si>
    <t>20144238</t>
  </si>
  <si>
    <t>Amino-alcohols, their ethers and esters with only 1 oxygen function and their salts (excluding monoethanolamine and its salts, diethanolamine and its salts)</t>
  </si>
  <si>
    <t>243118371</t>
  </si>
  <si>
    <t>20144239</t>
  </si>
  <si>
    <t>Amino-alcohols, their ethers and esters with only 1 oxygen function and their salts (excluding monoethanolamine and its salts, diethanolamine and its salts, triethanolamine and its salts)</t>
  </si>
  <si>
    <t>20144290</t>
  </si>
  <si>
    <t>Oxygen-function amino-compounds (excluding amino-alcohols, their esters and ethers and salts thereof, lysine and its salts and esters, glutamic acid its salts and esters)</t>
  </si>
  <si>
    <t>273239320</t>
  </si>
  <si>
    <t>20144310</t>
  </si>
  <si>
    <t>Ureines and their derivatives; salts thereof</t>
  </si>
  <si>
    <t>3710796</t>
  </si>
  <si>
    <t>20144320</t>
  </si>
  <si>
    <t>Saccharin and its salts</t>
  </si>
  <si>
    <t>630000</t>
  </si>
  <si>
    <t>20144330</t>
  </si>
  <si>
    <t>Imides and their derivatives, and salts thereof (excluding saccharin and its salts)</t>
  </si>
  <si>
    <t>20144340</t>
  </si>
  <si>
    <t>Imines and their derivatives; and salts thereof</t>
  </si>
  <si>
    <t>21250892</t>
  </si>
  <si>
    <t>20144350</t>
  </si>
  <si>
    <t>Acrylonitrile</t>
  </si>
  <si>
    <t>526728202</t>
  </si>
  <si>
    <t>20144360</t>
  </si>
  <si>
    <t>1-Cyanoguanidine (dicyandiamide)</t>
  </si>
  <si>
    <t>12000000</t>
  </si>
  <si>
    <t>20144370</t>
  </si>
  <si>
    <t>Nitrile-function compounds (excluding acrylonitrile, 1-cyanoguanidine (dicyandiamide))</t>
  </si>
  <si>
    <t>20144420</t>
  </si>
  <si>
    <t>Diazo-, azo- or azoxy-compounds</t>
  </si>
  <si>
    <t>2447684</t>
  </si>
  <si>
    <t>20144430</t>
  </si>
  <si>
    <t>Organic derivatives of hydrazine or of hydroxylamine</t>
  </si>
  <si>
    <t>20144450</t>
  </si>
  <si>
    <t>Isocyanates</t>
  </si>
  <si>
    <t>1093665222</t>
  </si>
  <si>
    <t>20144490</t>
  </si>
  <si>
    <t>Compounds with other nitrogen function (excluding isocyanates)</t>
  </si>
  <si>
    <t>45145105</t>
  </si>
  <si>
    <t>20145133</t>
  </si>
  <si>
    <t>Thiocarbamates and dithiocarbamates; thiuram mono-, di- or tetrasulphides; methionine</t>
  </si>
  <si>
    <t>539528958</t>
  </si>
  <si>
    <t>20145139</t>
  </si>
  <si>
    <t>Other organo-sulphur compounds</t>
  </si>
  <si>
    <t>280000000</t>
  </si>
  <si>
    <t>20145150</t>
  </si>
  <si>
    <t>Organo-inorganic compounds (excluding organo-sulphur compounds)</t>
  </si>
  <si>
    <t>20145151</t>
  </si>
  <si>
    <t>178378695</t>
  </si>
  <si>
    <t>20145210</t>
  </si>
  <si>
    <t>Heterocyclic compounds with oxygen only hetero-atom(s) (including coumarin; methylcoumarins and ethylcoumarins) (excluding other lactones)</t>
  </si>
  <si>
    <t>20145215</t>
  </si>
  <si>
    <t>Tetrahydrofuran, 2-Furaldehyde, Furfuryl alcohol, Tetrahydrofurfuryl alcohol and Piperonal</t>
  </si>
  <si>
    <t>20890142</t>
  </si>
  <si>
    <t>20145225</t>
  </si>
  <si>
    <t>Heterocyclic compounds with oxygen only hetero-atom(s) (excluding other lactones)</t>
  </si>
  <si>
    <t>73763082</t>
  </si>
  <si>
    <t>20145230</t>
  </si>
  <si>
    <t>Heterocyclic compounds with nitrogen only hetero-atom(s); containing an unfused imidazole ring (excluding hydantoin and its derivatives)</t>
  </si>
  <si>
    <t>7120679</t>
  </si>
  <si>
    <t>20145260</t>
  </si>
  <si>
    <t>Melamine</t>
  </si>
  <si>
    <t>272775970</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</si>
  <si>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</si>
  <si>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</si>
  <si>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774029829</t>
  </si>
  <si>
    <t>20145290</t>
  </si>
  <si>
    <t>Nucleic acids and other heterocyclic compounds - thiazole, benzothiazole, other cycles</t>
  </si>
  <si>
    <t>117294353</t>
  </si>
  <si>
    <t>20145350</t>
  </si>
  <si>
    <t>Phosphoric esters; and their salts (including lactophosphates; their halogenated; sulphonated; nitrated or nitrosated derivatives)</t>
  </si>
  <si>
    <t>65516910</t>
  </si>
  <si>
    <t>20145380</t>
  </si>
  <si>
    <t>Esters of other inorganic acids of non-metals (excluding esters of hydrogen halides) and their salts; their halogenated, sulphonated, nitrated or nitrosated derivatives</t>
  </si>
  <si>
    <t>160711000</t>
  </si>
  <si>
    <t>20146111</t>
  </si>
  <si>
    <t>Methanal (formaldehyde)</t>
  </si>
  <si>
    <t>966504769</t>
  </si>
  <si>
    <t>20146113</t>
  </si>
  <si>
    <t>Ethanal (acetaldehyde)</t>
  </si>
  <si>
    <t>30000000</t>
  </si>
  <si>
    <t>20146115</t>
  </si>
  <si>
    <t>Butanal (butyraldehyde; normal isomer)</t>
  </si>
  <si>
    <t>560332007</t>
  </si>
  <si>
    <t>20146119</t>
  </si>
  <si>
    <t>Acyclic aldehydes, without other oxygen function (excluding methanal (formaldehyde), ethanal (acetaldehyde), butanal (butyraldehyde; normal isomer))</t>
  </si>
  <si>
    <t>210487418</t>
  </si>
  <si>
    <t>20146120</t>
  </si>
  <si>
    <t>Cyclic aldehydes; without other oxygen function</t>
  </si>
  <si>
    <t>28489760</t>
  </si>
  <si>
    <t>20146130</t>
  </si>
  <si>
    <t>Aldehyde-alcohols</t>
  </si>
  <si>
    <t>20146135</t>
  </si>
  <si>
    <t>Aldehyde-alcohols, Aldehyde-ethers, aldehyde-phenols and aldehydes with other oxygen function</t>
  </si>
  <si>
    <t>4000000</t>
  </si>
  <si>
    <t>20146140</t>
  </si>
  <si>
    <t>Aldehyde-ethers, aldehyde-phenols and aldehydes with other oxygen function</t>
  </si>
  <si>
    <t>20146150</t>
  </si>
  <si>
    <t>Cyclic polymers of aldehydes</t>
  </si>
  <si>
    <t>200</t>
  </si>
  <si>
    <t>20146160</t>
  </si>
  <si>
    <t>Paraformaldehyde</t>
  </si>
  <si>
    <t>123019675</t>
  </si>
  <si>
    <t>20146170</t>
  </si>
  <si>
    <t>Halogenated, sulphonated, nitrated or nitrosated derivatives of cyclic polymers of aldehydes or paraformaldehyde</t>
  </si>
  <si>
    <t>201461Z0</t>
  </si>
  <si>
    <t>Acyclic aldehydes without other oxygen function (excluding methanal, ethanal)</t>
  </si>
  <si>
    <t>770859425</t>
  </si>
  <si>
    <t>20146211</t>
  </si>
  <si>
    <t>Acetone</t>
  </si>
  <si>
    <t>1274691518</t>
  </si>
  <si>
    <t>20146213</t>
  </si>
  <si>
    <t>Butanone (methyl ethyl ketone)</t>
  </si>
  <si>
    <t>108808558</t>
  </si>
  <si>
    <t>20146215</t>
  </si>
  <si>
    <t>4-Methylpentan-2-one (methyl isobutyl ketone)</t>
  </si>
  <si>
    <t>24000000</t>
  </si>
  <si>
    <t>20146219</t>
  </si>
  <si>
    <t>Acyclic ketones; without other oxygen function (excluding acetone, butanone (methyl ethyl ketone), 4-methylpentan-2-one (methyl isobutyl ketone))</t>
  </si>
  <si>
    <t>32265995</t>
  </si>
  <si>
    <t>20146231</t>
  </si>
  <si>
    <t>Camphor; aromatic ketones without other oxygen function; ketone-alcohols; ketone-aldehydes; ketone-phenols and ketones with other oxygen function</t>
  </si>
  <si>
    <t>65005138</t>
  </si>
  <si>
    <t>20146233</t>
  </si>
  <si>
    <t>Cyclohexanone and methylcyclohexanones</t>
  </si>
  <si>
    <t>77807795</t>
  </si>
  <si>
    <t>20146235</t>
  </si>
  <si>
    <t>Ionones and methylionones</t>
  </si>
  <si>
    <t>20146239</t>
  </si>
  <si>
    <t>Cyclanic, cyclenic or cycloterpenic ketones without other oxygen function (excluding camphor, cyclohexanone and methylcyclohexanones, ionones and methylionones)</t>
  </si>
  <si>
    <t>41680000</t>
  </si>
  <si>
    <t>20146260</t>
  </si>
  <si>
    <t>Quinones</t>
  </si>
  <si>
    <t>2550680</t>
  </si>
  <si>
    <t>20146270</t>
  </si>
  <si>
    <t>Halogenated; sulphonated; nitrated or nitrosated derivatives of ketones and quinones</t>
  </si>
  <si>
    <t>4136132</t>
  </si>
  <si>
    <t>201462Z0</t>
  </si>
  <si>
    <t>Aromatic ketones without other oxygen function; ketone-alcohols and ketone-aldehydes; ketone-phenols and ketones with other oxygen function; other cyclanic, cyclenic or cycloterpenic ketones without other oxygen function</t>
  </si>
  <si>
    <t>20146310</t>
  </si>
  <si>
    <t>Acyclic ethers and their halogenated, sulphonated, nitrated or nitrosated derivatives</t>
  </si>
  <si>
    <t>2016174630</t>
  </si>
  <si>
    <t>20146323</t>
  </si>
  <si>
    <t>Cyclanic, cyclenic or cycloterpenic ethers and their halogenated, sulphonated, nitrated or nitrosated derivatives</t>
  </si>
  <si>
    <t>16000000</t>
  </si>
  <si>
    <t>20146325</t>
  </si>
  <si>
    <t>Aromatic ethers and their halogenated, sulphonated, nitrated or nitrosated derivatives</t>
  </si>
  <si>
    <t>20146333</t>
  </si>
  <si>
    <t>2,2-Oxydiethanol (diethylene glycol; digol)</t>
  </si>
  <si>
    <t>93200592</t>
  </si>
  <si>
    <t>20146339</t>
  </si>
  <si>
    <t>Ether-alcohols and their halogenated, sulphonated, nitrated or nitrosated derivatives (excluding 2,2-Oxydiethanol)</t>
  </si>
  <si>
    <t>527309190</t>
  </si>
  <si>
    <t>20146350</t>
  </si>
  <si>
    <t>Ether-phenols; ether-alcohol-phenols and their halogenated, sulphonated, nitrated or nitrosated derivatives</t>
  </si>
  <si>
    <t>9088154</t>
  </si>
  <si>
    <t>20146360</t>
  </si>
  <si>
    <t>Alcohol, ether and ketone peroxides and their halogenated, sulphonated, nitrated or nitrosated derivatives</t>
  </si>
  <si>
    <t>32000000</t>
  </si>
  <si>
    <t>20146361</t>
  </si>
  <si>
    <t>Alcohol peroxides, ether peroxides, acetal and hemiacetal peroxides, ketone peroxides and their halogenated, sulphonated, nitrated or nitrosated derivatives</t>
  </si>
  <si>
    <t>20146373</t>
  </si>
  <si>
    <t>Oxirane (ethylene oxide)</t>
  </si>
  <si>
    <t>940841433</t>
  </si>
  <si>
    <t>20146375</t>
  </si>
  <si>
    <t>Methyloxirane (propylene oxide)</t>
  </si>
  <si>
    <t>1641804660</t>
  </si>
  <si>
    <t>20146379</t>
  </si>
  <si>
    <t>Epoxides, epoxyalcohols, -phenols, epoxyethers, with a 3-membered ring and their halogenated, sulphonated, nitrated/nitrosated derivatives excluding oxirane, methyloxirane (propylene oxide)</t>
  </si>
  <si>
    <t>149259605</t>
  </si>
  <si>
    <t>20146380</t>
  </si>
  <si>
    <t>Acetals and hemiacetals and their halogenated; sulphonated; nitrated or nitrosated derivatives</t>
  </si>
  <si>
    <t>16792979</t>
  </si>
  <si>
    <t>20146381</t>
  </si>
  <si>
    <t>20146430</t>
  </si>
  <si>
    <t>Other organic compounds, n.e.c.</t>
  </si>
  <si>
    <t>561860613</t>
  </si>
  <si>
    <t>20146450</t>
  </si>
  <si>
    <t>Rennet and concentrates thereof</t>
  </si>
  <si>
    <t>14027000</t>
  </si>
  <si>
    <t>20146470</t>
  </si>
  <si>
    <t>Enzymes; prepared enzymes (not elsewhere specified or included) (excluding rennet and concentrates)</t>
  </si>
  <si>
    <t>293982025</t>
  </si>
  <si>
    <t>20147120</t>
  </si>
  <si>
    <t>Activated natural mineral products; animal black</t>
  </si>
  <si>
    <t>523885483</t>
  </si>
  <si>
    <t>20147130</t>
  </si>
  <si>
    <t>Tall oil; whether or not refined</t>
  </si>
  <si>
    <t>469115316</t>
  </si>
  <si>
    <t>20147140</t>
  </si>
  <si>
    <t>Gum, wood or sulphate turpentine oils, pine oil and other alike</t>
  </si>
  <si>
    <t>45275799</t>
  </si>
  <si>
    <t>20147150</t>
  </si>
  <si>
    <t>Rosin and resin acids; and derivatives; rosin spirit and oils; run gums</t>
  </si>
  <si>
    <t>354390361</t>
  </si>
  <si>
    <t>20147170</t>
  </si>
  <si>
    <t>Wood tar; wood tar oils; wood creosote; wood naphtha; vegetable pitch; brewers’ pitch and similar preparations based on rosin, resin acids or on vegetable pitch</t>
  </si>
  <si>
    <t>147915190</t>
  </si>
  <si>
    <t>20147200</t>
  </si>
  <si>
    <t>Wood charcoal whether or not agglomerated (including shell or nut charcoal)</t>
  </si>
  <si>
    <t>240000000</t>
  </si>
  <si>
    <t>20147320</t>
  </si>
  <si>
    <t>Benzol (benzene), toluol (toluene) and xylol (xylenes)</t>
  </si>
  <si>
    <t>1782934741</t>
  </si>
  <si>
    <t>20147340</t>
  </si>
  <si>
    <t>Naphthalene and other aromatic hydrocarbon mixtures (excluding benzene, toluene, xylene)</t>
  </si>
  <si>
    <t>3857631585</t>
  </si>
  <si>
    <t>20147360</t>
  </si>
  <si>
    <t>Phenols</t>
  </si>
  <si>
    <t>98799300</t>
  </si>
  <si>
    <t>20147390</t>
  </si>
  <si>
    <t>Other oils and oil products, n.e.c.</t>
  </si>
  <si>
    <t>2320000000</t>
  </si>
  <si>
    <t>20147400</t>
  </si>
  <si>
    <t>Undenatured ethyl alcohol of an alcoholic strength by volume &gt;= 80 % (important: excluding alcohol duty)</t>
  </si>
  <si>
    <t>L</t>
  </si>
  <si>
    <t>20147500</t>
  </si>
  <si>
    <t>Denatured ethyl alcohol and other denatured spirits; of any strength</t>
  </si>
  <si>
    <t>20148000</t>
  </si>
  <si>
    <t>Residual lyes from the manufacture of wood pulp, excluding tall oil</t>
  </si>
  <si>
    <t>522950947</t>
  </si>
  <si>
    <t>20161035</t>
  </si>
  <si>
    <t>Linear polyethylene having a specific gravity &lt; 0,94, in primary forms</t>
  </si>
  <si>
    <t>1839610198</t>
  </si>
  <si>
    <t>20161039</t>
  </si>
  <si>
    <t>Polyethylene having a specific gravity &lt; 0,94, in primary forms (excluding linear)</t>
  </si>
  <si>
    <t>3804711583</t>
  </si>
  <si>
    <t>20161050</t>
  </si>
  <si>
    <t>Polyethylene having a specific gravity of &gt;= 0,94, in primary forms</t>
  </si>
  <si>
    <t>5550745548</t>
  </si>
  <si>
    <t>20161070</t>
  </si>
  <si>
    <t>Ethylene-vinyl acetate copolymers, in primary forms</t>
  </si>
  <si>
    <t>583095624</t>
  </si>
  <si>
    <t>20161090</t>
  </si>
  <si>
    <t>Polymers of ethylene, in primary forms (excluding polyethylene, ethylene-vinyl acetate copolymers)</t>
  </si>
  <si>
    <t>1466948303</t>
  </si>
  <si>
    <t>20162035</t>
  </si>
  <si>
    <t>Expansible polystyrene, in primary forms</t>
  </si>
  <si>
    <t>1646119041</t>
  </si>
  <si>
    <t>20162039</t>
  </si>
  <si>
    <t>Polystyrene, in primary forms (excluding expansible polystyrene)</t>
  </si>
  <si>
    <t>1737955578</t>
  </si>
  <si>
    <t>20162050</t>
  </si>
  <si>
    <t>Styrene-acrylonitrile (SAN) copolymers, in primary forms</t>
  </si>
  <si>
    <t>217569974</t>
  </si>
  <si>
    <t>20162070</t>
  </si>
  <si>
    <t>Acrylonitrile-butadiene-styrene (ABS) copolymers, in primary forms</t>
  </si>
  <si>
    <t>697933888</t>
  </si>
  <si>
    <t>20162090</t>
  </si>
  <si>
    <t>Polymers of styrene, in primary forms (excluding polystyrene, styrene-acrylonitrile (SAN) copolymers, acrylonitrile-butadiene-styrene (ABS) copolymers)</t>
  </si>
  <si>
    <t>750000000</t>
  </si>
  <si>
    <t>20163010</t>
  </si>
  <si>
    <t>Polyvinyl chloride, not mixed with any other substances, in primary forms</t>
  </si>
  <si>
    <t>4953910010</t>
  </si>
  <si>
    <t>20163023</t>
  </si>
  <si>
    <t>Non-plasticised polyvinyl chloride mixed with any other substance, in primary forms</t>
  </si>
  <si>
    <t>330277306</t>
  </si>
  <si>
    <t>20163025</t>
  </si>
  <si>
    <t>Plasticised polyvinyl chloride mixed with any other substance, in primary forms</t>
  </si>
  <si>
    <t>749221008</t>
  </si>
  <si>
    <t>20163040</t>
  </si>
  <si>
    <t>Vinyl chloride-vinyl acetate copolymers and other vinyl chloride copolymers, in primary forms</t>
  </si>
  <si>
    <t>393609155</t>
  </si>
  <si>
    <t>20163060</t>
  </si>
  <si>
    <t>Fluoropolymers</t>
  </si>
  <si>
    <t>144872869</t>
  </si>
  <si>
    <t>20163090</t>
  </si>
  <si>
    <t>Polymers of halogenated olefins, in primary forms, n.e.c.</t>
  </si>
  <si>
    <t>94739954</t>
  </si>
  <si>
    <t>20164013</t>
  </si>
  <si>
    <t>Polyacetals, in primary forms</t>
  </si>
  <si>
    <t>180000000</t>
  </si>
  <si>
    <t>20164015</t>
  </si>
  <si>
    <t>Polyethylene glycols and other polyether alcohols, in primary forms</t>
  </si>
  <si>
    <t>1977533010</t>
  </si>
  <si>
    <t>20164020</t>
  </si>
  <si>
    <t>Polyethers, in primary forms (excluding polyacetals, polyether alcohols)</t>
  </si>
  <si>
    <t>157111850</t>
  </si>
  <si>
    <t>20164030</t>
  </si>
  <si>
    <t>Epoxide resins, in primary forms</t>
  </si>
  <si>
    <t>392464949</t>
  </si>
  <si>
    <t>20164040</t>
  </si>
  <si>
    <t>Polycarbonates, in primary forms</t>
  </si>
  <si>
    <t>1343848775</t>
  </si>
  <si>
    <t>20164050</t>
  </si>
  <si>
    <t>Alkyd resins, in primary forms</t>
  </si>
  <si>
    <t>502609821</t>
  </si>
  <si>
    <t>20164062</t>
  </si>
  <si>
    <t>Polyethylene terephthalate in primary forms having a viscosity number of &gt;= 78 ml/g</t>
  </si>
  <si>
    <t>2517574915</t>
  </si>
  <si>
    <t>20164064</t>
  </si>
  <si>
    <t>Other polyethylene terephthalate in primary forms</t>
  </si>
  <si>
    <t>398927284</t>
  </si>
  <si>
    <t>20164070</t>
  </si>
  <si>
    <t>Unsaturated liquid polyesters, in primary forms (excluding polyacetals, polyethers, epoxide resins, polycarbonates, alkyd resins, polyethylene terephthalate)</t>
  </si>
  <si>
    <t>550612846</t>
  </si>
  <si>
    <t>20164080</t>
  </si>
  <si>
    <t>Unsaturated polyesters, in primary forms (excluding liquid polyesters, polyacetals, polyethers, epoxide resins, polycarbonates, alkyd resins, polyethylene terephthalate)</t>
  </si>
  <si>
    <t>161440568</t>
  </si>
  <si>
    <t>20164090</t>
  </si>
  <si>
    <t>Polyesters, in primary forms (excluding polyacetals, polyethers, epoxide resins, polycarbonates, alkyd resins, polyethylene terephthalate, other unsaturated polyesters)</t>
  </si>
  <si>
    <t>1372840870</t>
  </si>
  <si>
    <t>20165130</t>
  </si>
  <si>
    <t>Polypropylene, in primary forms</t>
  </si>
  <si>
    <t>9673911407</t>
  </si>
  <si>
    <t>20165150</t>
  </si>
  <si>
    <t>Polymers of propylene or of other olefins, in primary forms (excluding polypropylene)</t>
  </si>
  <si>
    <t>2271366674</t>
  </si>
  <si>
    <t>20165230</t>
  </si>
  <si>
    <t>Polymers of vinyl acetate, in aqueous dispersion, in primary forms</t>
  </si>
  <si>
    <t>1066468144</t>
  </si>
  <si>
    <t>20165250</t>
  </si>
  <si>
    <t>Polymers of vinyl acetate, in primary forms (excluding in aqueous dispersion)</t>
  </si>
  <si>
    <t>20165270</t>
  </si>
  <si>
    <t>Polymers of vinyl esters or other vinyl polymers, in primary forms (excluding vinyl acetate)</t>
  </si>
  <si>
    <t>161644241</t>
  </si>
  <si>
    <t>20165350</t>
  </si>
  <si>
    <t>Polymethyl methacrylate, in primary forms</t>
  </si>
  <si>
    <t>88203890</t>
  </si>
  <si>
    <t>20165390</t>
  </si>
  <si>
    <t>Acrylic polymers, in primary forms (excluding polymethyl methacrylate)</t>
  </si>
  <si>
    <t>3338385824</t>
  </si>
  <si>
    <t>20165450</t>
  </si>
  <si>
    <t>Polyamide -6, -11, -12, -6,6, -6,9, -6,10 or -6,12, in primary forms</t>
  </si>
  <si>
    <t>1859082545</t>
  </si>
  <si>
    <t>20165490</t>
  </si>
  <si>
    <t>Polyamides, in primary forms (excluding polyamide -6, -11, -12, -6,6, -6,9, -6,10 or -6,12)</t>
  </si>
  <si>
    <t>267901555</t>
  </si>
  <si>
    <t>20165550</t>
  </si>
  <si>
    <t>Urea resins and thiourea resins, in primary forms</t>
  </si>
  <si>
    <t>3271365258</t>
  </si>
  <si>
    <t>20165570</t>
  </si>
  <si>
    <t>Melamine resins, in primary forms</t>
  </si>
  <si>
    <t>910605119</t>
  </si>
  <si>
    <t>20165630</t>
  </si>
  <si>
    <t>Amino resins, in primary forms (excluding urea and thiourea resins, melamine resins)</t>
  </si>
  <si>
    <t>1330954731</t>
  </si>
  <si>
    <t>20165650</t>
  </si>
  <si>
    <t>Phenolic resins, in primary forms</t>
  </si>
  <si>
    <t>838266066</t>
  </si>
  <si>
    <t>20165670</t>
  </si>
  <si>
    <t>Polyurethanes, in primary forms</t>
  </si>
  <si>
    <t>2344181214</t>
  </si>
  <si>
    <t>20165700</t>
  </si>
  <si>
    <t>Silicones, in primary forms</t>
  </si>
  <si>
    <t>632119307</t>
  </si>
  <si>
    <t>20165920</t>
  </si>
  <si>
    <t>Petroleum resins, coumarone-indene resins, polyterpenes, polysulphides, polysulphones, etc., n.e.c., in primary forms</t>
  </si>
  <si>
    <t>508000000</t>
  </si>
  <si>
    <t>20165940</t>
  </si>
  <si>
    <t>Cellulose and its chemical derivatives, n.e.c., in primary forms</t>
  </si>
  <si>
    <t>20165945</t>
  </si>
  <si>
    <t>Sodium carboxymethyl cellulose</t>
  </si>
  <si>
    <t>30076410</t>
  </si>
  <si>
    <t>20165950</t>
  </si>
  <si>
    <t>Cellulose and its chemical derivatives, in primary forms, excluding sodium carboxymethyl cellulose and n.e.c.</t>
  </si>
  <si>
    <t>342232085</t>
  </si>
  <si>
    <t>20165955</t>
  </si>
  <si>
    <t>Natural polymers and modified natural polymers, not elsewhere specified or included, in primary forms . Alginic acid, its salts and esters</t>
  </si>
  <si>
    <t>134000000</t>
  </si>
  <si>
    <t>20165960</t>
  </si>
  <si>
    <t>Natural and modified natural polymers, in primary forms (including alginic acid, hardened proteins, chemical derivatives of natural rubber)</t>
  </si>
  <si>
    <t>20165965</t>
  </si>
  <si>
    <t>Natural polymers and modified natural polymers, e.g. hardened proteins, chemical derivatives of natural rubber, n.e.s., in primary forms (excl. alginic acid and its salts and esters)</t>
  </si>
  <si>
    <t>20165970</t>
  </si>
  <si>
    <t>Ion-exchangers based on synthetic or natural polymers, in primary forms</t>
  </si>
  <si>
    <t>142099386</t>
  </si>
  <si>
    <t>PRODQNT - EU27_2020 - 2019 - amount</t>
  </si>
  <si>
    <t>PRODQNT - EU27_2020 - 2019 - unit</t>
  </si>
  <si>
    <t>EXPQNT - EU27_2020 - 2019 - amount</t>
  </si>
  <si>
    <t>EXPQNT - EU27_2020 - 2019 - unit</t>
  </si>
  <si>
    <t>IMPQNT - EU27_2020 - 2019 - amount</t>
  </si>
  <si>
    <t>IMPQNT - EU27_2020 - 2019 - unit</t>
  </si>
  <si>
    <t>PRODQNT - EU27_2020 - 2022 - amount</t>
  </si>
  <si>
    <t>PRODQNT - EU27_2020 - 2022 - unit</t>
  </si>
  <si>
    <t>EXPQNT - EU27_2020 - 2022 - amount</t>
  </si>
  <si>
    <t>EXPQNT - EU27_2020 - 2022 - unit</t>
  </si>
  <si>
    <t>IMPQNT - EU27_2020 - 2022 - amount</t>
  </si>
  <si>
    <t>IMPQNT - EU27_2020 - 2022 - unit</t>
  </si>
  <si>
    <t>PRODQNT - FR - 2019 - amount</t>
  </si>
  <si>
    <t>PRODQNT - FR - 2019 - unit</t>
  </si>
  <si>
    <t>EXPQNT - FR - 2019 - amount</t>
  </si>
  <si>
    <t>EXPQNT - FR - 2019 - unit</t>
  </si>
  <si>
    <t>IMPQNT - FR - 2019 - amount</t>
  </si>
  <si>
    <t>IMPQNT - FR - 2019 - unit</t>
  </si>
  <si>
    <t>PRODQNT - FR - 2022 - amount</t>
  </si>
  <si>
    <t>PRODQNT - FR - 2022 - unit</t>
  </si>
  <si>
    <t>EXPQNT - FR - 2022 - amount</t>
  </si>
  <si>
    <t>EXPQNT - FR - 2022 - unit</t>
  </si>
  <si>
    <t>IMPQNT - FR - 2022 - amount</t>
  </si>
  <si>
    <t>IMPQNT - FR - 2022 - unit</t>
  </si>
  <si>
    <t>N/A</t>
  </si>
  <si>
    <t>PRODQNT + IMPQNT - EU27 - 2019</t>
  </si>
  <si>
    <t>PRODQNT + IMPQNT - EU27 - 2022</t>
  </si>
  <si>
    <t>PRODQNT + IMPQNT - FR - 2019</t>
  </si>
  <si>
    <t>PRODQNT + IMPQNT - FR - 2022</t>
  </si>
  <si>
    <t>94938259</t>
  </si>
  <si>
    <t>1993784447</t>
  </si>
  <si>
    <t>980000000</t>
  </si>
  <si>
    <t>74915115</t>
  </si>
  <si>
    <t>1792881362</t>
  </si>
  <si>
    <t>0</t>
  </si>
  <si>
    <t>14838200</t>
  </si>
  <si>
    <t>86858300</t>
  </si>
  <si>
    <t>6572870</t>
  </si>
  <si>
    <t>12477080</t>
  </si>
  <si>
    <t>45142235</t>
  </si>
  <si>
    <t>280758738</t>
  </si>
  <si>
    <t>1418579590</t>
  </si>
  <si>
    <t>9087159767</t>
  </si>
  <si>
    <t>130155532</t>
  </si>
  <si>
    <t>1250333999</t>
  </si>
  <si>
    <t>1454878883</t>
  </si>
  <si>
    <t>198372600</t>
  </si>
  <si>
    <t>71123000</t>
  </si>
  <si>
    <t>101283487</t>
  </si>
  <si>
    <t>171202101</t>
  </si>
  <si>
    <t>124453445</t>
  </si>
  <si>
    <t>845569901</t>
  </si>
  <si>
    <t>8574019066</t>
  </si>
  <si>
    <t>199594233</t>
  </si>
  <si>
    <t>507722136</t>
  </si>
  <si>
    <t>1055275803</t>
  </si>
  <si>
    <t>120498700</t>
  </si>
  <si>
    <t>376161400</t>
  </si>
  <si>
    <t>91064341</t>
  </si>
  <si>
    <t>361054455</t>
  </si>
  <si>
    <t>95308472</t>
  </si>
  <si>
    <t>66119</t>
  </si>
  <si>
    <t>2000000000</t>
  </si>
  <si>
    <t>107722054</t>
  </si>
  <si>
    <t>46666</t>
  </si>
  <si>
    <t>105200</t>
  </si>
  <si>
    <t>22874100</t>
  </si>
  <si>
    <t>494</t>
  </si>
  <si>
    <t>22163375</t>
  </si>
  <si>
    <t>298433161</t>
  </si>
  <si>
    <t>27881078</t>
  </si>
  <si>
    <t>2800000000</t>
  </si>
  <si>
    <t>278199711</t>
  </si>
  <si>
    <t>8940257</t>
  </si>
  <si>
    <t>811314214</t>
  </si>
  <si>
    <t>34734300</t>
  </si>
  <si>
    <t>267379000</t>
  </si>
  <si>
    <t>16780075</t>
  </si>
  <si>
    <t>242912947</t>
  </si>
  <si>
    <t>124002539</t>
  </si>
  <si>
    <t>349604452</t>
  </si>
  <si>
    <t>808857061</t>
  </si>
  <si>
    <t>90058043</t>
  </si>
  <si>
    <t>420165419</t>
  </si>
  <si>
    <t>23768500</t>
  </si>
  <si>
    <t>107374000</t>
  </si>
  <si>
    <t>532055</t>
  </si>
  <si>
    <t>1749048</t>
  </si>
  <si>
    <t>97771943</t>
  </si>
  <si>
    <t>5029620</t>
  </si>
  <si>
    <t>463070237</t>
  </si>
  <si>
    <t>4478790</t>
  </si>
  <si>
    <t>443315016</t>
  </si>
  <si>
    <t>557000</t>
  </si>
  <si>
    <t>194859500</t>
  </si>
  <si>
    <t>2214917</t>
  </si>
  <si>
    <t>77760638</t>
  </si>
  <si>
    <t>36477436</t>
  </si>
  <si>
    <t>67517838</t>
  </si>
  <si>
    <t>99748574</t>
  </si>
  <si>
    <t>41795774</t>
  </si>
  <si>
    <t>74879749</t>
  </si>
  <si>
    <t>10577900</t>
  </si>
  <si>
    <t>14136100</t>
  </si>
  <si>
    <t>13628552</t>
  </si>
  <si>
    <t>28847014</t>
  </si>
  <si>
    <t>113144308</t>
  </si>
  <si>
    <t>1030258210</t>
  </si>
  <si>
    <t>5504236965</t>
  </si>
  <si>
    <t>319663008</t>
  </si>
  <si>
    <t>730239102</t>
  </si>
  <si>
    <t>453962000</t>
  </si>
  <si>
    <t>106748700</t>
  </si>
  <si>
    <t>271292700</t>
  </si>
  <si>
    <t>81604347</t>
  </si>
  <si>
    <t>185801174</t>
  </si>
  <si>
    <t>210931571</t>
  </si>
  <si>
    <t>50491828</t>
  </si>
  <si>
    <t>1096615778</t>
  </si>
  <si>
    <t>243200094</t>
  </si>
  <si>
    <t>23765837</t>
  </si>
  <si>
    <t>132656282</t>
  </si>
  <si>
    <t>20727600</t>
  </si>
  <si>
    <t>22029700</t>
  </si>
  <si>
    <t>87834755</t>
  </si>
  <si>
    <t>13289480</t>
  </si>
  <si>
    <t>24358090</t>
  </si>
  <si>
    <t>23182840</t>
  </si>
  <si>
    <t>113572389</t>
  </si>
  <si>
    <t>142572057</t>
  </si>
  <si>
    <t>17890026</t>
  </si>
  <si>
    <t>175636350</t>
  </si>
  <si>
    <t>3326900</t>
  </si>
  <si>
    <t>48641274</t>
  </si>
  <si>
    <t>474498</t>
  </si>
  <si>
    <t>369289430</t>
  </si>
  <si>
    <t>466476317</t>
  </si>
  <si>
    <t>555399993</t>
  </si>
  <si>
    <t>95082696</t>
  </si>
  <si>
    <t>636505954</t>
  </si>
  <si>
    <t>10900</t>
  </si>
  <si>
    <t>49094731</t>
  </si>
  <si>
    <t>6319207</t>
  </si>
  <si>
    <t>3284692</t>
  </si>
  <si>
    <t>37675130</t>
  </si>
  <si>
    <t>800000000</t>
  </si>
  <si>
    <t>1808665</t>
  </si>
  <si>
    <t>21433537</t>
  </si>
  <si>
    <t>719900</t>
  </si>
  <si>
    <t>3666900</t>
  </si>
  <si>
    <t>848820</t>
  </si>
  <si>
    <t>1816486</t>
  </si>
  <si>
    <t>592906998</t>
  </si>
  <si>
    <t>780445063</t>
  </si>
  <si>
    <t>3000000000</t>
  </si>
  <si>
    <t>319176496</t>
  </si>
  <si>
    <t>627976392</t>
  </si>
  <si>
    <t>245663900</t>
  </si>
  <si>
    <t>314982100</t>
  </si>
  <si>
    <t>167106617</t>
  </si>
  <si>
    <t>242749901</t>
  </si>
  <si>
    <t>1574253</t>
  </si>
  <si>
    <t>172820488</t>
  </si>
  <si>
    <t>600000000</t>
  </si>
  <si>
    <t>2580128</t>
  </si>
  <si>
    <t>42497260</t>
  </si>
  <si>
    <t>9512600</t>
  </si>
  <si>
    <t>25339100</t>
  </si>
  <si>
    <t>148899</t>
  </si>
  <si>
    <t>4206123</t>
  </si>
  <si>
    <t>214701</t>
  </si>
  <si>
    <t>240567437</t>
  </si>
  <si>
    <t>727568000</t>
  </si>
  <si>
    <t>77525</t>
  </si>
  <si>
    <t>50927527</t>
  </si>
  <si>
    <t>10901800</t>
  </si>
  <si>
    <t>2089702</t>
  </si>
  <si>
    <t>28939953</t>
  </si>
  <si>
    <t>25394624</t>
  </si>
  <si>
    <t>753000000</t>
  </si>
  <si>
    <t>22560543</t>
  </si>
  <si>
    <t>29958858</t>
  </si>
  <si>
    <t>28467100</t>
  </si>
  <si>
    <t>7180805</t>
  </si>
  <si>
    <t>29042478</t>
  </si>
  <si>
    <t>28552713</t>
  </si>
  <si>
    <t>5877794</t>
  </si>
  <si>
    <t>32432440</t>
  </si>
  <si>
    <t>894106</t>
  </si>
  <si>
    <t>5501400</t>
  </si>
  <si>
    <t>20581900</t>
  </si>
  <si>
    <t>9427321</t>
  </si>
  <si>
    <t>26272884</t>
  </si>
  <si>
    <t>81351035</t>
  </si>
  <si>
    <t>3226171</t>
  </si>
  <si>
    <t>140000000</t>
  </si>
  <si>
    <t>55232457</t>
  </si>
  <si>
    <t>3056485</t>
  </si>
  <si>
    <t>40993825</t>
  </si>
  <si>
    <t>36773800</t>
  </si>
  <si>
    <t>5646700</t>
  </si>
  <si>
    <t>31514153</t>
  </si>
  <si>
    <t>4090040</t>
  </si>
  <si>
    <t>6537527</t>
  </si>
  <si>
    <t>3045872</t>
  </si>
  <si>
    <t>3302776</t>
  </si>
  <si>
    <t>910325</t>
  </si>
  <si>
    <t>39077065</t>
  </si>
  <si>
    <t>3731800</t>
  </si>
  <si>
    <t>14245658</t>
  </si>
  <si>
    <t>5272286</t>
  </si>
  <si>
    <t>2123016</t>
  </si>
  <si>
    <t>546</t>
  </si>
  <si>
    <t>30251440</t>
  </si>
  <si>
    <t>10207739</t>
  </si>
  <si>
    <t>397</t>
  </si>
  <si>
    <t>2922500</t>
  </si>
  <si>
    <t>2143413</t>
  </si>
  <si>
    <t>173165102</t>
  </si>
  <si>
    <t>418388518</t>
  </si>
  <si>
    <t>910000000</t>
  </si>
  <si>
    <t>179146646</t>
  </si>
  <si>
    <t>292939382</t>
  </si>
  <si>
    <t>9400</t>
  </si>
  <si>
    <t>19552300</t>
  </si>
  <si>
    <t>35701</t>
  </si>
  <si>
    <t>36205723</t>
  </si>
  <si>
    <t>24805630</t>
  </si>
  <si>
    <t>982711</t>
  </si>
  <si>
    <t>60000000</t>
  </si>
  <si>
    <t>29844172</t>
  </si>
  <si>
    <t>1946135</t>
  </si>
  <si>
    <t>4097300</t>
  </si>
  <si>
    <t>1092968</t>
  </si>
  <si>
    <t>3443719</t>
  </si>
  <si>
    <t>17677019</t>
  </si>
  <si>
    <t>91575627</t>
  </si>
  <si>
    <t>67849999</t>
  </si>
  <si>
    <t>82272543</t>
  </si>
  <si>
    <t>317967700</t>
  </si>
  <si>
    <t>131205247</t>
  </si>
  <si>
    <t>324636814</t>
  </si>
  <si>
    <t>72564995</t>
  </si>
  <si>
    <t>12840110</t>
  </si>
  <si>
    <t>69384343</t>
  </si>
  <si>
    <t>2962437</t>
  </si>
  <si>
    <t>23389000</t>
  </si>
  <si>
    <t>1352700</t>
  </si>
  <si>
    <t>13609321</t>
  </si>
  <si>
    <t>959259</t>
  </si>
  <si>
    <t>23167244</t>
  </si>
  <si>
    <t>3513061</t>
  </si>
  <si>
    <t>174203169</t>
  </si>
  <si>
    <t>26531248</t>
  </si>
  <si>
    <t>1530242</t>
  </si>
  <si>
    <t>3815100</t>
  </si>
  <si>
    <t>4755100</t>
  </si>
  <si>
    <t>2959817</t>
  </si>
  <si>
    <t>1545644</t>
  </si>
  <si>
    <t>51283741</t>
  </si>
  <si>
    <t>29683486</t>
  </si>
  <si>
    <t>180454643</t>
  </si>
  <si>
    <t>54690922</t>
  </si>
  <si>
    <t>11377894</t>
  </si>
  <si>
    <t>15682691</t>
  </si>
  <si>
    <t>21410400</t>
  </si>
  <si>
    <t>48896100</t>
  </si>
  <si>
    <t>15858235</t>
  </si>
  <si>
    <t>19658915</t>
  </si>
  <si>
    <t>47142012</t>
  </si>
  <si>
    <t>28697153</t>
  </si>
  <si>
    <t>25046989</t>
  </si>
  <si>
    <t>84850283</t>
  </si>
  <si>
    <t>53204508</t>
  </si>
  <si>
    <t>13462202</t>
  </si>
  <si>
    <t>10500</t>
  </si>
  <si>
    <t>272700</t>
  </si>
  <si>
    <t>1691</t>
  </si>
  <si>
    <t>15312</t>
  </si>
  <si>
    <t>5804871</t>
  </si>
  <si>
    <t>14907414</t>
  </si>
  <si>
    <t>96094898</t>
  </si>
  <si>
    <t>6055202</t>
  </si>
  <si>
    <t>13458439</t>
  </si>
  <si>
    <t>100</t>
  </si>
  <si>
    <t>1143200</t>
  </si>
  <si>
    <t>999428</t>
  </si>
  <si>
    <t>1575460</t>
  </si>
  <si>
    <t>21141030</t>
  </si>
  <si>
    <t>52667448</t>
  </si>
  <si>
    <t>25000000</t>
  </si>
  <si>
    <t>12007464</t>
  </si>
  <si>
    <t>66870998</t>
  </si>
  <si>
    <t>21280612</t>
  </si>
  <si>
    <t>8761500</t>
  </si>
  <si>
    <t>10816600</t>
  </si>
  <si>
    <t>8942013</t>
  </si>
  <si>
    <t>6759435</t>
  </si>
  <si>
    <t>9366749</t>
  </si>
  <si>
    <t>6937934</t>
  </si>
  <si>
    <t>54227181</t>
  </si>
  <si>
    <t>12952687</t>
  </si>
  <si>
    <t>8999142</t>
  </si>
  <si>
    <t>1661200</t>
  </si>
  <si>
    <t>27647562</t>
  </si>
  <si>
    <t>3645674</t>
  </si>
  <si>
    <t>117468</t>
  </si>
  <si>
    <t>447159</t>
  </si>
  <si>
    <t>85788</t>
  </si>
  <si>
    <t>604096</t>
  </si>
  <si>
    <t>20800</t>
  </si>
  <si>
    <t>22300</t>
  </si>
  <si>
    <t>23940</t>
  </si>
  <si>
    <t>31600</t>
  </si>
  <si>
    <t>95446044</t>
  </si>
  <si>
    <t>33073353</t>
  </si>
  <si>
    <t>76055046</t>
  </si>
  <si>
    <t>29369024</t>
  </si>
  <si>
    <t>1810176</t>
  </si>
  <si>
    <t>228500</t>
  </si>
  <si>
    <t>6315000</t>
  </si>
  <si>
    <t>181448</t>
  </si>
  <si>
    <t>6133457</t>
  </si>
  <si>
    <t>151534135</t>
  </si>
  <si>
    <t>245081813</t>
  </si>
  <si>
    <t>315300642</t>
  </si>
  <si>
    <t>139474478</t>
  </si>
  <si>
    <t>261501422</t>
  </si>
  <si>
    <t>31270800</t>
  </si>
  <si>
    <t>52387000</t>
  </si>
  <si>
    <t>35723088</t>
  </si>
  <si>
    <t>48629294</t>
  </si>
  <si>
    <t>465543413</t>
  </si>
  <si>
    <t>6504716635</t>
  </si>
  <si>
    <t>360831488</t>
  </si>
  <si>
    <t>5924732058</t>
  </si>
  <si>
    <t>3032600</t>
  </si>
  <si>
    <t>621287900</t>
  </si>
  <si>
    <t>2033506</t>
  </si>
  <si>
    <t>2559616</t>
  </si>
  <si>
    <t>576113848</t>
  </si>
  <si>
    <t>93302861</t>
  </si>
  <si>
    <t>123058079</t>
  </si>
  <si>
    <t>540000000</t>
  </si>
  <si>
    <t>79116387</t>
  </si>
  <si>
    <t>127347651</t>
  </si>
  <si>
    <t>83483947</t>
  </si>
  <si>
    <t>20920700</t>
  </si>
  <si>
    <t>55710497</t>
  </si>
  <si>
    <t>18576637</t>
  </si>
  <si>
    <t>31892022</t>
  </si>
  <si>
    <t>164422789</t>
  </si>
  <si>
    <t>22514956</t>
  </si>
  <si>
    <t>107331541</t>
  </si>
  <si>
    <t>4336500</t>
  </si>
  <si>
    <t>2896600</t>
  </si>
  <si>
    <t>25845138</t>
  </si>
  <si>
    <t>22366103</t>
  </si>
  <si>
    <t>62795817</t>
  </si>
  <si>
    <t>98883577</t>
  </si>
  <si>
    <t>16628840</t>
  </si>
  <si>
    <t>15869000</t>
  </si>
  <si>
    <t>5767300</t>
  </si>
  <si>
    <t>16116362</t>
  </si>
  <si>
    <t>5749846</t>
  </si>
  <si>
    <t>160859338</t>
  </si>
  <si>
    <t>17662408</t>
  </si>
  <si>
    <t>377124209</t>
  </si>
  <si>
    <t>159053721</t>
  </si>
  <si>
    <t>22843509</t>
  </si>
  <si>
    <t>300</t>
  </si>
  <si>
    <t>46810200</t>
  </si>
  <si>
    <t>43506696</t>
  </si>
  <si>
    <t>35752479</t>
  </si>
  <si>
    <t>190240622</t>
  </si>
  <si>
    <t>61357529</t>
  </si>
  <si>
    <t>420178578</t>
  </si>
  <si>
    <t>231711718</t>
  </si>
  <si>
    <t>61100291</t>
  </si>
  <si>
    <t>36010405</t>
  </si>
  <si>
    <t>22952700</t>
  </si>
  <si>
    <t>41605500</t>
  </si>
  <si>
    <t>29510521</t>
  </si>
  <si>
    <t>22990522</t>
  </si>
  <si>
    <t>27688513</t>
  </si>
  <si>
    <t>7880560</t>
  </si>
  <si>
    <t>20380731</t>
  </si>
  <si>
    <t>9000000</t>
  </si>
  <si>
    <t>6877890</t>
  </si>
  <si>
    <t>21307256</t>
  </si>
  <si>
    <t>2040300</t>
  </si>
  <si>
    <t>3712500</t>
  </si>
  <si>
    <t>2330001</t>
  </si>
  <si>
    <t>5618432</t>
  </si>
  <si>
    <t>115708314</t>
  </si>
  <si>
    <t>870400383</t>
  </si>
  <si>
    <t>50499603</t>
  </si>
  <si>
    <t>795747967</t>
  </si>
  <si>
    <t>99796</t>
  </si>
  <si>
    <t>72481700</t>
  </si>
  <si>
    <t>131879</t>
  </si>
  <si>
    <t>6955287</t>
  </si>
  <si>
    <t>71460637</t>
  </si>
  <si>
    <t>100280812</t>
  </si>
  <si>
    <t>49344702</t>
  </si>
  <si>
    <t>84547052</t>
  </si>
  <si>
    <t>48026699</t>
  </si>
  <si>
    <t>42017000</t>
  </si>
  <si>
    <t>96355300</t>
  </si>
  <si>
    <t>54876987</t>
  </si>
  <si>
    <t>71053198</t>
  </si>
  <si>
    <t>6320533</t>
  </si>
  <si>
    <t>2704872</t>
  </si>
  <si>
    <t>43574299</t>
  </si>
  <si>
    <t>4063391</t>
  </si>
  <si>
    <t>4026400</t>
  </si>
  <si>
    <t>112642312</t>
  </si>
  <si>
    <t>2137780</t>
  </si>
  <si>
    <t>137272514</t>
  </si>
  <si>
    <t>131728247</t>
  </si>
  <si>
    <t>528905740</t>
  </si>
  <si>
    <t>123356024</t>
  </si>
  <si>
    <t>199709484</t>
  </si>
  <si>
    <t>14278903</t>
  </si>
  <si>
    <t>27117200</t>
  </si>
  <si>
    <t>22392200</t>
  </si>
  <si>
    <t>12491540</t>
  </si>
  <si>
    <t>45430434</t>
  </si>
  <si>
    <t>28788281</t>
  </si>
  <si>
    <t>1144368</t>
  </si>
  <si>
    <t>26388846</t>
  </si>
  <si>
    <t>77816000</t>
  </si>
  <si>
    <t>1450926</t>
  </si>
  <si>
    <t>22438242</t>
  </si>
  <si>
    <t>83100</t>
  </si>
  <si>
    <t>1225</t>
  </si>
  <si>
    <t>37379</t>
  </si>
  <si>
    <t>2250339</t>
  </si>
  <si>
    <t>3666324</t>
  </si>
  <si>
    <t>3390716</t>
  </si>
  <si>
    <t>4548838</t>
  </si>
  <si>
    <t>1059100</t>
  </si>
  <si>
    <t>107800</t>
  </si>
  <si>
    <t>1219928</t>
  </si>
  <si>
    <t>189240</t>
  </si>
  <si>
    <t>180370918</t>
  </si>
  <si>
    <t>52075139</t>
  </si>
  <si>
    <t>628715819</t>
  </si>
  <si>
    <t>161019466</t>
  </si>
  <si>
    <t>91453154</t>
  </si>
  <si>
    <t>29759100</t>
  </si>
  <si>
    <t>60508800</t>
  </si>
  <si>
    <t>12062468</t>
  </si>
  <si>
    <t>64452854</t>
  </si>
  <si>
    <t>17838368</t>
  </si>
  <si>
    <t>12265744</t>
  </si>
  <si>
    <t>19090663</t>
  </si>
  <si>
    <t>15879390</t>
  </si>
  <si>
    <t>3104800</t>
  </si>
  <si>
    <t>2837700</t>
  </si>
  <si>
    <t>43079</t>
  </si>
  <si>
    <t>2885980</t>
  </si>
  <si>
    <t>3256635</t>
  </si>
  <si>
    <t>20557421</t>
  </si>
  <si>
    <t>15579494</t>
  </si>
  <si>
    <t>20531226</t>
  </si>
  <si>
    <t>14856636</t>
  </si>
  <si>
    <t>53800</t>
  </si>
  <si>
    <t>3123000</t>
  </si>
  <si>
    <t>4498</t>
  </si>
  <si>
    <t>158703</t>
  </si>
  <si>
    <t>2958444</t>
  </si>
  <si>
    <t>125976851</t>
  </si>
  <si>
    <t>175036714</t>
  </si>
  <si>
    <t>1527607322</t>
  </si>
  <si>
    <t>105538000</t>
  </si>
  <si>
    <t>273208235</t>
  </si>
  <si>
    <t>4265100</t>
  </si>
  <si>
    <t>32594700</t>
  </si>
  <si>
    <t>3775934</t>
  </si>
  <si>
    <t>29503864</t>
  </si>
  <si>
    <t>7916916</t>
  </si>
  <si>
    <t>48361171</t>
  </si>
  <si>
    <t>7356608</t>
  </si>
  <si>
    <t>58032226</t>
  </si>
  <si>
    <t>1945000</t>
  </si>
  <si>
    <t>9987</t>
  </si>
  <si>
    <t>2708028</t>
  </si>
  <si>
    <t>16785120</t>
  </si>
  <si>
    <t>15340618</t>
  </si>
  <si>
    <t>10000000</t>
  </si>
  <si>
    <t>25378415</t>
  </si>
  <si>
    <t>14153517</t>
  </si>
  <si>
    <t>394900</t>
  </si>
  <si>
    <t>2113400</t>
  </si>
  <si>
    <t>13266641</t>
  </si>
  <si>
    <t>1566897</t>
  </si>
  <si>
    <t>2772291</t>
  </si>
  <si>
    <t>5561221</t>
  </si>
  <si>
    <t>3200000</t>
  </si>
  <si>
    <t>2660699</t>
  </si>
  <si>
    <t>8785970</t>
  </si>
  <si>
    <t>5738</t>
  </si>
  <si>
    <t>1202000</t>
  </si>
  <si>
    <t>207700</t>
  </si>
  <si>
    <t>995662</t>
  </si>
  <si>
    <t>583135</t>
  </si>
  <si>
    <t>25938823</t>
  </si>
  <si>
    <t>92022573</t>
  </si>
  <si>
    <t>22182735</t>
  </si>
  <si>
    <t>91307073</t>
  </si>
  <si>
    <t>1199900</t>
  </si>
  <si>
    <t>14141600</t>
  </si>
  <si>
    <t>1633054</t>
  </si>
  <si>
    <t>13939303</t>
  </si>
  <si>
    <t>12988922</t>
  </si>
  <si>
    <t>61653431</t>
  </si>
  <si>
    <t>93316000</t>
  </si>
  <si>
    <t>10383898</t>
  </si>
  <si>
    <t>50857007</t>
  </si>
  <si>
    <t>72500</t>
  </si>
  <si>
    <t>18380400</t>
  </si>
  <si>
    <t>80690</t>
  </si>
  <si>
    <t>20367959</t>
  </si>
  <si>
    <t>28849185</t>
  </si>
  <si>
    <t>21297683</t>
  </si>
  <si>
    <t>142228455</t>
  </si>
  <si>
    <t>31539696</t>
  </si>
  <si>
    <t>4719034</t>
  </si>
  <si>
    <t>19488200</t>
  </si>
  <si>
    <t>5083100</t>
  </si>
  <si>
    <t>19896463</t>
  </si>
  <si>
    <t>7202036</t>
  </si>
  <si>
    <t>71756906</t>
  </si>
  <si>
    <t>186289261</t>
  </si>
  <si>
    <t>74405769</t>
  </si>
  <si>
    <t>174742471</t>
  </si>
  <si>
    <t>1846400</t>
  </si>
  <si>
    <t>46365900</t>
  </si>
  <si>
    <t>1494584</t>
  </si>
  <si>
    <t>51771270</t>
  </si>
  <si>
    <t>73763151</t>
  </si>
  <si>
    <t>1384545410</t>
  </si>
  <si>
    <t>126000000</t>
  </si>
  <si>
    <t>90293527</t>
  </si>
  <si>
    <t>1881285576</t>
  </si>
  <si>
    <t>28630700</t>
  </si>
  <si>
    <t>14680500</t>
  </si>
  <si>
    <t>20753074</t>
  </si>
  <si>
    <t>14394834</t>
  </si>
  <si>
    <t>26894837</t>
  </si>
  <si>
    <t>347703984</t>
  </si>
  <si>
    <t>17424587</t>
  </si>
  <si>
    <t>332601386</t>
  </si>
  <si>
    <t>12748602</t>
  </si>
  <si>
    <t>972500</t>
  </si>
  <si>
    <t>38435200</t>
  </si>
  <si>
    <t>18882599</t>
  </si>
  <si>
    <t>975831</t>
  </si>
  <si>
    <t>39191902</t>
  </si>
  <si>
    <t>157830975</t>
  </si>
  <si>
    <t>807566206</t>
  </si>
  <si>
    <t>535116016</t>
  </si>
  <si>
    <t>127855892</t>
  </si>
  <si>
    <t>766142528</t>
  </si>
  <si>
    <t>17163152</t>
  </si>
  <si>
    <t>67689600</t>
  </si>
  <si>
    <t>30602556</t>
  </si>
  <si>
    <t>75696535</t>
  </si>
  <si>
    <t>225307964</t>
  </si>
  <si>
    <t>89229495</t>
  </si>
  <si>
    <t>180718269</t>
  </si>
  <si>
    <t>92596307</t>
  </si>
  <si>
    <t>2348204</t>
  </si>
  <si>
    <t>2775500</t>
  </si>
  <si>
    <t>22171700</t>
  </si>
  <si>
    <t>1779220</t>
  </si>
  <si>
    <t>27581581</t>
  </si>
  <si>
    <t>31021660</t>
  </si>
  <si>
    <t>51509846</t>
  </si>
  <si>
    <t>30031292</t>
  </si>
  <si>
    <t>68350990</t>
  </si>
  <si>
    <t>5326607</t>
  </si>
  <si>
    <t>2537100</t>
  </si>
  <si>
    <t>17445900</t>
  </si>
  <si>
    <t>2728763</t>
  </si>
  <si>
    <t>16089941</t>
  </si>
  <si>
    <t>58102210</t>
  </si>
  <si>
    <t>119526418</t>
  </si>
  <si>
    <t>68378363</t>
  </si>
  <si>
    <t>96821167</t>
  </si>
  <si>
    <t>563500</t>
  </si>
  <si>
    <t>26093500</t>
  </si>
  <si>
    <t>2127251</t>
  </si>
  <si>
    <t>20171032</t>
  </si>
  <si>
    <t>56799171</t>
  </si>
  <si>
    <t>1082471420</t>
  </si>
  <si>
    <t>30857086</t>
  </si>
  <si>
    <t>738564975</t>
  </si>
  <si>
    <t>31583700</t>
  </si>
  <si>
    <t>14820479</t>
  </si>
  <si>
    <t>28225550</t>
  </si>
  <si>
    <t>8406238</t>
  </si>
  <si>
    <t>229458293</t>
  </si>
  <si>
    <t>2400000</t>
  </si>
  <si>
    <t>15040348</t>
  </si>
  <si>
    <t>212873632</t>
  </si>
  <si>
    <t>19613400</t>
  </si>
  <si>
    <t>2723086</t>
  </si>
  <si>
    <t>17071723</t>
  </si>
  <si>
    <t>22538817</t>
  </si>
  <si>
    <t>16382236</t>
  </si>
  <si>
    <t>18299769</t>
  </si>
  <si>
    <t>17867400</t>
  </si>
  <si>
    <t>5013400</t>
  </si>
  <si>
    <t>5596700</t>
  </si>
  <si>
    <t>5039707</t>
  </si>
  <si>
    <t>7547138</t>
  </si>
  <si>
    <t>186500168</t>
  </si>
  <si>
    <t>176024738</t>
  </si>
  <si>
    <t>189300133</t>
  </si>
  <si>
    <t>267653013</t>
  </si>
  <si>
    <t>12930459</t>
  </si>
  <si>
    <t>23974000</t>
  </si>
  <si>
    <t>16778388</t>
  </si>
  <si>
    <t>25992278</t>
  </si>
  <si>
    <t>53713988</t>
  </si>
  <si>
    <t>80673367</t>
  </si>
  <si>
    <t>64040832</t>
  </si>
  <si>
    <t>39416147</t>
  </si>
  <si>
    <t>1169900</t>
  </si>
  <si>
    <t>46117000</t>
  </si>
  <si>
    <t>54101298</t>
  </si>
  <si>
    <t>37468809</t>
  </si>
  <si>
    <t>188954201</t>
  </si>
  <si>
    <t>189665077</t>
  </si>
  <si>
    <t>175045345</t>
  </si>
  <si>
    <t>204861873</t>
  </si>
  <si>
    <t>62096300</t>
  </si>
  <si>
    <t>132448203</t>
  </si>
  <si>
    <t>64262399</t>
  </si>
  <si>
    <t>7227203</t>
  </si>
  <si>
    <t>26974150</t>
  </si>
  <si>
    <t>6493226</t>
  </si>
  <si>
    <t>19716963</t>
  </si>
  <si>
    <t>20947700</t>
  </si>
  <si>
    <t>3144</t>
  </si>
  <si>
    <t>23094159</t>
  </si>
  <si>
    <t>64551168</t>
  </si>
  <si>
    <t>251439108</t>
  </si>
  <si>
    <t>90000000</t>
  </si>
  <si>
    <t>39639277</t>
  </si>
  <si>
    <t>231638245</t>
  </si>
  <si>
    <t>59493900</t>
  </si>
  <si>
    <t>3932417</t>
  </si>
  <si>
    <t>53797782</t>
  </si>
  <si>
    <t>11195657</t>
  </si>
  <si>
    <t>8278783</t>
  </si>
  <si>
    <t>113438200</t>
  </si>
  <si>
    <t>8398742</t>
  </si>
  <si>
    <t>6117666</t>
  </si>
  <si>
    <t>624986</t>
  </si>
  <si>
    <t>3439000</t>
  </si>
  <si>
    <t>5188900</t>
  </si>
  <si>
    <t>2352004</t>
  </si>
  <si>
    <t>2624368</t>
  </si>
  <si>
    <t>4171224</t>
  </si>
  <si>
    <t>94439919</t>
  </si>
  <si>
    <t>27637651</t>
  </si>
  <si>
    <t>79330170</t>
  </si>
  <si>
    <t>18851124</t>
  </si>
  <si>
    <t>11491900</t>
  </si>
  <si>
    <t>15632000</t>
  </si>
  <si>
    <t>10100499</t>
  </si>
  <si>
    <t>14637989</t>
  </si>
  <si>
    <t>21547696</t>
  </si>
  <si>
    <t>5185031</t>
  </si>
  <si>
    <t>19296980</t>
  </si>
  <si>
    <t>5435333</t>
  </si>
  <si>
    <t>654900</t>
  </si>
  <si>
    <t>138676</t>
  </si>
  <si>
    <t>900734</t>
  </si>
  <si>
    <t>63489</t>
  </si>
  <si>
    <t>258239</t>
  </si>
  <si>
    <t>320000</t>
  </si>
  <si>
    <t>77139</t>
  </si>
  <si>
    <t>418278</t>
  </si>
  <si>
    <t>65800</t>
  </si>
  <si>
    <t>5143</t>
  </si>
  <si>
    <t>46084</t>
  </si>
  <si>
    <t>2637164</t>
  </si>
  <si>
    <t>16307198</t>
  </si>
  <si>
    <t>2649216</t>
  </si>
  <si>
    <t>11264959</t>
  </si>
  <si>
    <t>151150</t>
  </si>
  <si>
    <t>234800</t>
  </si>
  <si>
    <t>604300</t>
  </si>
  <si>
    <t>149826</t>
  </si>
  <si>
    <t>770559</t>
  </si>
  <si>
    <t>22275611</t>
  </si>
  <si>
    <t>88601174</t>
  </si>
  <si>
    <t>220000000</t>
  </si>
  <si>
    <t>28923362</t>
  </si>
  <si>
    <t>82016946</t>
  </si>
  <si>
    <t>50948743</t>
  </si>
  <si>
    <t>3472500</t>
  </si>
  <si>
    <t>20385100</t>
  </si>
  <si>
    <t>11040601</t>
  </si>
  <si>
    <t>9683231</t>
  </si>
  <si>
    <t>21099467</t>
  </si>
  <si>
    <t>2336209</t>
  </si>
  <si>
    <t>327084</t>
  </si>
  <si>
    <t>200000</t>
  </si>
  <si>
    <t>846812</t>
  </si>
  <si>
    <t>474911</t>
  </si>
  <si>
    <t>43400</t>
  </si>
  <si>
    <t>72000</t>
  </si>
  <si>
    <t>272890</t>
  </si>
  <si>
    <t>30111</t>
  </si>
  <si>
    <t>8614841</t>
  </si>
  <si>
    <t>67809488</t>
  </si>
  <si>
    <t>570940994</t>
  </si>
  <si>
    <t>19655724</t>
  </si>
  <si>
    <t>96714575</t>
  </si>
  <si>
    <t>31223800</t>
  </si>
  <si>
    <t>117590400</t>
  </si>
  <si>
    <t>28013386</t>
  </si>
  <si>
    <t>2357403</t>
  </si>
  <si>
    <t>50567038</t>
  </si>
  <si>
    <t>40247192</t>
  </si>
  <si>
    <t>5613795</t>
  </si>
  <si>
    <t>58750649</t>
  </si>
  <si>
    <t>34245200</t>
  </si>
  <si>
    <t>112998</t>
  </si>
  <si>
    <t>24450897</t>
  </si>
  <si>
    <t>530861746</t>
  </si>
  <si>
    <t>1043592979</t>
  </si>
  <si>
    <t>786875190</t>
  </si>
  <si>
    <t>567296099</t>
  </si>
  <si>
    <t>691283735</t>
  </si>
  <si>
    <t>12200</t>
  </si>
  <si>
    <t>76134800</t>
  </si>
  <si>
    <t>37355</t>
  </si>
  <si>
    <t>75268175</t>
  </si>
  <si>
    <t>239796765</t>
  </si>
  <si>
    <t>192839291</t>
  </si>
  <si>
    <t>361963805</t>
  </si>
  <si>
    <t>132590108</t>
  </si>
  <si>
    <t>227000874</t>
  </si>
  <si>
    <t>16904400</t>
  </si>
  <si>
    <t>31697900</t>
  </si>
  <si>
    <t>19378747</t>
  </si>
  <si>
    <t>35307086</t>
  </si>
  <si>
    <t>69781204</t>
  </si>
  <si>
    <t>278729397</t>
  </si>
  <si>
    <t>500000000</t>
  </si>
  <si>
    <t>59140849</t>
  </si>
  <si>
    <t>337179497</t>
  </si>
  <si>
    <t>340611</t>
  </si>
  <si>
    <t>4548500</t>
  </si>
  <si>
    <t>57879500</t>
  </si>
  <si>
    <t>719571</t>
  </si>
  <si>
    <t>3435431</t>
  </si>
  <si>
    <t>58270296</t>
  </si>
  <si>
    <t>176964057</t>
  </si>
  <si>
    <t>165221215</t>
  </si>
  <si>
    <t>450000000</t>
  </si>
  <si>
    <t>141695276</t>
  </si>
  <si>
    <t>192698480</t>
  </si>
  <si>
    <t>75018500</t>
  </si>
  <si>
    <t>46071600</t>
  </si>
  <si>
    <t>73834500</t>
  </si>
  <si>
    <t>51763425</t>
  </si>
  <si>
    <t>223480994</t>
  </si>
  <si>
    <t>39438123</t>
  </si>
  <si>
    <t>144677511</t>
  </si>
  <si>
    <t>45054162</t>
  </si>
  <si>
    <t>1465900</t>
  </si>
  <si>
    <t>53977200</t>
  </si>
  <si>
    <t>95740</t>
  </si>
  <si>
    <t>48961938</t>
  </si>
  <si>
    <t>18891813</t>
  </si>
  <si>
    <t>8388095</t>
  </si>
  <si>
    <t>85145772</t>
  </si>
  <si>
    <t>15731873</t>
  </si>
  <si>
    <t>11592100</t>
  </si>
  <si>
    <t>84200</t>
  </si>
  <si>
    <t>23824100</t>
  </si>
  <si>
    <t>88198</t>
  </si>
  <si>
    <t>18968705</t>
  </si>
  <si>
    <t>51177823</t>
  </si>
  <si>
    <t>42246780</t>
  </si>
  <si>
    <t>167217808</t>
  </si>
  <si>
    <t>46003190</t>
  </si>
  <si>
    <t>57828011</t>
  </si>
  <si>
    <t>3878700</t>
  </si>
  <si>
    <t>8870838</t>
  </si>
  <si>
    <t>6592344</t>
  </si>
  <si>
    <t>58662623</t>
  </si>
  <si>
    <t>99459183</t>
  </si>
  <si>
    <t>77147740</t>
  </si>
  <si>
    <t>43739559</t>
  </si>
  <si>
    <t>471684411</t>
  </si>
  <si>
    <t>105800</t>
  </si>
  <si>
    <t>3839300</t>
  </si>
  <si>
    <t>250859617</t>
  </si>
  <si>
    <t>9107028</t>
  </si>
  <si>
    <t>55675874</t>
  </si>
  <si>
    <t>16948054</t>
  </si>
  <si>
    <t>90548058</t>
  </si>
  <si>
    <t>32475990</t>
  </si>
  <si>
    <t>17887484</t>
  </si>
  <si>
    <t>2451900</t>
  </si>
  <si>
    <t>6147800</t>
  </si>
  <si>
    <t>2241352</t>
  </si>
  <si>
    <t>4951211</t>
  </si>
  <si>
    <t>47583070</t>
  </si>
  <si>
    <t>5471621</t>
  </si>
  <si>
    <t>86733489</t>
  </si>
  <si>
    <t>38959997</t>
  </si>
  <si>
    <t>10927306</t>
  </si>
  <si>
    <t>95675</t>
  </si>
  <si>
    <t>186700</t>
  </si>
  <si>
    <t>6793100</t>
  </si>
  <si>
    <t>105320</t>
  </si>
  <si>
    <t>236579</t>
  </si>
  <si>
    <t>6100916</t>
  </si>
  <si>
    <t>47725553</t>
  </si>
  <si>
    <t>393559274</t>
  </si>
  <si>
    <t>484667201</t>
  </si>
  <si>
    <t>43389782</t>
  </si>
  <si>
    <t>397216957</t>
  </si>
  <si>
    <t>2589600</t>
  </si>
  <si>
    <t>909</t>
  </si>
  <si>
    <t>2100585</t>
  </si>
  <si>
    <t>2457277</t>
  </si>
  <si>
    <t>15521675</t>
  </si>
  <si>
    <t>6300000</t>
  </si>
  <si>
    <t>2109822</t>
  </si>
  <si>
    <t>16647408</t>
  </si>
  <si>
    <t>22700</t>
  </si>
  <si>
    <t>286100</t>
  </si>
  <si>
    <t>28634</t>
  </si>
  <si>
    <t>196907</t>
  </si>
  <si>
    <t>79354797</t>
  </si>
  <si>
    <t>21986927</t>
  </si>
  <si>
    <t>81000000</t>
  </si>
  <si>
    <t>70097049</t>
  </si>
  <si>
    <t>20433842</t>
  </si>
  <si>
    <t>83600</t>
  </si>
  <si>
    <t>7649100</t>
  </si>
  <si>
    <t>113976</t>
  </si>
  <si>
    <t>6584045</t>
  </si>
  <si>
    <t>52521836</t>
  </si>
  <si>
    <t>46602253</t>
  </si>
  <si>
    <t>51379096</t>
  </si>
  <si>
    <t>52792908</t>
  </si>
  <si>
    <t>374300</t>
  </si>
  <si>
    <t>5262600</t>
  </si>
  <si>
    <t>480058</t>
  </si>
  <si>
    <t>4630946</t>
  </si>
  <si>
    <t>16812460</t>
  </si>
  <si>
    <t>53095570</t>
  </si>
  <si>
    <t>8666447</t>
  </si>
  <si>
    <t>39400775</t>
  </si>
  <si>
    <t>11014800</t>
  </si>
  <si>
    <t>8986322</t>
  </si>
  <si>
    <t>15410088</t>
  </si>
  <si>
    <t>37247162</t>
  </si>
  <si>
    <t>14369175</t>
  </si>
  <si>
    <t>54703382</t>
  </si>
  <si>
    <t>5091701</t>
  </si>
  <si>
    <t>1997200</t>
  </si>
  <si>
    <t>8416796</t>
  </si>
  <si>
    <t>1463971</t>
  </si>
  <si>
    <t>79493017</t>
  </si>
  <si>
    <t>82756771</t>
  </si>
  <si>
    <t>79784379</t>
  </si>
  <si>
    <t>81759935</t>
  </si>
  <si>
    <t>53419491</t>
  </si>
  <si>
    <t>98500</t>
  </si>
  <si>
    <t>37582200</t>
  </si>
  <si>
    <t>20048547</t>
  </si>
  <si>
    <t>53673759</t>
  </si>
  <si>
    <t>110926987</t>
  </si>
  <si>
    <t>312192600</t>
  </si>
  <si>
    <t>120319846</t>
  </si>
  <si>
    <t>387929149</t>
  </si>
  <si>
    <t>24717075</t>
  </si>
  <si>
    <t>25400000</t>
  </si>
  <si>
    <t>58889700</t>
  </si>
  <si>
    <t>21181188</t>
  </si>
  <si>
    <t>26808378</t>
  </si>
  <si>
    <t>55351448</t>
  </si>
  <si>
    <t>3526694</t>
  </si>
  <si>
    <t>2788375</t>
  </si>
  <si>
    <t>8963044</t>
  </si>
  <si>
    <t>2509168</t>
  </si>
  <si>
    <t>1094634</t>
  </si>
  <si>
    <t>4600</t>
  </si>
  <si>
    <t>306200</t>
  </si>
  <si>
    <t>101809</t>
  </si>
  <si>
    <t>561378</t>
  </si>
  <si>
    <t>1242749</t>
  </si>
  <si>
    <t>3403122</t>
  </si>
  <si>
    <t>640000</t>
  </si>
  <si>
    <t>618172</t>
  </si>
  <si>
    <t>3114947</t>
  </si>
  <si>
    <t>77800</t>
  </si>
  <si>
    <t>329600</t>
  </si>
  <si>
    <t>45945</t>
  </si>
  <si>
    <t>277986</t>
  </si>
  <si>
    <t>6388437</t>
  </si>
  <si>
    <t>11189294</t>
  </si>
  <si>
    <t>6160538</t>
  </si>
  <si>
    <t>6380661</t>
  </si>
  <si>
    <t>228300</t>
  </si>
  <si>
    <t>1131000</t>
  </si>
  <si>
    <t>530972</t>
  </si>
  <si>
    <t>103196</t>
  </si>
  <si>
    <t>659028</t>
  </si>
  <si>
    <t>24783053</t>
  </si>
  <si>
    <t>23226777</t>
  </si>
  <si>
    <t>28000000</t>
  </si>
  <si>
    <t>19631437</t>
  </si>
  <si>
    <t>34834380</t>
  </si>
  <si>
    <t>12701760</t>
  </si>
  <si>
    <t>11022700</t>
  </si>
  <si>
    <t>2411400</t>
  </si>
  <si>
    <t>8942858</t>
  </si>
  <si>
    <t>2480170</t>
  </si>
  <si>
    <t>22678442</t>
  </si>
  <si>
    <t>145465139</t>
  </si>
  <si>
    <t>16819156</t>
  </si>
  <si>
    <t>105069102</t>
  </si>
  <si>
    <t>91185100</t>
  </si>
  <si>
    <t>110588</t>
  </si>
  <si>
    <t>94319027</t>
  </si>
  <si>
    <t>4985578</t>
  </si>
  <si>
    <t>4728240</t>
  </si>
  <si>
    <t>19334000</t>
  </si>
  <si>
    <t>5807382</t>
  </si>
  <si>
    <t>4127305</t>
  </si>
  <si>
    <t>9179300</t>
  </si>
  <si>
    <t>11041</t>
  </si>
  <si>
    <t>9102734</t>
  </si>
  <si>
    <t>116751497</t>
  </si>
  <si>
    <t>52317267</t>
  </si>
  <si>
    <t>205101283</t>
  </si>
  <si>
    <t>45869829</t>
  </si>
  <si>
    <t>63494505</t>
  </si>
  <si>
    <t>205590600</t>
  </si>
  <si>
    <t>70725800</t>
  </si>
  <si>
    <t>87909828</t>
  </si>
  <si>
    <t>34439835</t>
  </si>
  <si>
    <t>1766746</t>
  </si>
  <si>
    <t>19597510</t>
  </si>
  <si>
    <t>1665747</t>
  </si>
  <si>
    <t>1944142</t>
  </si>
  <si>
    <t>18230465</t>
  </si>
  <si>
    <t>684800</t>
  </si>
  <si>
    <t>1949400</t>
  </si>
  <si>
    <t>483138</t>
  </si>
  <si>
    <t>1152113</t>
  </si>
  <si>
    <t>5567311</t>
  </si>
  <si>
    <t>14745381</t>
  </si>
  <si>
    <t>5665048</t>
  </si>
  <si>
    <t>23829766</t>
  </si>
  <si>
    <t>1234987</t>
  </si>
  <si>
    <t>1445500</t>
  </si>
  <si>
    <t>2831500</t>
  </si>
  <si>
    <t>1984984</t>
  </si>
  <si>
    <t>3328027</t>
  </si>
  <si>
    <t>369916565</t>
  </si>
  <si>
    <t>73260715</t>
  </si>
  <si>
    <t>930000000</t>
  </si>
  <si>
    <t>223460601</t>
  </si>
  <si>
    <t>119281862</t>
  </si>
  <si>
    <t>61015061</t>
  </si>
  <si>
    <t>37896900</t>
  </si>
  <si>
    <t>32753062</t>
  </si>
  <si>
    <t>6794392</t>
  </si>
  <si>
    <t>15639793</t>
  </si>
  <si>
    <t>6659449</t>
  </si>
  <si>
    <t>12669232</t>
  </si>
  <si>
    <t>797080</t>
  </si>
  <si>
    <t>465400</t>
  </si>
  <si>
    <t>515800</t>
  </si>
  <si>
    <t>1154931</t>
  </si>
  <si>
    <t>973982</t>
  </si>
  <si>
    <t>993579</t>
  </si>
  <si>
    <t>26862536</t>
  </si>
  <si>
    <t>47737974</t>
  </si>
  <si>
    <t>68523438</t>
  </si>
  <si>
    <t>67642688</t>
  </si>
  <si>
    <t>1247300</t>
  </si>
  <si>
    <t>15578600</t>
  </si>
  <si>
    <t>70739636</t>
  </si>
  <si>
    <t>13871780</t>
  </si>
  <si>
    <t>111242987</t>
  </si>
  <si>
    <t>117335446</t>
  </si>
  <si>
    <t>326494816</t>
  </si>
  <si>
    <t>102732082</t>
  </si>
  <si>
    <t>117279136</t>
  </si>
  <si>
    <t>142572160</t>
  </si>
  <si>
    <t>67592200</t>
  </si>
  <si>
    <t>34559400</t>
  </si>
  <si>
    <t>180019824</t>
  </si>
  <si>
    <t>62098298</t>
  </si>
  <si>
    <t>32063922</t>
  </si>
  <si>
    <t>143033958</t>
  </si>
  <si>
    <t>291755530</t>
  </si>
  <si>
    <t>159473796</t>
  </si>
  <si>
    <t>121362635</t>
  </si>
  <si>
    <t>309499346</t>
  </si>
  <si>
    <t>4100</t>
  </si>
  <si>
    <t>30753300</t>
  </si>
  <si>
    <t>28021331</t>
  </si>
  <si>
    <t>36311576</t>
  </si>
  <si>
    <t>20810472</t>
  </si>
  <si>
    <t>30448245</t>
  </si>
  <si>
    <t>24646976</t>
  </si>
  <si>
    <t>30144995</t>
  </si>
  <si>
    <t>621700</t>
  </si>
  <si>
    <t>3241800</t>
  </si>
  <si>
    <t>770531</t>
  </si>
  <si>
    <t>2302282</t>
  </si>
  <si>
    <t>20827015</t>
  </si>
  <si>
    <t>40825943</t>
  </si>
  <si>
    <t>84000000</t>
  </si>
  <si>
    <t>138270396</t>
  </si>
  <si>
    <t>37030169</t>
  </si>
  <si>
    <t>7163824</t>
  </si>
  <si>
    <t>11419900</t>
  </si>
  <si>
    <t>8120900</t>
  </si>
  <si>
    <t>20578710</t>
  </si>
  <si>
    <t>9942247</t>
  </si>
  <si>
    <t>5235829</t>
  </si>
  <si>
    <t>6084648</t>
  </si>
  <si>
    <t>7067958</t>
  </si>
  <si>
    <t>4382643</t>
  </si>
  <si>
    <t>6041783</t>
  </si>
  <si>
    <t>463805</t>
  </si>
  <si>
    <t>641100</t>
  </si>
  <si>
    <t>1971900</t>
  </si>
  <si>
    <t>671888</t>
  </si>
  <si>
    <t>423801</t>
  </si>
  <si>
    <t>70813457</t>
  </si>
  <si>
    <t>86134424</t>
  </si>
  <si>
    <t>105887021</t>
  </si>
  <si>
    <t>15976832</t>
  </si>
  <si>
    <t>184676650</t>
  </si>
  <si>
    <t>10421900</t>
  </si>
  <si>
    <t>52986</t>
  </si>
  <si>
    <t>12442398</t>
  </si>
  <si>
    <t>311100198</t>
  </si>
  <si>
    <t>95727429</t>
  </si>
  <si>
    <t>464961770</t>
  </si>
  <si>
    <t>140710019</t>
  </si>
  <si>
    <t>112199318</t>
  </si>
  <si>
    <t>26143821</t>
  </si>
  <si>
    <t>16910700</t>
  </si>
  <si>
    <t>28207400</t>
  </si>
  <si>
    <t>23003271</t>
  </si>
  <si>
    <t>30448935</t>
  </si>
  <si>
    <t>33174273</t>
  </si>
  <si>
    <t>92353731</t>
  </si>
  <si>
    <t>49817865</t>
  </si>
  <si>
    <t>123337906</t>
  </si>
  <si>
    <t>69724727</t>
  </si>
  <si>
    <t>56508647</t>
  </si>
  <si>
    <t>5577944</t>
  </si>
  <si>
    <t>22247100</t>
  </si>
  <si>
    <t>18887400</t>
  </si>
  <si>
    <t>17955670</t>
  </si>
  <si>
    <t>6071690</t>
  </si>
  <si>
    <t>16571939</t>
  </si>
  <si>
    <t>21769647</t>
  </si>
  <si>
    <t>80876024</t>
  </si>
  <si>
    <t>15267685</t>
  </si>
  <si>
    <t>63792952</t>
  </si>
  <si>
    <t>1763422</t>
  </si>
  <si>
    <t>1315300</t>
  </si>
  <si>
    <t>7471300</t>
  </si>
  <si>
    <t>1117283</t>
  </si>
  <si>
    <t>978221</t>
  </si>
  <si>
    <t>6989541</t>
  </si>
  <si>
    <t>78416635</t>
  </si>
  <si>
    <t>82711717</t>
  </si>
  <si>
    <t>86010289</t>
  </si>
  <si>
    <t>96369439</t>
  </si>
  <si>
    <t>50893000</t>
  </si>
  <si>
    <t>28157900</t>
  </si>
  <si>
    <t>53845288</t>
  </si>
  <si>
    <t>27152276</t>
  </si>
  <si>
    <t>30057396</t>
  </si>
  <si>
    <t>44722864</t>
  </si>
  <si>
    <t>49663311</t>
  </si>
  <si>
    <t>21200527</t>
  </si>
  <si>
    <t>23160700</t>
  </si>
  <si>
    <t>782741</t>
  </si>
  <si>
    <t>21502540</t>
  </si>
  <si>
    <t>4239981</t>
  </si>
  <si>
    <t>156451</t>
  </si>
  <si>
    <t>6621750</t>
  </si>
  <si>
    <t>151576</t>
  </si>
  <si>
    <t>13765300</t>
  </si>
  <si>
    <t>15095224</t>
  </si>
  <si>
    <t>13985962</t>
  </si>
  <si>
    <t>11111436</t>
  </si>
  <si>
    <t>18012635</t>
  </si>
  <si>
    <t>8100808</t>
  </si>
  <si>
    <t>19430176</t>
  </si>
  <si>
    <t>14684763</t>
  </si>
  <si>
    <t>8017653</t>
  </si>
  <si>
    <t>1047300</t>
  </si>
  <si>
    <t>1626200</t>
  </si>
  <si>
    <t>3699</t>
  </si>
  <si>
    <t>892097</t>
  </si>
  <si>
    <t>1647298</t>
  </si>
  <si>
    <t>5661621</t>
  </si>
  <si>
    <t>6393404</t>
  </si>
  <si>
    <t>7275101</t>
  </si>
  <si>
    <t>6856625</t>
  </si>
  <si>
    <t>7840001</t>
  </si>
  <si>
    <t>505500</t>
  </si>
  <si>
    <t>1878700</t>
  </si>
  <si>
    <t>4767337</t>
  </si>
  <si>
    <t>2541394</t>
  </si>
  <si>
    <t>146589</t>
  </si>
  <si>
    <t>922778</t>
  </si>
  <si>
    <t>3388000</t>
  </si>
  <si>
    <t>1437256</t>
  </si>
  <si>
    <t>1447634</t>
  </si>
  <si>
    <t>3000</t>
  </si>
  <si>
    <t>428100</t>
  </si>
  <si>
    <t>51817</t>
  </si>
  <si>
    <t>953383</t>
  </si>
  <si>
    <t>20287132</t>
  </si>
  <si>
    <t>574488</t>
  </si>
  <si>
    <t>18117156</t>
  </si>
  <si>
    <t>774272</t>
  </si>
  <si>
    <t>54900</t>
  </si>
  <si>
    <t>3858700</t>
  </si>
  <si>
    <t>72703</t>
  </si>
  <si>
    <t>1967814</t>
  </si>
  <si>
    <t>2823657</t>
  </si>
  <si>
    <t>2490297</t>
  </si>
  <si>
    <t>2669927</t>
  </si>
  <si>
    <t>2499855</t>
  </si>
  <si>
    <t>162900</t>
  </si>
  <si>
    <t>6015</t>
  </si>
  <si>
    <t>214436</t>
  </si>
  <si>
    <t>67916632</t>
  </si>
  <si>
    <t>37351993</t>
  </si>
  <si>
    <t>610716012</t>
  </si>
  <si>
    <t>55024401</t>
  </si>
  <si>
    <t>41838420</t>
  </si>
  <si>
    <t>20814300</t>
  </si>
  <si>
    <t>8780800</t>
  </si>
  <si>
    <t>25692724</t>
  </si>
  <si>
    <t>6375430</t>
  </si>
  <si>
    <t>263028233</t>
  </si>
  <si>
    <t>117031494</t>
  </si>
  <si>
    <t>1012823189</t>
  </si>
  <si>
    <t>161027056</t>
  </si>
  <si>
    <t>78029618</t>
  </si>
  <si>
    <t>28677000</t>
  </si>
  <si>
    <t>47318200</t>
  </si>
  <si>
    <t>32016599</t>
  </si>
  <si>
    <t>33809299</t>
  </si>
  <si>
    <t>53067474</t>
  </si>
  <si>
    <t>63916138</t>
  </si>
  <si>
    <t>94454215</t>
  </si>
  <si>
    <t>43125935</t>
  </si>
  <si>
    <t>63167367</t>
  </si>
  <si>
    <t>995817</t>
  </si>
  <si>
    <t>15011600</t>
  </si>
  <si>
    <t>1140670</t>
  </si>
  <si>
    <t>15431757</t>
  </si>
  <si>
    <t>3847546</t>
  </si>
  <si>
    <t>27075759</t>
  </si>
  <si>
    <t>3143310</t>
  </si>
  <si>
    <t>32093954</t>
  </si>
  <si>
    <t>13628000</t>
  </si>
  <si>
    <t>4925200</t>
  </si>
  <si>
    <t>2536300</t>
  </si>
  <si>
    <t>6519000</t>
  </si>
  <si>
    <t>3763525</t>
  </si>
  <si>
    <t>2013605</t>
  </si>
  <si>
    <t>7442776</t>
  </si>
  <si>
    <t>11857283</t>
  </si>
  <si>
    <t>7522517</t>
  </si>
  <si>
    <t>13800145</t>
  </si>
  <si>
    <t>1032000</t>
  </si>
  <si>
    <t>2705100</t>
  </si>
  <si>
    <t>6166150</t>
  </si>
  <si>
    <t>1372407</t>
  </si>
  <si>
    <t>2005937</t>
  </si>
  <si>
    <t>24257329</t>
  </si>
  <si>
    <t>14172725</t>
  </si>
  <si>
    <t>24022202</t>
  </si>
  <si>
    <t>16459580</t>
  </si>
  <si>
    <t>39770216</t>
  </si>
  <si>
    <t>5618231</t>
  </si>
  <si>
    <t>14384287</t>
  </si>
  <si>
    <t>13400</t>
  </si>
  <si>
    <t>2232100</t>
  </si>
  <si>
    <t>54685</t>
  </si>
  <si>
    <t>2094797</t>
  </si>
  <si>
    <t>4654998</t>
  </si>
  <si>
    <t>1541341</t>
  </si>
  <si>
    <t>6111657</t>
  </si>
  <si>
    <t>5774181</t>
  </si>
  <si>
    <t>1997986</t>
  </si>
  <si>
    <t>209300</t>
  </si>
  <si>
    <t>508500</t>
  </si>
  <si>
    <t>303093</t>
  </si>
  <si>
    <t>557706</t>
  </si>
  <si>
    <t>20000000</t>
  </si>
  <si>
    <t>290143</t>
  </si>
  <si>
    <t>329800</t>
  </si>
  <si>
    <t>883195</t>
  </si>
  <si>
    <t>1240922</t>
  </si>
  <si>
    <t>7391539</t>
  </si>
  <si>
    <t>852870</t>
  </si>
  <si>
    <t>1564120</t>
  </si>
  <si>
    <t>26600</t>
  </si>
  <si>
    <t>164800</t>
  </si>
  <si>
    <t>8123</t>
  </si>
  <si>
    <t>90013</t>
  </si>
  <si>
    <t>5259780</t>
  </si>
  <si>
    <t>3460959</t>
  </si>
  <si>
    <t>4340000</t>
  </si>
  <si>
    <t>6247334</t>
  </si>
  <si>
    <t>3882294</t>
  </si>
  <si>
    <t>172211</t>
  </si>
  <si>
    <t>163200</t>
  </si>
  <si>
    <t>1112300</t>
  </si>
  <si>
    <t>176989</t>
  </si>
  <si>
    <t>1041824</t>
  </si>
  <si>
    <t>63502890</t>
  </si>
  <si>
    <t>33694804</t>
  </si>
  <si>
    <t>75000000</t>
  </si>
  <si>
    <t>51173985</t>
  </si>
  <si>
    <t>33478131</t>
  </si>
  <si>
    <t>21462500</t>
  </si>
  <si>
    <t>5120800</t>
  </si>
  <si>
    <t>14502901</t>
  </si>
  <si>
    <t>15923395</t>
  </si>
  <si>
    <t>8461794</t>
  </si>
  <si>
    <t>368237627</t>
  </si>
  <si>
    <t>332628698</t>
  </si>
  <si>
    <t>1800000000</t>
  </si>
  <si>
    <t>547060301</t>
  </si>
  <si>
    <t>726071613</t>
  </si>
  <si>
    <t>501075300</t>
  </si>
  <si>
    <t>282865600</t>
  </si>
  <si>
    <t>462310632</t>
  </si>
  <si>
    <t>286816531</t>
  </si>
  <si>
    <t>444695</t>
  </si>
  <si>
    <t>496484</t>
  </si>
  <si>
    <t>47705006</t>
  </si>
  <si>
    <t>545936</t>
  </si>
  <si>
    <t>469635</t>
  </si>
  <si>
    <t>28800</t>
  </si>
  <si>
    <t>162000</t>
  </si>
  <si>
    <t>162764</t>
  </si>
  <si>
    <t>221905</t>
  </si>
  <si>
    <t>7794635</t>
  </si>
  <si>
    <t>13658058</t>
  </si>
  <si>
    <t>9101933</t>
  </si>
  <si>
    <t>11871307</t>
  </si>
  <si>
    <t>2261600</t>
  </si>
  <si>
    <t>1406900</t>
  </si>
  <si>
    <t>1780873</t>
  </si>
  <si>
    <t>1235989</t>
  </si>
  <si>
    <t>32809279</t>
  </si>
  <si>
    <t>285163739</t>
  </si>
  <si>
    <t>7510677</t>
  </si>
  <si>
    <t>261846701</t>
  </si>
  <si>
    <t>15551800</t>
  </si>
  <si>
    <t>79786</t>
  </si>
  <si>
    <t>13359094</t>
  </si>
  <si>
    <t>250973926</t>
  </si>
  <si>
    <t>97790479</t>
  </si>
  <si>
    <t>236845728</t>
  </si>
  <si>
    <t>103507306</t>
  </si>
  <si>
    <t>3660610</t>
  </si>
  <si>
    <t>24375200</t>
  </si>
  <si>
    <t>42748100</t>
  </si>
  <si>
    <t>72520951</t>
  </si>
  <si>
    <t>42667497</t>
  </si>
  <si>
    <t>4912629</t>
  </si>
  <si>
    <t>3519761</t>
  </si>
  <si>
    <t>5000000</t>
  </si>
  <si>
    <t>3030208</t>
  </si>
  <si>
    <t>2796035</t>
  </si>
  <si>
    <t>7580773</t>
  </si>
  <si>
    <t>5473900</t>
  </si>
  <si>
    <t>1567800</t>
  </si>
  <si>
    <t>2491321</t>
  </si>
  <si>
    <t>3217329</t>
  </si>
  <si>
    <t>1123142</t>
  </si>
  <si>
    <t>20747621</t>
  </si>
  <si>
    <t>13622476</t>
  </si>
  <si>
    <t>577263</t>
  </si>
  <si>
    <t>347000</t>
  </si>
  <si>
    <t>3110300</t>
  </si>
  <si>
    <t>18781010</t>
  </si>
  <si>
    <t>13938730</t>
  </si>
  <si>
    <t>890854</t>
  </si>
  <si>
    <t>3644961</t>
  </si>
  <si>
    <t>26543405</t>
  </si>
  <si>
    <t>17281252</t>
  </si>
  <si>
    <t>882308077</t>
  </si>
  <si>
    <t>24660975</t>
  </si>
  <si>
    <t>4451301</t>
  </si>
  <si>
    <t>26359700</t>
  </si>
  <si>
    <t>22713553</t>
  </si>
  <si>
    <t>29173221</t>
  </si>
  <si>
    <t>70967677</t>
  </si>
  <si>
    <t>1620704043</t>
  </si>
  <si>
    <t>30047434</t>
  </si>
  <si>
    <t>30234134</t>
  </si>
  <si>
    <t>51494800</t>
  </si>
  <si>
    <t>6819600</t>
  </si>
  <si>
    <t>89310147</t>
  </si>
  <si>
    <t>5925985</t>
  </si>
  <si>
    <t>51009710</t>
  </si>
  <si>
    <t>35148316</t>
  </si>
  <si>
    <t>73209999</t>
  </si>
  <si>
    <t>46570895</t>
  </si>
  <si>
    <t>664200</t>
  </si>
  <si>
    <t>11001700</t>
  </si>
  <si>
    <t>22560734</t>
  </si>
  <si>
    <t>7917515</t>
  </si>
  <si>
    <t>3535262</t>
  </si>
  <si>
    <t>987930</t>
  </si>
  <si>
    <t>36500</t>
  </si>
  <si>
    <t>1099900</t>
  </si>
  <si>
    <t>10060103</t>
  </si>
  <si>
    <t>4621956</t>
  </si>
  <si>
    <t>959815</t>
  </si>
  <si>
    <t>22701</t>
  </si>
  <si>
    <t>115379</t>
  </si>
  <si>
    <t>938809</t>
  </si>
  <si>
    <t>3663448</t>
  </si>
  <si>
    <t>3583960</t>
  </si>
  <si>
    <t>447789539</t>
  </si>
  <si>
    <t>5344324</t>
  </si>
  <si>
    <t>3882119</t>
  </si>
  <si>
    <t>10518023</t>
  </si>
  <si>
    <t>1421100</t>
  </si>
  <si>
    <t>1638300</t>
  </si>
  <si>
    <t>5147985</t>
  </si>
  <si>
    <t>1778109</t>
  </si>
  <si>
    <t>1469595</t>
  </si>
  <si>
    <t>3950743</t>
  </si>
  <si>
    <t>719190</t>
  </si>
  <si>
    <t>18000000</t>
  </si>
  <si>
    <t>4113646</t>
  </si>
  <si>
    <t>1158874</t>
  </si>
  <si>
    <t>201800</t>
  </si>
  <si>
    <t>375400</t>
  </si>
  <si>
    <t>254861</t>
  </si>
  <si>
    <t>981792</t>
  </si>
  <si>
    <t>144292618</t>
  </si>
  <si>
    <t>43819180</t>
  </si>
  <si>
    <t>311697344</t>
  </si>
  <si>
    <t>153890418</t>
  </si>
  <si>
    <t>48159674</t>
  </si>
  <si>
    <t>19362000</t>
  </si>
  <si>
    <t>24972500</t>
  </si>
  <si>
    <t>22008251</t>
  </si>
  <si>
    <t>24423113</t>
  </si>
  <si>
    <t>409343811</t>
  </si>
  <si>
    <t>106815558</t>
  </si>
  <si>
    <t>556255248</t>
  </si>
  <si>
    <t>310179665</t>
  </si>
  <si>
    <t>111396625</t>
  </si>
  <si>
    <t>79614600</t>
  </si>
  <si>
    <t>115018200</t>
  </si>
  <si>
    <t>72744191</t>
  </si>
  <si>
    <t>137646195</t>
  </si>
  <si>
    <t>8733854</t>
  </si>
  <si>
    <t>110153310</t>
  </si>
  <si>
    <t>7291566</t>
  </si>
  <si>
    <t>128682560</t>
  </si>
  <si>
    <t>20053100</t>
  </si>
  <si>
    <t>26858780</t>
  </si>
  <si>
    <t>1487888</t>
  </si>
  <si>
    <t>49078856</t>
  </si>
  <si>
    <t>20418938</t>
  </si>
  <si>
    <t>5229265</t>
  </si>
  <si>
    <t>43619132</t>
  </si>
  <si>
    <t>22865796</t>
  </si>
  <si>
    <t>15979110</t>
  </si>
  <si>
    <t>2441900</t>
  </si>
  <si>
    <t>1702700</t>
  </si>
  <si>
    <t>1256334</t>
  </si>
  <si>
    <t>42889057</t>
  </si>
  <si>
    <t>68537790</t>
  </si>
  <si>
    <t>98766348</t>
  </si>
  <si>
    <t>62319494</t>
  </si>
  <si>
    <t>106314360</t>
  </si>
  <si>
    <t>29094900</t>
  </si>
  <si>
    <t>23051300</t>
  </si>
  <si>
    <t>27011310</t>
  </si>
  <si>
    <t>28624691</t>
  </si>
  <si>
    <t>2169576</t>
  </si>
  <si>
    <t>95312026</t>
  </si>
  <si>
    <t>4589285</t>
  </si>
  <si>
    <t>91785968</t>
  </si>
  <si>
    <t>16589300</t>
  </si>
  <si>
    <t>5348500</t>
  </si>
  <si>
    <t>32993575</t>
  </si>
  <si>
    <t>19393184</t>
  </si>
  <si>
    <t>55481003</t>
  </si>
  <si>
    <t>689935809</t>
  </si>
  <si>
    <t>61104102</t>
  </si>
  <si>
    <t>582571210</t>
  </si>
  <si>
    <t>26521366</t>
  </si>
  <si>
    <t>7450000</t>
  </si>
  <si>
    <t>90038200</t>
  </si>
  <si>
    <t>26887868</t>
  </si>
  <si>
    <t>11842394</t>
  </si>
  <si>
    <t>80599333</t>
  </si>
  <si>
    <t>242858564</t>
  </si>
  <si>
    <t>311323634</t>
  </si>
  <si>
    <t>1795606724</t>
  </si>
  <si>
    <t>270158447</t>
  </si>
  <si>
    <t>323538499</t>
  </si>
  <si>
    <t>259298400</t>
  </si>
  <si>
    <t>38267100</t>
  </si>
  <si>
    <t>220377239</t>
  </si>
  <si>
    <t>25889720</t>
  </si>
  <si>
    <t>1609435284</t>
  </si>
  <si>
    <t>2479688162</t>
  </si>
  <si>
    <t>4200000000</t>
  </si>
  <si>
    <t>817079827</t>
  </si>
  <si>
    <t>1785891804</t>
  </si>
  <si>
    <t>718962185</t>
  </si>
  <si>
    <t>332620600</t>
  </si>
  <si>
    <t>92493100</t>
  </si>
  <si>
    <t>213667462</t>
  </si>
  <si>
    <t>371161494</t>
  </si>
  <si>
    <t>67629059</t>
  </si>
  <si>
    <t>2887030</t>
  </si>
  <si>
    <t>733352</t>
  </si>
  <si>
    <t>71882500</t>
  </si>
  <si>
    <t>7668268</t>
  </si>
  <si>
    <t>3563287</t>
  </si>
  <si>
    <t>1000</t>
  </si>
  <si>
    <t>1929300</t>
  </si>
  <si>
    <t>1864786</t>
  </si>
  <si>
    <t>11340024043</t>
  </si>
  <si>
    <t>7099883514</t>
  </si>
  <si>
    <t>4229969352</t>
  </si>
  <si>
    <t>17420292158</t>
  </si>
  <si>
    <t>8235095443</t>
  </si>
  <si>
    <t>843035400</t>
  </si>
  <si>
    <t>325014900</t>
  </si>
  <si>
    <t>1488203802</t>
  </si>
  <si>
    <t>342542510</t>
  </si>
  <si>
    <t>205382331</t>
  </si>
  <si>
    <t>147574288</t>
  </si>
  <si>
    <t>380000000</t>
  </si>
  <si>
    <t>138890676</t>
  </si>
  <si>
    <t>143531160</t>
  </si>
  <si>
    <t>50939000</t>
  </si>
  <si>
    <t>38525300</t>
  </si>
  <si>
    <t>34133762</t>
  </si>
  <si>
    <t>22675023</t>
  </si>
  <si>
    <t>318193075</t>
  </si>
  <si>
    <t>791305255</t>
  </si>
  <si>
    <t>3486497998</t>
  </si>
  <si>
    <t>199640883</t>
  </si>
  <si>
    <t>752212055</t>
  </si>
  <si>
    <t>777417367</t>
  </si>
  <si>
    <t>199769400</t>
  </si>
  <si>
    <t>182774100</t>
  </si>
  <si>
    <t>791249287</t>
  </si>
  <si>
    <t>146735786</t>
  </si>
  <si>
    <t>173773205</t>
  </si>
  <si>
    <t>935132814</t>
  </si>
  <si>
    <t>846552896</t>
  </si>
  <si>
    <t>3561952039</t>
  </si>
  <si>
    <t>870209572</t>
  </si>
  <si>
    <t>912261837</t>
  </si>
  <si>
    <t>465074009</t>
  </si>
  <si>
    <t>336705400</t>
  </si>
  <si>
    <t>397749900</t>
  </si>
  <si>
    <t>198057025</t>
  </si>
  <si>
    <t>380096125</t>
  </si>
  <si>
    <t>1237023590</t>
  </si>
  <si>
    <t>1953474415</t>
  </si>
  <si>
    <t>5978698843</t>
  </si>
  <si>
    <t>990970125</t>
  </si>
  <si>
    <t>1650180628</t>
  </si>
  <si>
    <t>343468500</t>
  </si>
  <si>
    <t>518059400</t>
  </si>
  <si>
    <t>323981555</t>
  </si>
  <si>
    <t>455203986</t>
  </si>
  <si>
    <t>250297867</t>
  </si>
  <si>
    <t>100002531</t>
  </si>
  <si>
    <t>178585006</t>
  </si>
  <si>
    <t>93659673</t>
  </si>
  <si>
    <t>69370230</t>
  </si>
  <si>
    <t>96589200</t>
  </si>
  <si>
    <t>38199200</t>
  </si>
  <si>
    <t>99983752</t>
  </si>
  <si>
    <t>41473560</t>
  </si>
  <si>
    <t>899402699</t>
  </si>
  <si>
    <t>1119589784</t>
  </si>
  <si>
    <t>977427615</t>
  </si>
  <si>
    <t>835156693</t>
  </si>
  <si>
    <t>1318729314</t>
  </si>
  <si>
    <t>386436100</t>
  </si>
  <si>
    <t>213321300</t>
  </si>
  <si>
    <t>19485243</t>
  </si>
  <si>
    <t>327791215</t>
  </si>
  <si>
    <t>263947797</t>
  </si>
  <si>
    <t>84366432</t>
  </si>
  <si>
    <t>100586452</t>
  </si>
  <si>
    <t>1653560947</t>
  </si>
  <si>
    <t>65965750</t>
  </si>
  <si>
    <t>210504230</t>
  </si>
  <si>
    <t>128987222</t>
  </si>
  <si>
    <t>121913200</t>
  </si>
  <si>
    <t>130124700</t>
  </si>
  <si>
    <t>83344197</t>
  </si>
  <si>
    <t>125718635</t>
  </si>
  <si>
    <t>316549184</t>
  </si>
  <si>
    <t>199187391</t>
  </si>
  <si>
    <t>1483611701</t>
  </si>
  <si>
    <t>239407056</t>
  </si>
  <si>
    <t>108864758</t>
  </si>
  <si>
    <t>420424280</t>
  </si>
  <si>
    <t>285299800</t>
  </si>
  <si>
    <t>79083700</t>
  </si>
  <si>
    <t>359065159</t>
  </si>
  <si>
    <t>278293404</t>
  </si>
  <si>
    <t>61210665</t>
  </si>
  <si>
    <t>12529966</t>
  </si>
  <si>
    <t>40377919</t>
  </si>
  <si>
    <t>151280223</t>
  </si>
  <si>
    <t>7104740</t>
  </si>
  <si>
    <t>41617725</t>
  </si>
  <si>
    <t>483100</t>
  </si>
  <si>
    <t>6134500</t>
  </si>
  <si>
    <t>549909</t>
  </si>
  <si>
    <t>4043142</t>
  </si>
  <si>
    <t>217370525</t>
  </si>
  <si>
    <t>237981477</t>
  </si>
  <si>
    <t>605343037</t>
  </si>
  <si>
    <t>222751539</t>
  </si>
  <si>
    <t>240874146</t>
  </si>
  <si>
    <t>1069684</t>
  </si>
  <si>
    <t>4096000</t>
  </si>
  <si>
    <t>35421900</t>
  </si>
  <si>
    <t>29882957</t>
  </si>
  <si>
    <t>37955760</t>
  </si>
  <si>
    <t>315217813</t>
  </si>
  <si>
    <t>103541438</t>
  </si>
  <si>
    <t>734825779</t>
  </si>
  <si>
    <t>278296014</t>
  </si>
  <si>
    <t>80671549</t>
  </si>
  <si>
    <t>100008200</t>
  </si>
  <si>
    <t>70868900</t>
  </si>
  <si>
    <t>57115058</t>
  </si>
  <si>
    <t>73400705</t>
  </si>
  <si>
    <t>1425967650</t>
  </si>
  <si>
    <t>504513532</t>
  </si>
  <si>
    <t>4470793569</t>
  </si>
  <si>
    <t>1060607262</t>
  </si>
  <si>
    <t>537253899</t>
  </si>
  <si>
    <t>1145155600</t>
  </si>
  <si>
    <t>839037800</t>
  </si>
  <si>
    <t>189717600</t>
  </si>
  <si>
    <t>945577326</t>
  </si>
  <si>
    <t>673218633</t>
  </si>
  <si>
    <t>192712821</t>
  </si>
  <si>
    <t>61338986</t>
  </si>
  <si>
    <t>28512414</t>
  </si>
  <si>
    <t>280230785</t>
  </si>
  <si>
    <t>73706382</t>
  </si>
  <si>
    <t>57649058</t>
  </si>
  <si>
    <t>40011900</t>
  </si>
  <si>
    <t>36307100</t>
  </si>
  <si>
    <t>39925512</t>
  </si>
  <si>
    <t>53686760</t>
  </si>
  <si>
    <t>147759655</t>
  </si>
  <si>
    <t>47445766</t>
  </si>
  <si>
    <t>739709991</t>
  </si>
  <si>
    <t>138388782</t>
  </si>
  <si>
    <t>51011039</t>
  </si>
  <si>
    <t>167737570</t>
  </si>
  <si>
    <t>31691500</t>
  </si>
  <si>
    <t>39008800</t>
  </si>
  <si>
    <t>27598145</t>
  </si>
  <si>
    <t>38165066</t>
  </si>
  <si>
    <t>61739475</t>
  </si>
  <si>
    <t>4973162</t>
  </si>
  <si>
    <t>453353088</t>
  </si>
  <si>
    <t>64662376</t>
  </si>
  <si>
    <t>8308620</t>
  </si>
  <si>
    <t>17700</t>
  </si>
  <si>
    <t>11136900</t>
  </si>
  <si>
    <t>20148220</t>
  </si>
  <si>
    <t>11025118</t>
  </si>
  <si>
    <t>28715746</t>
  </si>
  <si>
    <t>36137496</t>
  </si>
  <si>
    <t>74686816</t>
  </si>
  <si>
    <t>40890988</t>
  </si>
  <si>
    <t>48461677</t>
  </si>
  <si>
    <t>24942428</t>
  </si>
  <si>
    <t>442800</t>
  </si>
  <si>
    <t>6285500</t>
  </si>
  <si>
    <t>19405814</t>
  </si>
  <si>
    <t>5803914</t>
  </si>
  <si>
    <t>60494951</t>
  </si>
  <si>
    <t>8439834</t>
  </si>
  <si>
    <t>85543687</t>
  </si>
  <si>
    <t>95717320</t>
  </si>
  <si>
    <t>8673556</t>
  </si>
  <si>
    <t>266300</t>
  </si>
  <si>
    <t>28089600</t>
  </si>
  <si>
    <t>62137769</t>
  </si>
  <si>
    <t>27832096</t>
  </si>
  <si>
    <t>128589004</t>
  </si>
  <si>
    <t>95890259</t>
  </si>
  <si>
    <t>198060284</t>
  </si>
  <si>
    <t>101704073</t>
  </si>
  <si>
    <t>136352532</t>
  </si>
  <si>
    <t>147485</t>
  </si>
  <si>
    <t>2538900</t>
  </si>
  <si>
    <t>29931800</t>
  </si>
  <si>
    <t>3451634</t>
  </si>
  <si>
    <t>32742110</t>
  </si>
  <si>
    <t>814904343</t>
  </si>
  <si>
    <t>216353897</t>
  </si>
  <si>
    <t>1427332962</t>
  </si>
  <si>
    <t>558740400</t>
  </si>
  <si>
    <t>259964484</t>
  </si>
  <si>
    <t>162014342</t>
  </si>
  <si>
    <t>157186800</t>
  </si>
  <si>
    <t>143477700</t>
  </si>
  <si>
    <t>140404366</t>
  </si>
  <si>
    <t>138464527</t>
  </si>
  <si>
    <t>57638213</t>
  </si>
  <si>
    <t>60032936</t>
  </si>
  <si>
    <t>134635271</t>
  </si>
  <si>
    <t>79696469</t>
  </si>
  <si>
    <t>73616986</t>
  </si>
  <si>
    <t>6419151</t>
  </si>
  <si>
    <t>10337100</t>
  </si>
  <si>
    <t>16566300</t>
  </si>
  <si>
    <t>4915141</t>
  </si>
  <si>
    <t>18163855</t>
  </si>
  <si>
    <t>239737714</t>
  </si>
  <si>
    <t>149323766</t>
  </si>
  <si>
    <t>597613688</t>
  </si>
  <si>
    <t>168862664</t>
  </si>
  <si>
    <t>154987113</t>
  </si>
  <si>
    <t>14538900</t>
  </si>
  <si>
    <t>39056000</t>
  </si>
  <si>
    <t>33550101</t>
  </si>
  <si>
    <t>12715115</t>
  </si>
  <si>
    <t>34913248</t>
  </si>
  <si>
    <t>259407520</t>
  </si>
  <si>
    <t>91307966</t>
  </si>
  <si>
    <t>1080000000</t>
  </si>
  <si>
    <t>219944329</t>
  </si>
  <si>
    <t>137425259</t>
  </si>
  <si>
    <t>8120800</t>
  </si>
  <si>
    <t>52938100</t>
  </si>
  <si>
    <t>8148306</t>
  </si>
  <si>
    <t>47504909</t>
  </si>
  <si>
    <t>57949046</t>
  </si>
  <si>
    <t>7542022</t>
  </si>
  <si>
    <t>56298460</t>
  </si>
  <si>
    <t>10050644</t>
  </si>
  <si>
    <t>10557014</t>
  </si>
  <si>
    <t>3879200</t>
  </si>
  <si>
    <t>25556000</t>
  </si>
  <si>
    <t>1336445</t>
  </si>
  <si>
    <t>18626648</t>
  </si>
  <si>
    <t>267056705</t>
  </si>
  <si>
    <t>1091012060</t>
  </si>
  <si>
    <t>2200000000</t>
  </si>
  <si>
    <t>251477812</t>
  </si>
  <si>
    <t>1149184970</t>
  </si>
  <si>
    <t>31968300</t>
  </si>
  <si>
    <t>494229500</t>
  </si>
  <si>
    <t>45776343</t>
  </si>
  <si>
    <t>399790693</t>
  </si>
  <si>
    <t>103354450</t>
  </si>
  <si>
    <t>306319822</t>
  </si>
  <si>
    <t>440000000</t>
  </si>
  <si>
    <t>111124598</t>
  </si>
  <si>
    <t>432335906</t>
  </si>
  <si>
    <t>29025900</t>
  </si>
  <si>
    <t>26523500</t>
  </si>
  <si>
    <t>48180458</t>
  </si>
  <si>
    <t>57927589</t>
  </si>
  <si>
    <t>123600895</t>
  </si>
  <si>
    <t>64537285</t>
  </si>
  <si>
    <t>480000000</t>
  </si>
  <si>
    <t>116617631</t>
  </si>
  <si>
    <t>116328351</t>
  </si>
  <si>
    <t>158984711</t>
  </si>
  <si>
    <t>95708800</t>
  </si>
  <si>
    <t>37382300</t>
  </si>
  <si>
    <t>71752648</t>
  </si>
  <si>
    <t>35197806</t>
  </si>
  <si>
    <t>31829721</t>
  </si>
  <si>
    <t>12026970</t>
  </si>
  <si>
    <t>175920200</t>
  </si>
  <si>
    <t>28249421</t>
  </si>
  <si>
    <t>8744237</t>
  </si>
  <si>
    <t>51929372</t>
  </si>
  <si>
    <t>26980000</t>
  </si>
  <si>
    <t>3185300</t>
  </si>
  <si>
    <t>51253234</t>
  </si>
  <si>
    <t>20373424</t>
  </si>
  <si>
    <t>4774508</t>
  </si>
  <si>
    <t>353818192</t>
  </si>
  <si>
    <t>381787129</t>
  </si>
  <si>
    <t>1215524664</t>
  </si>
  <si>
    <t>352178159</t>
  </si>
  <si>
    <t>457983270</t>
  </si>
  <si>
    <t>8450868</t>
  </si>
  <si>
    <t>25813900</t>
  </si>
  <si>
    <t>140839300</t>
  </si>
  <si>
    <t>30711731</t>
  </si>
  <si>
    <t>158234682</t>
  </si>
  <si>
    <t>1031526235</t>
  </si>
  <si>
    <t>1366859420</t>
  </si>
  <si>
    <t>9555914244</t>
  </si>
  <si>
    <t>840201926</t>
  </si>
  <si>
    <t>1503902249</t>
  </si>
  <si>
    <t>1328181138</t>
  </si>
  <si>
    <t>528842900</t>
  </si>
  <si>
    <t>450055900</t>
  </si>
  <si>
    <t>1002690213</t>
  </si>
  <si>
    <t>453736761</t>
  </si>
  <si>
    <t>360204335</t>
  </si>
  <si>
    <t>1190671213</t>
  </si>
  <si>
    <t>585934061</t>
  </si>
  <si>
    <t>2319569424</t>
  </si>
  <si>
    <t>1029973558</t>
  </si>
  <si>
    <t>610039481</t>
  </si>
  <si>
    <t>44424846</t>
  </si>
  <si>
    <t>554619900</t>
  </si>
  <si>
    <t>522517700</t>
  </si>
  <si>
    <t>136065647</t>
  </si>
  <si>
    <t>414913326</t>
  </si>
  <si>
    <t>499529401</t>
  </si>
  <si>
    <t>157846686</t>
  </si>
  <si>
    <t>17375922</t>
  </si>
  <si>
    <t>900000000</t>
  </si>
  <si>
    <t>136788813</t>
  </si>
  <si>
    <t>14892768</t>
  </si>
  <si>
    <t>3592300</t>
  </si>
  <si>
    <t>41270100</t>
  </si>
  <si>
    <t>934580</t>
  </si>
  <si>
    <t>3183674</t>
  </si>
  <si>
    <t>39611926</t>
  </si>
  <si>
    <t>42892896</t>
  </si>
  <si>
    <t>46609390</t>
  </si>
  <si>
    <t>37926485</t>
  </si>
  <si>
    <t>50743096</t>
  </si>
  <si>
    <t>19738800</t>
  </si>
  <si>
    <t>31412200</t>
  </si>
  <si>
    <t>27013438</t>
  </si>
  <si>
    <t>30346758</t>
  </si>
  <si>
    <t>82718980</t>
  </si>
  <si>
    <t>195790897</t>
  </si>
  <si>
    <t>169127411</t>
  </si>
  <si>
    <t>74075266</t>
  </si>
  <si>
    <t>190775915</t>
  </si>
  <si>
    <t>11204900</t>
  </si>
  <si>
    <t>30761800</t>
  </si>
  <si>
    <t>11538942</t>
  </si>
  <si>
    <t>29864487</t>
  </si>
  <si>
    <t>8630224</t>
  </si>
  <si>
    <t>37740891</t>
  </si>
  <si>
    <t>11183399</t>
  </si>
  <si>
    <t>54425211</t>
  </si>
  <si>
    <t>42975</t>
  </si>
  <si>
    <t>7078900</t>
  </si>
  <si>
    <t>27538</t>
  </si>
  <si>
    <t>2283973</t>
  </si>
  <si>
    <t>6896791</t>
  </si>
  <si>
    <t>1068009737</t>
  </si>
  <si>
    <t>426646178</t>
  </si>
  <si>
    <t>4000794976</t>
  </si>
  <si>
    <t>945648319</t>
  </si>
  <si>
    <t>471446900</t>
  </si>
  <si>
    <t>665115053</t>
  </si>
  <si>
    <t>693817200</t>
  </si>
  <si>
    <t>259707700</t>
  </si>
  <si>
    <t>783387358</t>
  </si>
  <si>
    <t>678085987</t>
  </si>
  <si>
    <t>286964711</t>
  </si>
  <si>
    <t>469780544</t>
  </si>
  <si>
    <t>242946073</t>
  </si>
  <si>
    <t>2080000000</t>
  </si>
  <si>
    <t>365268880</t>
  </si>
  <si>
    <t>290412440</t>
  </si>
  <si>
    <t>109239900</t>
  </si>
  <si>
    <t>115233400</t>
  </si>
  <si>
    <t>116347005</t>
  </si>
  <si>
    <t>125912655</t>
  </si>
  <si>
    <t>137253316</t>
  </si>
  <si>
    <t>81639434</t>
  </si>
  <si>
    <t>151367722</t>
  </si>
  <si>
    <t>83469286</t>
  </si>
  <si>
    <t>33338859</t>
  </si>
  <si>
    <t>22684300</t>
  </si>
  <si>
    <t>46486900</t>
  </si>
  <si>
    <t>22279107</t>
  </si>
  <si>
    <t>47226289</t>
  </si>
  <si>
    <t>146978442</t>
  </si>
  <si>
    <t>102920747</t>
  </si>
  <si>
    <t>2827179444</t>
  </si>
  <si>
    <t>181699159</t>
  </si>
  <si>
    <t>142591005</t>
  </si>
  <si>
    <t>223800</t>
  </si>
  <si>
    <t>331218500</t>
  </si>
  <si>
    <t>1293874</t>
  </si>
  <si>
    <t>207263216</t>
  </si>
  <si>
    <t>38980950</t>
  </si>
  <si>
    <t>46539686</t>
  </si>
  <si>
    <t>35905246</t>
  </si>
  <si>
    <t>81668427</t>
  </si>
  <si>
    <t>597700</t>
  </si>
  <si>
    <t>60792500</t>
  </si>
  <si>
    <t>693893</t>
  </si>
  <si>
    <t>53246550</t>
  </si>
  <si>
    <t>534493746</t>
  </si>
  <si>
    <t>141927802</t>
  </si>
  <si>
    <t>1342078405</t>
  </si>
  <si>
    <t>594725323</t>
  </si>
  <si>
    <t>258240039</t>
  </si>
  <si>
    <t>5323150</t>
  </si>
  <si>
    <t>8902200</t>
  </si>
  <si>
    <t>126942700</t>
  </si>
  <si>
    <t>5656102</t>
  </si>
  <si>
    <t>145231744</t>
  </si>
  <si>
    <t>89648518</t>
  </si>
  <si>
    <t>61611110</t>
  </si>
  <si>
    <t>871106511</t>
  </si>
  <si>
    <t>88912877</t>
  </si>
  <si>
    <t>47732080</t>
  </si>
  <si>
    <t>39156807</t>
  </si>
  <si>
    <t>31462100</t>
  </si>
  <si>
    <t>36874200</t>
  </si>
  <si>
    <t>30098154</t>
  </si>
  <si>
    <t>40596392</t>
  </si>
  <si>
    <t>488138801</t>
  </si>
  <si>
    <t>81666924</t>
  </si>
  <si>
    <t>452505013</t>
  </si>
  <si>
    <t>76946808</t>
  </si>
  <si>
    <t>76572342</t>
  </si>
  <si>
    <t>59860000</t>
  </si>
  <si>
    <t>53816600</t>
  </si>
  <si>
    <t>64839442</t>
  </si>
  <si>
    <t>54500328</t>
  </si>
  <si>
    <t>86044505</t>
  </si>
  <si>
    <t>206811692</t>
  </si>
  <si>
    <t>642709316</t>
  </si>
  <si>
    <t>97899262</t>
  </si>
  <si>
    <t>214199166</t>
  </si>
  <si>
    <t>44655800</t>
  </si>
  <si>
    <t>67992037</t>
  </si>
  <si>
    <t>51333301</t>
  </si>
  <si>
    <t>224633361</t>
  </si>
  <si>
    <t>262602707</t>
  </si>
  <si>
    <t>202879904</t>
  </si>
  <si>
    <t>278803975</t>
  </si>
  <si>
    <t>164793627</t>
  </si>
  <si>
    <t>174127800</t>
  </si>
  <si>
    <t>93706200</t>
  </si>
  <si>
    <t>128871038</t>
  </si>
  <si>
    <t>82453364</t>
  </si>
  <si>
    <t>61597569</t>
  </si>
  <si>
    <t>14641706</t>
  </si>
  <si>
    <t>26000000</t>
  </si>
  <si>
    <t>69994395</t>
  </si>
  <si>
    <t>16020072</t>
  </si>
  <si>
    <t>2810700</t>
  </si>
  <si>
    <t>1098184</t>
  </si>
  <si>
    <t>15713873</t>
  </si>
  <si>
    <t>3624797</t>
  </si>
  <si>
    <t>215327703</t>
  </si>
  <si>
    <t>115215823</t>
  </si>
  <si>
    <t>350707898</t>
  </si>
  <si>
    <t>215458478</t>
  </si>
  <si>
    <t>120245325</t>
  </si>
  <si>
    <t>1499400</t>
  </si>
  <si>
    <t>29316600</t>
  </si>
  <si>
    <t>9634580</t>
  </si>
  <si>
    <t>30786140</t>
  </si>
  <si>
    <t>5423076</t>
  </si>
  <si>
    <t>6197294</t>
  </si>
  <si>
    <t>154158484</t>
  </si>
  <si>
    <t>5474497</t>
  </si>
  <si>
    <t>6942857</t>
  </si>
  <si>
    <t>1964394</t>
  </si>
  <si>
    <t>2908100</t>
  </si>
  <si>
    <t>1096100</t>
  </si>
  <si>
    <t>2879158</t>
  </si>
  <si>
    <t>1370891</t>
  </si>
  <si>
    <t>21277604</t>
  </si>
  <si>
    <t>20666257</t>
  </si>
  <si>
    <t>21223943</t>
  </si>
  <si>
    <t>19361212</t>
  </si>
  <si>
    <t>8949049</t>
  </si>
  <si>
    <t>8990900</t>
  </si>
  <si>
    <t>12281700</t>
  </si>
  <si>
    <t>10584890</t>
  </si>
  <si>
    <t>10409845</t>
  </si>
  <si>
    <t>17426520</t>
  </si>
  <si>
    <t>31867381</t>
  </si>
  <si>
    <t>178486202</t>
  </si>
  <si>
    <t>26284771</t>
  </si>
  <si>
    <t>36585803</t>
  </si>
  <si>
    <t>10387800</t>
  </si>
  <si>
    <t>17810698</t>
  </si>
  <si>
    <t>12673156</t>
  </si>
  <si>
    <t>:</t>
  </si>
  <si>
    <t>PRODQNT + IMPQNT - EU27 - 2019 - secrets</t>
  </si>
  <si>
    <t>PRODQNT + IMPQNT - EU27 - 2022 - secrets</t>
  </si>
  <si>
    <t>PRODQNT + IMPQNT - FR - 2019 - secrets</t>
  </si>
  <si>
    <t>PRODQNT + IMPQNT - FR - 2022 - secrets</t>
  </si>
  <si>
    <t>In scope</t>
  </si>
  <si>
    <t>Note and references</t>
  </si>
  <si>
    <t>3849209351.0</t>
  </si>
  <si>
    <t>579008236.22</t>
  </si>
  <si>
    <t>766310790.61</t>
  </si>
  <si>
    <t>3950000000.0</t>
  </si>
  <si>
    <t>352347383.34000003</t>
  </si>
  <si>
    <t>1202299307.03</t>
  </si>
  <si>
    <t>1134544968.0900002</t>
  </si>
  <si>
    <t>606179743.49</t>
  </si>
  <si>
    <t>354912762.19</t>
  </si>
  <si>
    <t>1169549630.3</t>
  </si>
  <si>
    <t>399937967.68</t>
  </si>
  <si>
    <t>638756277.5</t>
  </si>
  <si>
    <t>903535008.7900001</t>
  </si>
  <si>
    <t>66324090.550000004</t>
  </si>
  <si>
    <t>181986810.29000002</t>
  </si>
  <si>
    <t>805800000.0</t>
  </si>
  <si>
    <t>44483919.61</t>
  </si>
  <si>
    <t>439734127.62</t>
  </si>
  <si>
    <t>122624839.64</t>
  </si>
  <si>
    <t>95002244.74000001</t>
  </si>
  <si>
    <t>8712330.14</t>
  </si>
  <si>
    <t>61023911.82</t>
  </si>
  <si>
    <t>16436384.5</t>
  </si>
  <si>
    <t>Too broad</t>
  </si>
  <si>
    <t/>
  </si>
  <si>
    <t>market for polypropylene, granulate</t>
  </si>
  <si>
    <t>market for ethylene</t>
  </si>
  <si>
    <t>market for propylene</t>
  </si>
  <si>
    <t>market for polyethylene, high density, granulate</t>
  </si>
  <si>
    <t>market for methanol</t>
  </si>
  <si>
    <t>market for benzene</t>
  </si>
  <si>
    <t>Bio-based</t>
  </si>
  <si>
    <t>market for polyvinyl chloride, emulsion polymerised</t>
  </si>
  <si>
    <t>market for polyethylene, low density, granulate</t>
  </si>
  <si>
    <t>market for butyl acrylate</t>
  </si>
  <si>
    <t>market for polyethylene, linear low density, granulate</t>
  </si>
  <si>
    <t>market for styrene</t>
  </si>
  <si>
    <t>market for purified terephthalic acid</t>
  </si>
  <si>
    <t>Globally: &gt;3.7 Mt phthalic anhydride production capacity in 1996 (Lorz et al., 2007) vs 81.6 Mt terephthalic acid in 2021 (Tomás et al., 2024). With no more recent trustworthy data, phthalic anhydride is assumed to be very small compared to terephthalic acid</t>
  </si>
  <si>
    <t>market for polyethylene terephthalate, granulate, amorphous</t>
  </si>
  <si>
    <t>Inorganic</t>
  </si>
  <si>
    <t>market for butadiene</t>
  </si>
  <si>
    <t>Globally: Isoprene production is supposed between 0.8 and 1.3 Mt (Kim et al., 2016; Aldridge et al., 2021) vs 10 Mt for butediene (Biddy et al., 2016)</t>
  </si>
  <si>
    <t>Split PA 6 and PA 66, with ratio built from 4 million tons for PA 6 and 3.4 million tons for PA 66 (Khedr, 2023)</t>
  </si>
  <si>
    <t>market for butene, mixed</t>
  </si>
  <si>
    <t>market for polystyrene, expandable</t>
  </si>
  <si>
    <t>market for ethylene glycol</t>
  </si>
  <si>
    <t>market for propylene oxide, liquid</t>
  </si>
  <si>
    <t>market for polystyrene, extruded</t>
  </si>
  <si>
    <t>market for ethylene dichloride</t>
  </si>
  <si>
    <t>market for p-xylene</t>
  </si>
  <si>
    <t>market for toluene, liquid</t>
  </si>
  <si>
    <t>market for acetone, liquid</t>
  </si>
  <si>
    <t>Split in the Export sheet, MDI production capacity 10 Mt TDI production capacity 3 Mt (Richter et al., 2024)</t>
  </si>
  <si>
    <t>market for formaldehyde</t>
  </si>
  <si>
    <t>market for vinyl acetate</t>
  </si>
  <si>
    <t>market for acetic acid</t>
  </si>
  <si>
    <t>market for ethylene oxide</t>
  </si>
  <si>
    <t>market for vinyl chloride</t>
  </si>
  <si>
    <t>market for aniline</t>
  </si>
  <si>
    <t>market for propylene glycol, liquid</t>
  </si>
  <si>
    <t>market for acrylonitrile-butadiene-styrene copolymer</t>
  </si>
  <si>
    <t>market for xylene, mixed</t>
  </si>
  <si>
    <t>market for polyvinyl chloride, suspension polymerised</t>
  </si>
  <si>
    <t>market for cumene</t>
  </si>
  <si>
    <t>market for acrylonitrile</t>
  </si>
  <si>
    <t>market for cyclohexane</t>
  </si>
  <si>
    <t>market for adipic acid</t>
  </si>
  <si>
    <t>market for isopropanol</t>
  </si>
  <si>
    <t>The overwhelming majority of physical volume tracked under the institutional aggregated codes (HS 2905 12 and Prodcom 20.14.22.20) is therefore Propan-2-ol, which is conservatively estimated to be 8 to 10 times larger in volume than Propan-1-ol (Accessed: 11/11/2025: https://gemini.google.com/share/d1c1fcd87af2)</t>
  </si>
  <si>
    <t>market for ethyl benzene</t>
  </si>
  <si>
    <t>"2-Propenoic acid, butyl ester" (Butyl Acrylate): 450 kt &lt; US production (2019) &lt; 2,270 kt; "2-Propenoic acid, ethyl ester" (Ethyl acrylate): 45 kt &lt; US production (2019) &lt; 450 kt; "2-Propenoic acid, methyl ester" (Methyl acrylate): 45 kt &lt; US production (2019) &lt; 113 kt (US EPA, 2022)</t>
  </si>
  <si>
    <t>market for ethylene vinyl acetate copolymer</t>
  </si>
  <si>
    <t>market for n-butanol</t>
  </si>
  <si>
    <t>market for hexamethylenediamine</t>
  </si>
  <si>
    <t>"1,6-Hexanediamine" (Hexamethylenediamine): 450 kt &lt; US production (2019) &lt; 2,270 kt; "1,2-Ethanediamine" (ethylenediamine): 45 kt &lt; US production (2019) &lt; 450 kt (US EPA, 2022)</t>
  </si>
  <si>
    <t>market for ethyl acetate</t>
  </si>
  <si>
    <t>Polyoxymethylene (POM) carbon footprint is estimated to 3.64 kg CO2-eq/kg polymer (Jones et al., 2022)</t>
  </si>
  <si>
    <t>market for diethylene glycol</t>
  </si>
  <si>
    <t>market for methyl methacrylate</t>
  </si>
  <si>
    <t>"2-Propenoic acid, 2-methyl-, butyl ester" (Butyl methacrylate) 9 kt &lt; US production (2019) &lt; 45 kt; "2-Propenoic acid, 2-methyl-, ethyl ester" (Ethyl methacrylate) 0.45 kt &lt; US production (2019) &lt; 9 kt; "2-Propenoic acid, 2-methyl-, methyl ester" (Methyl methacrylate): 450 kt &lt; US production (2019) &lt; 2,270 kt (US EPA, 2022)</t>
  </si>
  <si>
    <t>market for o-xylene</t>
  </si>
  <si>
    <t>Already covered</t>
  </si>
  <si>
    <t>README sheet</t>
  </si>
  <si>
    <t>General information</t>
  </si>
  <si>
    <t>Main paper title</t>
  </si>
  <si>
    <t>Residual biomass to bio-based chemicals and plastics: ex-ante screening methodology for prioritizing high-impact substitutions</t>
  </si>
  <si>
    <t>Authors</t>
  </si>
  <si>
    <t>Nicolas LIENART, Thibaut LECOMPTE, Lorie HAMELIN</t>
  </si>
  <si>
    <t>Contact (Nicolas Lienart)</t>
  </si>
  <si>
    <t>nicolas.lienart@insa-toulouse.fr</t>
  </si>
  <si>
    <t>Contact (Thibaut Lecompte)</t>
  </si>
  <si>
    <t>thibaut.lecompte@univ-ubs.fr</t>
  </si>
  <si>
    <t>Contact (Lorie Hamelin)</t>
  </si>
  <si>
    <t>lorie.hamelin@insa-toulouse.fr</t>
  </si>
  <si>
    <t>Description</t>
  </si>
  <si>
    <t>Note</t>
  </si>
  <si>
    <t>This file is part of a set of supplementary materials. Please refer to the main manuscript and the accompanying document to find other materials and for a description of their usage.</t>
  </si>
  <si>
    <t>Git repository (Forge INRAE)</t>
  </si>
  <si>
    <t>https://forge.inrae.fr/nicolas.lienart/screen-lca-paper-supplementary-code</t>
  </si>
  <si>
    <t>Git repository (GitHub)</t>
  </si>
  <si>
    <t>https://github.com/nicolnt/screen-lca-paper-supplementary-code</t>
  </si>
  <si>
    <t>Updates</t>
  </si>
  <si>
    <t>Date</t>
  </si>
  <si>
    <t>Ready for submission</t>
  </si>
  <si>
    <t>Sheet structure</t>
  </si>
  <si>
    <t>Sheet name</t>
  </si>
  <si>
    <t>README</t>
  </si>
  <si>
    <t>This sheet. Contains meta information about this Excel file and its structure.</t>
  </si>
  <si>
    <t>References</t>
  </si>
  <si>
    <t>Cell color nomenclature</t>
  </si>
  <si>
    <t>Style name</t>
  </si>
  <si>
    <t>Color</t>
  </si>
  <si>
    <t>Example 1</t>
  </si>
  <si>
    <t>Example 2</t>
  </si>
  <si>
    <t>Example 3</t>
  </si>
  <si>
    <t>Data Assumption</t>
  </si>
  <si>
    <t>Assumed data (no specific reference)</t>
  </si>
  <si>
    <t>pink background</t>
  </si>
  <si>
    <t>Data Reference</t>
  </si>
  <si>
    <t>Data with reference (input)</t>
  </si>
  <si>
    <t>grey background</t>
  </si>
  <si>
    <t>Formula</t>
  </si>
  <si>
    <t>Cell performing calculations using other cells</t>
  </si>
  <si>
    <t>blue</t>
  </si>
  <si>
    <t>Data Linked Cell</t>
  </si>
  <si>
    <t>Cell refering to another, without transformation</t>
  </si>
  <si>
    <t>brown, italics</t>
  </si>
  <si>
    <t>Text Reference</t>
  </si>
  <si>
    <t>Reference text</t>
  </si>
  <si>
    <t>small, grey, italic</t>
  </si>
  <si>
    <t>Bohers, 2024 - Com. Pers.</t>
  </si>
  <si>
    <t>(Muñoz and Weidema, 2024, p. 4)</t>
  </si>
  <si>
    <t>[2]</t>
  </si>
  <si>
    <t>Text Unit</t>
  </si>
  <si>
    <t>Unit</t>
  </si>
  <si>
    <t>small, centered</t>
  </si>
  <si>
    <t>kt.km</t>
  </si>
  <si>
    <t>MJ LHV/kg DM</t>
  </si>
  <si>
    <t>°C</t>
  </si>
  <si>
    <t>Citation</t>
  </si>
  <si>
    <t>Reference with URL</t>
  </si>
  <si>
    <t>(Khedr, 2023)</t>
  </si>
  <si>
    <t>Khedr, M.S.F. (2023) “Bio-based polyamide,” Physical Sciences Reviews, 8(7), pp. 827–847. Available at: https://doi.org/10.1515/psr-2020-0076.</t>
  </si>
  <si>
    <t>(Richter et al., 2024)</t>
  </si>
  <si>
    <t>Richter, F., Karafilidis, C. and Darmandeh, H. (2024) “Isocyanates, Organic,” Ullmann’s Encyclopedia of Industrial Chemistry. John Wiley &amp; Sons, Ltd, pp. 1–23. Available at: https://doi.org/10.1002/14356007.a14_611.pub2.</t>
  </si>
  <si>
    <t>(Lorz et al., 2007)</t>
  </si>
  <si>
    <t>Lorz, P.M. et al. (2007) “Phthalic Acid and Derivatives,” Ullmann’s Encyclopedia of Industrial Chemistry. John Wiley &amp; Sons, Ltd. Available at: https://doi.org/10.1002/14356007.a20_181.pub2.</t>
  </si>
  <si>
    <t>(Tomás et al., 2024)</t>
  </si>
  <si>
    <t>Tomás, R.A.F. et al. (2024) “Terephthalic Acid, Dimethyl Terephthalate, and Isophthalic Acid,” Ullmann’s Encyclopedia of Industrial Chemistry. John Wiley &amp; Sons, Ltd, pp. 1–17. Available at: https://doi.org/10.1002/14356007.a26_193.pub3.</t>
  </si>
  <si>
    <t>(Kim et al., 2016)</t>
  </si>
  <si>
    <t>Kim, J.-H. et al. (2016) “Isoprene production by Escherichia coli through the exogenous mevalonate pathway with reduced formation of fermentation byproducts,” Microbial Cell Factories, 15(1), p. 214. Available at: https://doi.org/10.1186/s12934-016-0612-6.</t>
  </si>
  <si>
    <t>(Aldridge et al., 2021)</t>
  </si>
  <si>
    <t>Aldridge, J. et al. (2021) “Anaerobic Production of Isoprene by Engineered Methanosarcina Species Archaea,” Applied and Environmental Microbiology, 87(6), pp. e02417-20. Available at: https://doi.org/10.1128/AEM.02417-20.</t>
  </si>
  <si>
    <t>(Biddy et al., 2016)</t>
  </si>
  <si>
    <t>Biddy, M.J., Scarlata, C. and Kinchin, C. (2016) Chemicals from Biomass: A Market Assessment of Bioproducts with Near-Term Potential. NREL/TP--5100-65509, 1244312, p. NREL/TP--5100-65509, 1244312. Available at: https://doi.org/10.2172/1244312.</t>
  </si>
  <si>
    <t>(US EPA, 2022)</t>
  </si>
  <si>
    <t>US EPA (2022) “Chemical Data Reporting (CDR) Data 2020.” Available at: https://www.epa.gov/chemical-data-reporting/access-chemical-data-reporting-data#2020.</t>
  </si>
  <si>
    <t>(Sheldon and Brady, 2022)</t>
  </si>
  <si>
    <t>Sheldon, R.A. and Brady, D. (2022) “Green Chemistry, Biocatalysis, and the Chemical Industry of the Future,” ChemSusChem, 15(9), p. e202102628. Available at: https://doi.org/10.1002/cssc.202102628.</t>
  </si>
  <si>
    <t>(Hahn et al., 2013)</t>
  </si>
  <si>
    <t>Hahn, H.-D. et al. (2013) “Butanols,” in Ullmann’s Encyclopedia of Industrial Chemistry. John Wiley &amp; Sons, Ltd. Available at: https://doi.org/10.1002/14356007.a04_463.pub3.</t>
  </si>
  <si>
    <t>(Falbe et al., 2013)</t>
  </si>
  <si>
    <t>Falbe, J. et al. (2013) “Alcohols, Aliphatic,” in Ullmann’s Encyclopedia of Industrial Chemistry. John Wiley &amp; Sons, Ltd. Available at: https://doi.org/10.1002/14356007.a01_279.pub2.</t>
  </si>
  <si>
    <t>(Jones et al., 2022)</t>
  </si>
  <si>
    <t>Jones, M.P., Archodoulaki, V.-M. and Köck, B.-M. (2022) “The power of good decisions: Promoting eco-informed design attitudes in plastic selection and use,” Resources, Conservation and Recycling, 182, p. 106324. Available at: https://doi.org/10.1016/j.resconrec.2022.106324.</t>
  </si>
  <si>
    <t>(Schiweck et al., 2012)</t>
  </si>
  <si>
    <t>Schiweck, H. et al. (2012) “Sugar Alcohols,” in Ullmann’s Encyclopedia of Industrial Chemistry. John Wiley &amp; Sons, Ltd. Available at: https://doi.org/10.1002/14356007.a25_413.pub3.</t>
  </si>
  <si>
    <t>(Raff, 2013)</t>
  </si>
  <si>
    <t>Raff, D.K. (2013) “Butanals,” in Ullmann’s Encyclopedia of Industrial Chemistry. John Wiley &amp; Sons, Ltd. Available at: https://doi.org/10.1002/14356007.a04_447.pub2.</t>
  </si>
  <si>
    <t>(Ecoinvent, 2024)</t>
  </si>
  <si>
    <t>Ecoinvent (2024) “ecoinvent Version 3.11.” Available at: https://support.ecoinvent.org/ecoinvent-version-3.11 (Accessed: April 17, 2025).</t>
  </si>
  <si>
    <t>(Li, 2007)</t>
  </si>
  <si>
    <t>Li, Y. (2007) Life Cycle Assessment of Chemical Processes and Products. Available at: http://www.lib.ncsu.edu/resolver/1840.16/3805 (Accessed: February 2, 2026).</t>
  </si>
  <si>
    <t>(Hong and Xu, 2012)</t>
  </si>
  <si>
    <t>Hong, J. and Xu, X. (2012) “Environmental impact assessment of caprolactam production – a case study in China,” Journal of Cleaner Production, 27, pp. 103–108. Available at: https://doi.org/10.1016/j.jclepro.2011.12.037.</t>
  </si>
  <si>
    <t>Rethought the structure of the input data and added several series to compare across regions (EU27 and FR) and years (2019, 2022). Still need to bring missing sheets from the previous version of this Excel file (i.e., Calculations, Hotspots, Export)</t>
  </si>
  <si>
    <t>Local production share of available quantity (PRODQNT + IMPQNT) - EU27 - 2022</t>
  </si>
  <si>
    <t>HS22 code</t>
  </si>
  <si>
    <t>390210</t>
  </si>
  <si>
    <t>271114</t>
  </si>
  <si>
    <t>390120</t>
  </si>
  <si>
    <t>390110</t>
  </si>
  <si>
    <t>290220</t>
  </si>
  <si>
    <t>390410</t>
  </si>
  <si>
    <t>290250</t>
  </si>
  <si>
    <t>291736</t>
  </si>
  <si>
    <t>390761</t>
  </si>
  <si>
    <t>290124</t>
  </si>
  <si>
    <t>390810</t>
  </si>
  <si>
    <t>290123</t>
  </si>
  <si>
    <t>390311</t>
  </si>
  <si>
    <t>290531</t>
  </si>
  <si>
    <t>291020</t>
  </si>
  <si>
    <t>390319</t>
  </si>
  <si>
    <t>290315</t>
  </si>
  <si>
    <t>290243</t>
  </si>
  <si>
    <t>290230</t>
  </si>
  <si>
    <t>291411</t>
  </si>
  <si>
    <t>292910</t>
  </si>
  <si>
    <t>291211</t>
  </si>
  <si>
    <t>390521</t>
  </si>
  <si>
    <t>291521</t>
  </si>
  <si>
    <t>291010</t>
  </si>
  <si>
    <t>290321</t>
  </si>
  <si>
    <t>292141</t>
  </si>
  <si>
    <t>390769</t>
  </si>
  <si>
    <t>290532</t>
  </si>
  <si>
    <t>390330</t>
  </si>
  <si>
    <t>290242</t>
  </si>
  <si>
    <t>390422</t>
  </si>
  <si>
    <t>290270</t>
  </si>
  <si>
    <t>292610</t>
  </si>
  <si>
    <t>290211</t>
  </si>
  <si>
    <t>291712</t>
  </si>
  <si>
    <t>290512</t>
  </si>
  <si>
    <t>290260</t>
  </si>
  <si>
    <t>291612</t>
  </si>
  <si>
    <t>390130</t>
  </si>
  <si>
    <t>290513</t>
  </si>
  <si>
    <t>292122</t>
  </si>
  <si>
    <t>291531</t>
  </si>
  <si>
    <t>390710</t>
  </si>
  <si>
    <t>290941</t>
  </si>
  <si>
    <t>291614</t>
  </si>
  <si>
    <t>290241</t>
  </si>
  <si>
    <t>Polyamides</t>
  </si>
  <si>
    <t>PA 6</t>
  </si>
  <si>
    <t>Caprolactam</t>
  </si>
  <si>
    <t>kg/t PA6</t>
  </si>
  <si>
    <t>(Li, 2007, p. 136)</t>
  </si>
  <si>
    <t>kg/kg PA6</t>
  </si>
  <si>
    <t>t/t Caprolactame</t>
  </si>
  <si>
    <t>(Hong and Xu, 2012, p. 105)</t>
  </si>
  <si>
    <t>World Polyamide -6 production</t>
  </si>
  <si>
    <t>Mt</t>
  </si>
  <si>
    <t>PA 66</t>
  </si>
  <si>
    <t>Adipic acid</t>
  </si>
  <si>
    <t>kg/t PA66</t>
  </si>
  <si>
    <t>Hexamethylene diamine</t>
  </si>
  <si>
    <t>kg/kg PA66</t>
  </si>
  <si>
    <t>World Polyamide -6,6 production</t>
  </si>
  <si>
    <t>MDI production capacity</t>
  </si>
  <si>
    <t>TDI production capacity</t>
  </si>
  <si>
    <t>Atomic mass</t>
  </si>
  <si>
    <t>Abridged standard atomic weight</t>
  </si>
  <si>
    <t>C</t>
  </si>
  <si>
    <t>unified atomic mass</t>
  </si>
  <si>
    <t>(Prohaska et al., 2022, p. 582)</t>
  </si>
  <si>
    <t>O</t>
  </si>
  <si>
    <t>H</t>
  </si>
  <si>
    <t>(Prohaska et al., 2022, p. 581)</t>
  </si>
  <si>
    <t>PRODCOM code</t>
  </si>
  <si>
    <t>Long name</t>
  </si>
  <si>
    <t>Figure name</t>
  </si>
  <si>
    <t>Molecular formula (MF)</t>
  </si>
  <si>
    <t>Molecular weight (MW)</t>
  </si>
  <si>
    <t>Carbon atoms</t>
  </si>
  <si>
    <t>Carbon mass share</t>
  </si>
  <si>
    <t>MF and MW reference</t>
  </si>
  <si>
    <t>Polypropylene</t>
  </si>
  <si>
    <t>(C3H6)x</t>
  </si>
  <si>
    <t>3</t>
  </si>
  <si>
    <t>Source : 26-03-2026 - https://pubchem.ncbi.nlm.nih.gov/compound/Polypropylene</t>
  </si>
  <si>
    <t>Propylene</t>
  </si>
  <si>
    <t>C3H6</t>
  </si>
  <si>
    <t>Source : 26-03-2026 - https://pubchem.ncbi.nlm.nih.gov/compound/8252</t>
  </si>
  <si>
    <t>C2H4</t>
  </si>
  <si>
    <t>2</t>
  </si>
  <si>
    <t>Source : 26-03-2026 - https://pubchem.ncbi.nlm.nih.gov/compound/6325</t>
  </si>
  <si>
    <t>Polyethylene</t>
  </si>
  <si>
    <t>(C2H4)n</t>
  </si>
  <si>
    <t>Source : 26-03-2026 - https://pubchem.ncbi.nlm.nih.gov/compound/Polyethylene</t>
  </si>
  <si>
    <t>Methanol</t>
  </si>
  <si>
    <t>CH4O</t>
  </si>
  <si>
    <t>1</t>
  </si>
  <si>
    <t>Source : 26-03-2026 - https://pubchem.ncbi.nlm.nih.gov/compound/887</t>
  </si>
  <si>
    <t>C6H6</t>
  </si>
  <si>
    <t>6</t>
  </si>
  <si>
    <t>Source : 26-03-2026 - https://pubchem.ncbi.nlm.nih.gov/compound/241</t>
  </si>
  <si>
    <t>Polyvinyl chloride</t>
  </si>
  <si>
    <t>C2H3Cl</t>
  </si>
  <si>
    <t>Source : 26-03-2026 - https://pubchem.ncbi.nlm.nih.gov/compound/6338</t>
  </si>
  <si>
    <t>Terephthalic acid</t>
  </si>
  <si>
    <t>C8H6O4</t>
  </si>
  <si>
    <t>8</t>
  </si>
  <si>
    <t>Source : 26-03-2026 - https://pubchem.ncbi.nlm.nih.gov/compound/7489</t>
  </si>
  <si>
    <t>Polyethylene terephthalate</t>
  </si>
  <si>
    <t>C12H14O4</t>
  </si>
  <si>
    <t>12</t>
  </si>
  <si>
    <t>Source : 26-03-2026 - https://pubchem.ncbi.nlm.nih.gov/compound/18721140</t>
  </si>
  <si>
    <t>C8H8</t>
  </si>
  <si>
    <t>Source : 26-03-2026 - https://pubchem.ncbi.nlm.nih.gov/compound/7501</t>
  </si>
  <si>
    <t>Butadiene</t>
  </si>
  <si>
    <t>C4H6</t>
  </si>
  <si>
    <t>4</t>
  </si>
  <si>
    <t>Source : 26-03-2026 - https://pubchem.ncbi.nlm.nih.gov/compound/7845</t>
  </si>
  <si>
    <t>Butylene</t>
  </si>
  <si>
    <t>C8H16</t>
  </si>
  <si>
    <t>Source : 26-03-2026 - https://pubchem.ncbi.nlm.nih.gov/compound/6435908</t>
  </si>
  <si>
    <t>Polystyrene</t>
  </si>
  <si>
    <t>(C8H8)x</t>
  </si>
  <si>
    <t>Source : 26-03-2026 - https://pubchem.ncbi.nlm.nih.gov/compound/Polystyrene</t>
  </si>
  <si>
    <t>Propylene oxide</t>
  </si>
  <si>
    <t>C3H6O</t>
  </si>
  <si>
    <t>Source : 26-03-2026 - https://pubchem.ncbi.nlm.nih.gov/compound/6378</t>
  </si>
  <si>
    <t>Ethylene glycol</t>
  </si>
  <si>
    <t>C2H6O2</t>
  </si>
  <si>
    <t>Source : 26-03-2026 - https://pubchem.ncbi.nlm.nih.gov/compound/174</t>
  </si>
  <si>
    <t>Polyvinyl acetate</t>
  </si>
  <si>
    <t>(C4H6O2)x</t>
  </si>
  <si>
    <t>Source : 26-03-2026 - https://pubchem.ncbi.nlm.nih.gov/compound/Poly_vinyl-acetate</t>
  </si>
  <si>
    <t>Source : 26-03-2026 - https://pubchem.ncbi.nlm.nih.gov/compound/180</t>
  </si>
  <si>
    <t>Ethylene dichloride</t>
  </si>
  <si>
    <t>C2H4Cl2</t>
  </si>
  <si>
    <t>Source : 26-03-2026 - https://pubchem.ncbi.nlm.nih.gov/compound/11</t>
  </si>
  <si>
    <t>C7H8</t>
  </si>
  <si>
    <t>7</t>
  </si>
  <si>
    <t>Source : 26-03-2026 - https://pubchem.ncbi.nlm.nih.gov/compound/1140</t>
  </si>
  <si>
    <t>Aniline</t>
  </si>
  <si>
    <t>C6H7N</t>
  </si>
  <si>
    <t>Source : 26-03-2026 - https://pubchem.ncbi.nlm.nih.gov/compound/6115</t>
  </si>
  <si>
    <t>Formaldehyde</t>
  </si>
  <si>
    <t>CH2O</t>
  </si>
  <si>
    <t>Source : 26-03-2026 - https://pubchem.ncbi.nlm.nih.gov/compound/712</t>
  </si>
  <si>
    <t>C2H4O2</t>
  </si>
  <si>
    <t>Source : 26-03-2026 - https://pubchem.ncbi.nlm.nih.gov/compound/176</t>
  </si>
  <si>
    <t>ABS</t>
  </si>
  <si>
    <t>C15H17N</t>
  </si>
  <si>
    <t>15</t>
  </si>
  <si>
    <t>Source : 26-03-2026 - https://pubchem.ncbi.nlm.nih.gov/compound/24756</t>
  </si>
  <si>
    <t>Vinyl chloride</t>
  </si>
  <si>
    <t>Ethylene oxide</t>
  </si>
  <si>
    <t>C2H4O</t>
  </si>
  <si>
    <t>Source : 26-03-2026 - https://pubchem.ncbi.nlm.nih.gov/compound/6354</t>
  </si>
  <si>
    <t>Ethylene-vinyl acetate</t>
  </si>
  <si>
    <t>C6H10O2</t>
  </si>
  <si>
    <t>Source : 26-03-2026 - https://pubchem.ncbi.nlm.nih.gov/compound/32742</t>
  </si>
  <si>
    <t>C7H12O2</t>
  </si>
  <si>
    <t>Source : 26-03-2026 - https://pubchem.ncbi.nlm.nih.gov/compound/8846</t>
  </si>
  <si>
    <t>Isopropanol</t>
  </si>
  <si>
    <t>C3H8O</t>
  </si>
  <si>
    <t>Source : 26-03-2026 - https://pubchem.ncbi.nlm.nih.gov/compound/3776</t>
  </si>
  <si>
    <t>C9H12</t>
  </si>
  <si>
    <t>9</t>
  </si>
  <si>
    <t>Source : 26-03-2026 - https://pubchem.ncbi.nlm.nih.gov/compound/7406</t>
  </si>
  <si>
    <t>C6H12</t>
  </si>
  <si>
    <t>Source : 26-03-2026 - https://pubchem.ncbi.nlm.nih.gov/compound/8078</t>
  </si>
  <si>
    <t>C6H10O4</t>
  </si>
  <si>
    <t>Source : 26-03-2026 - https://pubchem.ncbi.nlm.nih.gov/compound/196</t>
  </si>
  <si>
    <t>C8H10</t>
  </si>
  <si>
    <t>Source : 26-03-2026 - https://pubchem.ncbi.nlm.nih.gov/compound/7809</t>
  </si>
  <si>
    <t>Source : 26-03-2026 - https://pubchem.ncbi.nlm.nih.gov/compound/7500</t>
  </si>
  <si>
    <t>Propylene glycol</t>
  </si>
  <si>
    <t>C3H8O2</t>
  </si>
  <si>
    <t>Source : 26-03-2026 - https://pubchem.ncbi.nlm.nih.gov/compound/1030</t>
  </si>
  <si>
    <t>n-Butanol</t>
  </si>
  <si>
    <t>C4H10O</t>
  </si>
  <si>
    <t>Source : 26-03-2026 - https://pubchem.ncbi.nlm.nih.gov/compound/263</t>
  </si>
  <si>
    <t>Hexamethylenediamine</t>
  </si>
  <si>
    <t>C6H16N2</t>
  </si>
  <si>
    <t>Source : 26-03-2026 - https://pubchem.ncbi.nlm.nih.gov/compound/16402</t>
  </si>
  <si>
    <t>m-Xylene</t>
  </si>
  <si>
    <t>Source : 26-03-2026 - https://pubchem.ncbi.nlm.nih.gov/compound/7929</t>
  </si>
  <si>
    <t>Methyl methacrylate</t>
  </si>
  <si>
    <t>C5H8O2</t>
  </si>
  <si>
    <t>5</t>
  </si>
  <si>
    <t>Source : 26-03-2026 - https://pubchem.ncbi.nlm.nih.gov/compound/6658</t>
  </si>
  <si>
    <t>C3H3N</t>
  </si>
  <si>
    <t>Source : 26-03-2026 - https://pubchem.ncbi.nlm.nih.gov/compound/7855</t>
  </si>
  <si>
    <t>Polyoxymethylene</t>
  </si>
  <si>
    <t>manual:3.64</t>
  </si>
  <si>
    <t xml:space="preserve">(CH2O)n </t>
  </si>
  <si>
    <t>Source : 26-03-2026 - https://en.wikipedia.org/wiki/Polyoxymethylene</t>
  </si>
  <si>
    <t>C4H8O2</t>
  </si>
  <si>
    <t>Source : 26-03-2026 - https://pubchem.ncbi.nlm.nih.gov/compound/8857</t>
  </si>
  <si>
    <t>Diethylene glycol</t>
  </si>
  <si>
    <t>C4H10O3</t>
  </si>
  <si>
    <t>Source : 26-03-2026 - https://pubchem.ncbi.nlm.nih.gov/compound/8117</t>
  </si>
  <si>
    <t>Source : 26-03-2026 - https://pubchem.ncbi.nlm.nih.gov/compound/7237</t>
  </si>
  <si>
    <t>Toluene diisocyanate (TDI)</t>
  </si>
  <si>
    <t>Toluene diisocyanate</t>
  </si>
  <si>
    <t>market for toluene diisocyanate</t>
  </si>
  <si>
    <t>C9H6N2O2</t>
  </si>
  <si>
    <t>Source : 26-03-2026 - https://pubchem.ncbi.nlm.nih.gov/compound/11443</t>
  </si>
  <si>
    <t>Methylene diphenyl diisocyanate (MDI)</t>
  </si>
  <si>
    <t>Methylene diphenyl diisocyanate</t>
  </si>
  <si>
    <t>market for methylene diphenyl diisocyanate</t>
  </si>
  <si>
    <t>C15H10N2O2</t>
  </si>
  <si>
    <t>Source : 26-03-2026 - https://pubchem.ncbi.nlm.nih.gov/compound/7570</t>
  </si>
  <si>
    <t>Polyamide -6,6 (PA 66)</t>
  </si>
  <si>
    <t>Polyamide -6,6</t>
  </si>
  <si>
    <t>market for nylon 6-6</t>
  </si>
  <si>
    <t>C12H20N2O2</t>
  </si>
  <si>
    <t>Source : 26-03-2026 - https://pubchem.ncbi.nlm.nih.gov/compound/36070</t>
  </si>
  <si>
    <t>Polyamide -6 (PA 6)</t>
  </si>
  <si>
    <t>Polyamide -6</t>
  </si>
  <si>
    <t>market for nylon 6</t>
  </si>
  <si>
    <t>C30H56N5O6-</t>
  </si>
  <si>
    <t>30</t>
  </si>
  <si>
    <t>Source : 26-03-2026 - https://pubchem.ncbi.nlm.nih.gov/compound/9543372</t>
  </si>
  <si>
    <t>kg/yr</t>
  </si>
  <si>
    <t>Quantity (kg/yr)</t>
  </si>
  <si>
    <t>Quantity (Mt/yr)</t>
  </si>
  <si>
    <t>Ecoinvent 3.11 activity region 1 location</t>
  </si>
  <si>
    <t>Ecoinvent 3.11 activity region 1 share</t>
  </si>
  <si>
    <t>RER</t>
  </si>
  <si>
    <t>Ecoinvent 3.11 activity region 2 location</t>
  </si>
  <si>
    <t>Ecoinvent 3.11 activity region 2 share</t>
  </si>
  <si>
    <t>Ecoinvent 3.12 activity region 2 location</t>
  </si>
  <si>
    <t>Ecoinvent 3.12 activity region 1 location</t>
  </si>
  <si>
    <t>Ecoinvent 3.12 activity region 1 share</t>
  </si>
  <si>
    <t>GLO</t>
  </si>
  <si>
    <t>RoW</t>
  </si>
  <si>
    <t>RER w/o RU</t>
  </si>
  <si>
    <t>Ecoinvent 3.12 activity region 2 share</t>
  </si>
  <si>
    <t>US</t>
  </si>
  <si>
    <t>Ecoinvent 3.11 activity region 3 location</t>
  </si>
  <si>
    <t>Ecoinvent 3.11 activity region 3 share</t>
  </si>
  <si>
    <t>Ecoinvent 3.12 activity region 3 location</t>
  </si>
  <si>
    <t>Ecoinvent 3.12 activity region 3 share</t>
  </si>
  <si>
    <t>TT</t>
  </si>
  <si>
    <t>Ecoinvent 3.12 activity region 4 location</t>
  </si>
  <si>
    <t>Ecoinvent 3.12 activity region 4 share</t>
  </si>
  <si>
    <t>RU</t>
  </si>
  <si>
    <t>id</t>
  </si>
  <si>
    <t>Local production share of available quantity (%)</t>
  </si>
  <si>
    <t>Updated the structure. Added HS22 codes. Added multiple Ecoinvent versions and regions and filled in the values obtained via BACI</t>
  </si>
  <si>
    <t>Sheet description:</t>
  </si>
  <si>
    <t>Bibliography: list of references used thoughout the workbook</t>
  </si>
  <si>
    <t>Note:</t>
  </si>
  <si>
    <t>290511</t>
  </si>
  <si>
    <t>Ecoinvent 3.12 activity region 5 location</t>
  </si>
  <si>
    <t>Ecoinvent 3.12 activity region 5 share</t>
  </si>
  <si>
    <t>Ecoinvent activity name or proxy</t>
  </si>
  <si>
    <t>Green columns:</t>
  </si>
  <si>
    <t>Improved some descriptions. Renamed some column titles and sheet name in export sheet.</t>
  </si>
  <si>
    <t>Hotspot products export</t>
  </si>
  <si>
    <t>Tested with Ecoinvent 3.11 and 3.12.</t>
  </si>
  <si>
    <t>Orange columns:</t>
  </si>
  <si>
    <t>Required columns to list suppliers in the BACI script.</t>
  </si>
  <si>
    <t>Required to map PRODCOM code to HS22 codes.</t>
  </si>
  <si>
    <t>Blue columns</t>
  </si>
  <si>
    <t>Additional columns required by the LCA calculation and figure output script</t>
  </si>
  <si>
    <t>Update Hotspot product export sheet description</t>
  </si>
  <si>
    <t>Chloromethane</t>
  </si>
  <si>
    <t>Butanal</t>
  </si>
  <si>
    <t>Bisphenol A</t>
  </si>
  <si>
    <t>market for bisphenol A, powder</t>
  </si>
  <si>
    <t>market for acetic anhydride</t>
  </si>
  <si>
    <t>market for methyl chloride</t>
  </si>
  <si>
    <t>"Methane, chloro-" (chloromethane) 450 kt &lt; US production (2019) &lt; 453,592 kt; "Ethane, chloro-" (chloroethane) 9 kt &lt; US production (2019) &lt; 45 kt (US EPA, 2022)</t>
  </si>
  <si>
    <t>CH3Cl</t>
  </si>
  <si>
    <t>Source : 15-08-2026 - https://pubchem.ncbi.nlm.nih.gov/compound/6327</t>
  </si>
  <si>
    <t>C4H6O3</t>
  </si>
  <si>
    <t>Source : 26-03-2026 - https://pubchem.ncbi.nlm.nih.gov/compound/7918</t>
  </si>
  <si>
    <t>C15H16O2</t>
  </si>
  <si>
    <t>Source : 26-03-2026 - https://pubchem.ncbi.nlm.nih.gov/compound/6623</t>
  </si>
  <si>
    <t>C4H8O</t>
  </si>
  <si>
    <t>Source : 26-03-2026 - https://pubchem.ncbi.nlm.nih.gov/compound/261</t>
  </si>
  <si>
    <t>Asia without China</t>
  </si>
  <si>
    <t>TR</t>
  </si>
  <si>
    <t>RNA</t>
  </si>
  <si>
    <t>CN</t>
  </si>
  <si>
    <t>Sum</t>
  </si>
  <si>
    <t>kg</t>
  </si>
  <si>
    <t>Sum of filtered products</t>
  </si>
  <si>
    <t>Pearson coefficient</t>
  </si>
  <si>
    <t>PRODQNT + IMPQNT - EU27 - 2019 (% of sum)</t>
  </si>
  <si>
    <t>PRODQNT + IMPQNT - EU27 - 2022 (% of sum)</t>
  </si>
  <si>
    <t>Pearson correlation EU27 2019 vs 2022</t>
  </si>
  <si>
    <t>Add sensitivity analysis</t>
  </si>
  <si>
    <t>Filtered PRODCOM data</t>
  </si>
  <si>
    <t>Correlation EU27 2019-2022</t>
  </si>
  <si>
    <t>Sensitivity analysis</t>
  </si>
  <si>
    <t>Split Polyamides &amp; Isocyanates</t>
  </si>
  <si>
    <t>Rename Calculations sheet and add End-of-life fates sheet</t>
  </si>
  <si>
    <t>Plastics waste</t>
  </si>
  <si>
    <t>Collected for recycling</t>
  </si>
  <si>
    <t>Recycling residues</t>
  </si>
  <si>
    <t>Aquatic leakage</t>
  </si>
  <si>
    <t>Terrestrial leakage</t>
  </si>
  <si>
    <t>Open-pit burning</t>
  </si>
  <si>
    <t>Dumpsites</t>
  </si>
  <si>
    <t>Landfilled</t>
  </si>
  <si>
    <t>Incinerated</t>
  </si>
  <si>
    <t>Total</t>
  </si>
  <si>
    <t>Share</t>
  </si>
  <si>
    <t>Mass flow</t>
  </si>
  <si>
    <t>%w/w</t>
  </si>
  <si>
    <t>(OECD, 2022, p. 25)</t>
  </si>
  <si>
    <t>Recycling (net)</t>
  </si>
  <si>
    <t>Activity name</t>
  </si>
  <si>
    <t>Representative Ecoinvent activity</t>
  </si>
  <si>
    <t>Geography</t>
  </si>
  <si>
    <t>Assuming no GHG footprint (cutoff)</t>
  </si>
  <si>
    <t>Assuming no GHG footprint (no data)</t>
  </si>
  <si>
    <t>treatment of waste plastic, mixture, open burning</t>
  </si>
  <si>
    <t>treatment of waste plastic, mixture, unsanitary landfill, dry infiltration class (100mm)</t>
  </si>
  <si>
    <t>treatment of waste plastic, mixture, sanitary landfill</t>
  </si>
  <si>
    <t>treatment of waste plastic, mixture, municipal incineration</t>
  </si>
  <si>
    <t>carbon content</t>
  </si>
  <si>
    <t>carbon content, fossil</t>
  </si>
  <si>
    <t>For 1 kg of "waste plastic, mixture" Ecoinvent product</t>
  </si>
  <si>
    <t>dry mass</t>
  </si>
  <si>
    <t>Source : 19-08-2026 - https://ecoquery.ecoinvent.org/3.12/cutoff/dataset/11079/exchanges</t>
  </si>
  <si>
    <t>OECD (2022) Global Plastics Outlook: Policy Scenarios to 2060. OECD Publishing. Available at: https://doi.org/10.1787/aa1edf33-en.</t>
  </si>
  <si>
    <t>(OECD, 2022)</t>
  </si>
  <si>
    <t>End-of-life fates</t>
  </si>
  <si>
    <t>Cleanings</t>
  </si>
  <si>
    <t>R² correlation coefficient comparing the relative share of the available quantities of each PRODCOM product (20.14 and 20.16 categories), comparing 2019 and 2022. Refer to SM document for more details</t>
  </si>
  <si>
    <t>Available quantity correlation between 2019 and 2022 series, for sensitivity analysis.</t>
  </si>
  <si>
    <t>The table below is an extraction of the table from the previous sheet, taking the top products in the list after screening and ecoinvent matching. Also polyamides and isocyanates were disaggregated below. Table to be exported for use as input CSV in the footprint calculation notebook.
When determining the Ecoinvent regions, if local availability of a product in Europe was 80% or more, we assumed 100% RER or RER w/o RU. See "Get product importers from BACI.ipynb" file in the SI for details on the calculation of import shares from the different regions and countries. The table should be exported as CSV and imported into the "Calculate product footprints and generate hotspot figure.ipynb" notebook.</t>
  </si>
  <si>
    <t>Extraction of the top PRODCOM products (available quantity), with disaggregation of polyamides and isocyanates. Additional data for footprint calculation. For export to CSV.</t>
  </si>
  <si>
    <t>End-of-life fate shares of plastic waste.</t>
  </si>
  <si>
    <t>Data and necessary calculation to split polyamides and isocyanates PRODCOM products into separate products for matching with Ecoinvent datasets.</t>
  </si>
  <si>
    <t>Correlation coefficient of the PRODCOM products' mass to total mass.</t>
  </si>
  <si>
    <t>PRODCOM data obtained from "Python_notebooks/Extract PRODCOM data.ipynb". The "In scope" column is filtered to only show rows with no identified issues. The identification process was performed iteratively and manually over the top products in terms of availability (i.e., local production + imports in the EU27). Therefore, only the top 50 products (after filtering) should be considered analyzed by the authors.</t>
  </si>
  <si>
    <t>PRODCOM data: local production, import, export. Regions: France (FR) and the EU (EU27_2020). Years: 2019 and 2022. Further filtering of out of scope products.</t>
  </si>
  <si>
    <t>This file is used to perform screening on the top most produced and imported products obtained from PRODCOM data processing using the related Python notebook: "Python_notebooks/Extract PRODCOM data.ipynb". LCI datasets are associated to the selected hotspots. The final output is a CSV file that can be processed by the environmental hotspot calculation Python notebook: "Python_notebooks/Calculate hotspot products footprints and contributions.ipynb".
Local production, imports and exports quantities in physical unit (i.e., kilogram mostly) of basic organic chemicals and plastics in France and in the EU27 for the years 2019 and 2022. Filtering of the top products to remove inorganics.
Disaggregating of some products into their major components: polyamides (PA-6 and PA-6,6) and isocyanates (MDI and TDI).
Match top products (N=57, including disaggregated products) to representative Ecoinvent activity, HS22 code and carbon content.
Estimated Ecoinvent geography representativity of the top products for the EU27.
Estimated generic end-of-life fate shares of the top products.</t>
  </si>
  <si>
    <t>Update 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</si>
</sst>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9" x14ac:knownFonts="1">
    <font>
      <sz val="11"/>
      <color theme="1"/>
      <name val="Calibri"/>
      <family val="2"/>
      <scheme val="minor"/>
    </font>
    <font>
      <sz val="8"/>
      <name val="Calibri"/>
      <family val="2"/>
      <scheme val="minor"/>
    </font>
    <font>
      <sz val="10"/>
      <name val="Arial"/>
      <family val="2"/>
    </font>
    <font>
      <i/>
      <sz val="10"/>
      <color rgb="FFCC6600"/>
      <name val="Arial"/>
      <family val="2"/>
    </font>
    <font>
      <sz val="10"/>
      <color rgb="FF4472C4"/>
      <name val="Arial"/>
      <family val="2"/>
    </font>
    <font>
      <sz val="9"/>
      <color rgb="FF8EA9DB"/>
      <name val="Arial"/>
      <family val="2"/>
    </font>
    <font>
      <sz val="9"/>
      <color rgb="FFFF0000"/>
      <name val="Arial"/>
      <family val="2"/>
    </font>
    <font>
      <i/>
      <sz val="9"/>
      <color rgb="FF808080"/>
      <name val="Arial"/>
      <family val="2"/>
    </font>
    <font>
      <sz val="9"/>
      <color theme="1"/>
      <name val="Arial"/>
      <family val="2"/>
    </font>
    <font>
      <b/>
      <sz val="15"/>
      <color theme="3"/>
      <name val="Calibri"/>
      <family val="2"/>
      <scheme val="minor"/>
    </font>
    <font>
      <b/>
      <sz val="13"/>
      <color theme="3"/>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b/>
      <sz val="10"/>
      <name val="Arial"/>
      <family val="2"/>
    </font>
    <font>
      <b/>
      <sz val="11"/>
      <color theme="3"/>
      <name val="Calibri"/>
      <family val="2"/>
      <scheme val="minor"/>
    </font>
    <font>
      <sz val="9"/>
      <color indexed="81"/>
      <name val="Tahoma"/>
      <family val="2"/>
    </font>
    <font>
      <b/>
      <sz val="9"/>
      <color indexed="81"/>
      <name val="Tahoma"/>
      <family val="2"/>
    </font>
    <font>
      <sz val="18"/>
      <color theme="3"/>
      <name val="Calibri Light"/>
      <family val="2"/>
      <scheme val="major"/>
    </font>
  </fonts>
  <fills count="11">
    <fill>
      <patternFill patternType="none"/>
    </fill>
    <fill>
      <patternFill patternType="gray125"/>
    </fill>
    <fill>
      <patternFill patternType="solid">
        <fgColor rgb="FFFFE1E1"/>
        <bgColor indexed="64"/>
      </patternFill>
    </fill>
    <fill>
      <patternFill patternType="solid">
        <fgColor rgb="FFE7E6E6"/>
        <bgColor indexed="64"/>
      </patternFill>
    </fill>
    <fill>
      <patternFill patternType="solid">
        <fgColor rgb="FFFFC000"/>
        <bgColor indexed="64"/>
      </patternFill>
    </fill>
    <fill>
      <patternFill patternType="solid">
        <fgColor rgb="FFFFFF00"/>
        <bgColor indexed="64"/>
      </patternFill>
    </fill>
    <fill>
      <patternFill patternType="solid">
        <fgColor theme="4"/>
      </patternFill>
    </fill>
    <fill>
      <patternFill patternType="solid">
        <fgColor theme="9"/>
        <bgColor indexed="64"/>
      </patternFill>
    </fill>
    <fill>
      <patternFill patternType="solid">
        <fgColor theme="5"/>
        <bgColor indexed="64"/>
      </patternFill>
    </fill>
    <fill>
      <patternFill patternType="solid">
        <fgColor theme="9"/>
        <bgColor theme="9"/>
      </patternFill>
    </fill>
    <fill>
      <patternFill patternType="solid">
        <fgColor theme="9" tint="0.79998168889431442"/>
        <bgColor theme="9"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ck">
        <color theme="4" tint="0.499984740745262"/>
      </bottom>
      <diagonal/>
    </border>
    <border>
      <left/>
      <right style="medium">
        <color indexed="64"/>
      </right>
      <top style="medium">
        <color indexed="64"/>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style="thin">
        <color theme="9" tint="0.39997558519241921"/>
      </top>
      <bottom style="thin">
        <color theme="9" tint="0.39997558519241921"/>
      </bottom>
      <diagonal/>
    </border>
  </borders>
  <cellStyleXfs count="16">
    <xf numFmtId="0" fontId="0" fillId="0" borderId="0"/>
    <xf numFmtId="0" fontId="2" fillId="2" borderId="0" applyNumberFormat="0" applyBorder="0" applyAlignment="0" applyProtection="0"/>
    <xf numFmtId="0" fontId="3" fillId="0" borderId="0" applyNumberFormat="0" applyBorder="0" applyAlignment="0" applyProtection="0"/>
    <xf numFmtId="0" fontId="2" fillId="3" borderId="0" applyNumberFormat="0" applyBorder="0" applyAlignment="0" applyProtection="0"/>
    <xf numFmtId="0" fontId="4" fillId="0" borderId="0" applyNumberFormat="0" applyBorder="0" applyAlignment="0" applyProtection="0"/>
    <xf numFmtId="0" fontId="2" fillId="4" borderId="0" applyNumberFormat="0" applyBorder="0" applyAlignment="0" applyProtection="0"/>
    <xf numFmtId="0" fontId="5" fillId="0" borderId="0" applyNumberFormat="0" applyBorder="0" applyAlignment="0" applyProtection="0">
      <alignment vertical="top"/>
    </xf>
    <xf numFmtId="0" fontId="6" fillId="5" borderId="0" applyNumberFormat="0" applyBorder="0" applyAlignment="0" applyProtection="0"/>
    <xf numFmtId="0" fontId="7" fillId="0" borderId="0" applyNumberFormat="0" applyBorder="0" applyAlignment="0" applyProtection="0"/>
    <xf numFmtId="0" fontId="8" fillId="0" borderId="0" applyNumberFormat="0" applyBorder="0" applyAlignment="0" applyProtection="0">
      <alignment horizontal="left" vertical="center" indent="1"/>
    </xf>
    <xf numFmtId="0" fontId="9" fillId="0" borderId="1" applyNumberFormat="0" applyFill="0" applyAlignment="0" applyProtection="0"/>
    <xf numFmtId="0" fontId="10" fillId="0" borderId="2" applyNumberFormat="0" applyFill="0" applyAlignment="0" applyProtection="0"/>
    <xf numFmtId="0" fontId="12" fillId="6" borderId="0" applyNumberFormat="0" applyBorder="0" applyAlignment="0" applyProtection="0"/>
    <xf numFmtId="0" fontId="13" fillId="0" borderId="0" applyNumberFormat="0" applyFill="0" applyBorder="0" applyAlignment="0" applyProtection="0"/>
    <xf numFmtId="0" fontId="15" fillId="0" borderId="13" applyNumberFormat="0" applyFill="0" applyAlignment="0" applyProtection="0"/>
    <xf numFmtId="0" fontId="18" fillId="0" borderId="0" applyNumberFormat="0" applyFill="0" applyBorder="0" applyAlignment="0" applyProtection="0"/>
  </cellStyleXfs>
  <cellXfs count="101">
    <xf numFmtId="0" fontId="0" fillId="0" borderId="0" xfId="0"/>
    <xf numFmtId="0" fontId="7" fillId="0" borderId="0" xfId="8" applyBorder="1"/>
    <xf numFmtId="0" fontId="2" fillId="3" borderId="0" xfId="3" applyBorder="1"/>
    <xf numFmtId="0" fontId="4" fillId="0" borderId="0" xfId="4" applyBorder="1"/>
    <xf numFmtId="0" fontId="0" fillId="0" borderId="0" xfId="0" applyNumberFormat="1"/>
    <xf numFmtId="11" fontId="0" fillId="0" borderId="0" xfId="0" applyNumberFormat="1"/>
    <xf numFmtId="0" fontId="0" fillId="0" borderId="0" xfId="0" applyAlignment="1">
      <alignment horizontal="center" vertical="center" wrapText="1"/>
    </xf>
    <xf numFmtId="11" fontId="4" fillId="0" borderId="0" xfId="4" applyNumberFormat="1"/>
    <xf numFmtId="11" fontId="4" fillId="0" borderId="0" xfId="4" applyNumberFormat="1" applyAlignment="1">
      <alignment horizontal="center"/>
    </xf>
    <xf numFmtId="0" fontId="0" fillId="0" borderId="0" xfId="0" applyAlignment="1">
      <alignment horizontal="center"/>
    </xf>
    <xf numFmtId="11" fontId="2" fillId="2" borderId="0" xfId="1" applyNumberFormat="1" applyAlignment="1">
      <alignment horizontal="center"/>
    </xf>
    <xf numFmtId="0" fontId="9" fillId="0" borderId="1" xfId="10"/>
    <xf numFmtId="0" fontId="10" fillId="0" borderId="2" xfId="11"/>
    <xf numFmtId="0" fontId="13" fillId="0" borderId="0" xfId="13"/>
    <xf numFmtId="0" fontId="0" fillId="0" borderId="0" xfId="0" applyAlignment="1">
      <alignment wrapText="1"/>
    </xf>
    <xf numFmtId="0" fontId="13" fillId="0" borderId="0" xfId="13" applyAlignment="1">
      <alignment wrapText="1"/>
    </xf>
    <xf numFmtId="0" fontId="11" fillId="6" borderId="3" xfId="12" applyFont="1" applyBorder="1" applyAlignment="1">
      <alignment horizontal="center"/>
    </xf>
    <xf numFmtId="0" fontId="11" fillId="6" borderId="4" xfId="12" applyFont="1" applyBorder="1" applyAlignment="1">
      <alignment horizontal="left"/>
    </xf>
    <xf numFmtId="14" fontId="0" fillId="0" borderId="5" xfId="0" applyNumberFormat="1"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11" fillId="6" borderId="9" xfId="12" applyFont="1" applyBorder="1" applyAlignment="1">
      <alignment horizontal="center"/>
    </xf>
    <xf numFmtId="0" fontId="11" fillId="6" borderId="4" xfId="12" applyFont="1" applyBorder="1" applyAlignment="1">
      <alignment horizontal="center"/>
    </xf>
    <xf numFmtId="0" fontId="2" fillId="2" borderId="0" xfId="1" applyBorder="1"/>
    <xf numFmtId="11" fontId="2" fillId="2" borderId="8" xfId="1" applyNumberFormat="1" applyBorder="1"/>
    <xf numFmtId="0" fontId="3" fillId="0" borderId="0" xfId="2" applyBorder="1"/>
    <xf numFmtId="11" fontId="3" fillId="0" borderId="8" xfId="2" applyNumberFormat="1" applyBorder="1"/>
    <xf numFmtId="0" fontId="0" fillId="0" borderId="8" xfId="0" applyBorder="1"/>
    <xf numFmtId="0" fontId="0" fillId="0" borderId="10" xfId="0" applyBorder="1"/>
    <xf numFmtId="14" fontId="0" fillId="0" borderId="7" xfId="0" applyNumberFormat="1" applyBorder="1" applyAlignment="1">
      <alignment horizontal="center"/>
    </xf>
    <xf numFmtId="0" fontId="11" fillId="6" borderId="11" xfId="12" applyFont="1" applyBorder="1" applyAlignment="1">
      <alignment horizontal="center"/>
    </xf>
    <xf numFmtId="0" fontId="11" fillId="6" borderId="12" xfId="12" applyFont="1" applyBorder="1"/>
    <xf numFmtId="0" fontId="13" fillId="0" borderId="8" xfId="13" applyBorder="1"/>
    <xf numFmtId="0" fontId="13" fillId="0" borderId="6" xfId="13" applyBorder="1"/>
    <xf numFmtId="9" fontId="4" fillId="0" borderId="0" xfId="4" applyNumberFormat="1" applyAlignment="1">
      <alignment horizontal="center"/>
    </xf>
    <xf numFmtId="0" fontId="0" fillId="0" borderId="0" xfId="0" applyAlignment="1">
      <alignment horizontal="right"/>
    </xf>
    <xf numFmtId="0" fontId="0" fillId="0" borderId="0" xfId="0" applyAlignment="1">
      <alignment horizontal="center"/>
    </xf>
    <xf numFmtId="0" fontId="15" fillId="0" borderId="13" xfId="14"/>
    <xf numFmtId="0" fontId="10" fillId="0" borderId="2" xfId="11" applyAlignment="1">
      <alignment horizontal="left"/>
    </xf>
    <xf numFmtId="3" fontId="0" fillId="0" borderId="0" xfId="0" applyNumberFormat="1"/>
    <xf numFmtId="0" fontId="2" fillId="2" borderId="0" xfId="1" applyAlignment="1">
      <alignment horizontal="center" vertical="center"/>
    </xf>
    <xf numFmtId="0" fontId="2" fillId="2" borderId="0" xfId="1"/>
    <xf numFmtId="0" fontId="0" fillId="0" borderId="0" xfId="0"/>
    <xf numFmtId="0" fontId="2" fillId="5" borderId="0" xfId="1" applyFill="1"/>
    <xf numFmtId="0" fontId="2" fillId="2" borderId="0" xfId="1" applyNumberFormat="1" applyAlignment="1">
      <alignment horizontal="center" vertical="center"/>
    </xf>
    <xf numFmtId="0" fontId="8" fillId="0" borderId="0" xfId="9" applyAlignment="1">
      <alignment horizontal="center"/>
    </xf>
    <xf numFmtId="2" fontId="4" fillId="0" borderId="0" xfId="4" applyNumberFormat="1" applyAlignment="1">
      <alignment horizontal="center"/>
    </xf>
    <xf numFmtId="11" fontId="3" fillId="0" borderId="0" xfId="2" applyNumberFormat="1" applyAlignment="1">
      <alignment horizontal="center"/>
    </xf>
    <xf numFmtId="11" fontId="3" fillId="0" borderId="0" xfId="2" applyNumberFormat="1" applyAlignment="1">
      <alignment horizontal="center" vertical="center"/>
    </xf>
    <xf numFmtId="0" fontId="11" fillId="6" borderId="0" xfId="12" applyFont="1" applyAlignment="1">
      <alignment horizontal="center" vertical="center" wrapText="1"/>
    </xf>
    <xf numFmtId="9" fontId="2" fillId="2" borderId="0" xfId="1" applyNumberFormat="1" applyAlignment="1">
      <alignment horizontal="center"/>
    </xf>
    <xf numFmtId="0" fontId="2" fillId="2" borderId="0" xfId="1" applyAlignment="1">
      <alignment horizontal="center"/>
    </xf>
    <xf numFmtId="10" fontId="2" fillId="2" borderId="0" xfId="1" applyNumberFormat="1" applyAlignment="1">
      <alignment horizontal="center"/>
    </xf>
    <xf numFmtId="10" fontId="4" fillId="0" borderId="0" xfId="4" applyNumberFormat="1" applyAlignment="1">
      <alignment horizontal="center"/>
    </xf>
    <xf numFmtId="0" fontId="11" fillId="6" borderId="8" xfId="12" applyFont="1" applyBorder="1" applyAlignment="1">
      <alignment horizontal="center" vertical="center" wrapText="1"/>
    </xf>
    <xf numFmtId="10" fontId="2" fillId="2" borderId="8" xfId="1" applyNumberFormat="1" applyBorder="1" applyAlignment="1">
      <alignment horizontal="center"/>
    </xf>
    <xf numFmtId="0" fontId="14" fillId="2" borderId="0" xfId="1" applyFont="1" applyAlignment="1">
      <alignment horizontal="center"/>
    </xf>
    <xf numFmtId="0" fontId="0" fillId="0" borderId="0" xfId="0" quotePrefix="1"/>
    <xf numFmtId="164" fontId="4" fillId="0" borderId="0" xfId="4" applyNumberFormat="1" applyBorder="1"/>
    <xf numFmtId="11" fontId="4" fillId="0" borderId="8" xfId="4" applyNumberFormat="1" applyBorder="1"/>
    <xf numFmtId="0" fontId="4" fillId="0" borderId="0" xfId="4"/>
    <xf numFmtId="10" fontId="4" fillId="0" borderId="0" xfId="4" applyNumberFormat="1" applyAlignment="1">
      <alignment horizontal="center" vertical="center"/>
    </xf>
    <xf numFmtId="3" fontId="8" fillId="0" borderId="0" xfId="9" applyNumberFormat="1" applyAlignment="1">
      <alignment horizontal="center"/>
    </xf>
    <xf numFmtId="0" fontId="8" fillId="0" borderId="0" xfId="9" applyAlignment="1"/>
    <xf numFmtId="11" fontId="2" fillId="3" borderId="8" xfId="3" applyNumberFormat="1" applyBorder="1"/>
    <xf numFmtId="0" fontId="2" fillId="3" borderId="0" xfId="3"/>
    <xf numFmtId="0" fontId="2" fillId="3" borderId="0" xfId="3" applyNumberFormat="1" applyAlignment="1">
      <alignment horizontal="center" vertical="center"/>
    </xf>
    <xf numFmtId="10" fontId="2" fillId="3" borderId="0" xfId="3" applyNumberFormat="1" applyAlignment="1">
      <alignment horizontal="center" vertical="center"/>
    </xf>
    <xf numFmtId="0" fontId="7" fillId="0" borderId="8" xfId="8" applyBorder="1"/>
    <xf numFmtId="0" fontId="7" fillId="0" borderId="0" xfId="8"/>
    <xf numFmtId="0" fontId="7" fillId="0" borderId="7" xfId="8" applyBorder="1" applyAlignment="1">
      <alignment horizontal="center"/>
    </xf>
    <xf numFmtId="0" fontId="7" fillId="0" borderId="5" xfId="8" applyBorder="1" applyAlignment="1">
      <alignment horizontal="center"/>
    </xf>
    <xf numFmtId="0" fontId="13" fillId="0" borderId="7" xfId="13" applyBorder="1" applyAlignment="1">
      <alignment horizontal="center"/>
    </xf>
    <xf numFmtId="0" fontId="3" fillId="0" borderId="8" xfId="2" applyBorder="1"/>
    <xf numFmtId="0" fontId="13" fillId="0" borderId="5" xfId="13" applyBorder="1" applyAlignment="1">
      <alignment horizontal="center"/>
    </xf>
    <xf numFmtId="0" fontId="3" fillId="0" borderId="6" xfId="2" applyBorder="1"/>
    <xf numFmtId="0" fontId="14" fillId="2" borderId="0" xfId="1" quotePrefix="1" applyFont="1" applyAlignment="1">
      <alignment horizontal="center"/>
    </xf>
    <xf numFmtId="0" fontId="11" fillId="7" borderId="0" xfId="12" applyFont="1" applyFill="1" applyAlignment="1">
      <alignment horizontal="center" vertical="center" wrapText="1"/>
    </xf>
    <xf numFmtId="0" fontId="11" fillId="8" borderId="0" xfId="12" applyFont="1" applyFill="1" applyAlignment="1">
      <alignment horizontal="center" vertical="center" wrapText="1"/>
    </xf>
    <xf numFmtId="0" fontId="11" fillId="8" borderId="0" xfId="12" applyFont="1" applyFill="1" applyAlignment="1">
      <alignment horizontal="left" vertical="center" wrapText="1"/>
    </xf>
    <xf numFmtId="0" fontId="11" fillId="7" borderId="0" xfId="12" applyFont="1" applyFill="1" applyAlignment="1">
      <alignment horizontal="left" vertical="center" wrapText="1"/>
    </xf>
    <xf numFmtId="0" fontId="11" fillId="6" borderId="0" xfId="12" applyFont="1" applyAlignment="1">
      <alignment horizontal="left" vertical="center" wrapText="1"/>
    </xf>
    <xf numFmtId="10" fontId="3" fillId="0" borderId="0" xfId="2" applyNumberFormat="1" applyAlignment="1">
      <alignment horizontal="center"/>
    </xf>
    <xf numFmtId="1" fontId="2" fillId="3" borderId="0" xfId="3" applyNumberFormat="1" applyAlignment="1">
      <alignment horizontal="center" vertical="center"/>
    </xf>
    <xf numFmtId="0" fontId="0" fillId="0" borderId="0" xfId="0" applyAlignment="1">
      <alignment horizontal="center"/>
    </xf>
    <xf numFmtId="0" fontId="11" fillId="9" borderId="15" xfId="0" applyFont="1" applyFill="1" applyBorder="1" applyAlignment="1">
      <alignment horizontal="center" vertical="center" wrapText="1"/>
    </xf>
    <xf numFmtId="0" fontId="0" fillId="10" borderId="15" xfId="0" applyFill="1" applyBorder="1"/>
    <xf numFmtId="0" fontId="0" fillId="0" borderId="15" xfId="0" applyBorder="1"/>
    <xf numFmtId="11" fontId="3" fillId="0" borderId="15" xfId="2" applyNumberFormat="1" applyBorder="1"/>
    <xf numFmtId="11" fontId="4" fillId="0" borderId="14" xfId="4" applyNumberFormat="1" applyBorder="1"/>
    <xf numFmtId="165" fontId="4" fillId="0" borderId="0" xfId="4" applyNumberFormat="1"/>
    <xf numFmtId="10" fontId="4" fillId="0" borderId="0" xfId="4" applyNumberFormat="1"/>
    <xf numFmtId="0" fontId="2" fillId="3" borderId="0" xfId="3" applyAlignment="1">
      <alignment horizontal="center"/>
    </xf>
    <xf numFmtId="0" fontId="18" fillId="0" borderId="8" xfId="15" applyBorder="1"/>
    <xf numFmtId="0" fontId="0" fillId="0" borderId="0" xfId="0" applyBorder="1"/>
    <xf numFmtId="0" fontId="0" fillId="0" borderId="5" xfId="0" applyBorder="1" applyAlignment="1">
      <alignment horizontal="center"/>
    </xf>
    <xf numFmtId="0" fontId="8" fillId="0" borderId="10" xfId="9" applyBorder="1" applyAlignment="1">
      <alignment horizontal="left"/>
    </xf>
    <xf numFmtId="0" fontId="8" fillId="0" borderId="6" xfId="9" applyBorder="1" applyAlignment="1">
      <alignment horizontal="left"/>
    </xf>
    <xf numFmtId="0" fontId="0" fillId="0" borderId="0" xfId="0" applyAlignment="1">
      <alignment horizontal="center"/>
    </xf>
    <xf numFmtId="0" fontId="0" fillId="0" borderId="0" xfId="0" applyAlignment="1"/>
  </cellXfs>
  <cellStyles count="16">
    <cellStyle name="Accent1" xfId="12" builtinId="29"/>
    <cellStyle name="Data Assumption" xfId="1" xr:uid="{896AC8F6-2C30-491E-8530-B922E1712431}"/>
    <cellStyle name="Data Linked Cell" xfId="2" xr:uid="{3FAE39F1-7670-485C-A093-E1C97E80C29C}"/>
    <cellStyle name="Data Reference" xfId="3" xr:uid="{6934DE15-6628-487B-9517-FD1A6EB7A0E0}"/>
    <cellStyle name="Formula" xfId="4" xr:uid="{51D32E3E-D461-4C77-873F-A53BD9A63FCC}"/>
    <cellStyle name="Heading 1" xfId="10" builtinId="16"/>
    <cellStyle name="Heading 2" xfId="11" builtinId="17"/>
    <cellStyle name="Heading 3" xfId="14" builtinId="18"/>
    <cellStyle name="Hyperlink" xfId="13" builtinId="8"/>
    <cellStyle name="Normal" xfId="0" builtinId="0"/>
    <cellStyle name="Required User Input" xfId="5" xr:uid="{2B88AC49-4D90-4448-9E6A-5EB566FCE58D}"/>
    <cellStyle name="Text Formula" xfId="6" xr:uid="{6827479F-435C-4417-90B2-7892B04804E4}"/>
    <cellStyle name="Text Note Highlight" xfId="7" xr:uid="{D60175CD-DB14-4E90-815B-597A74A54E8E}"/>
    <cellStyle name="Text Reference" xfId="8" xr:uid="{ED07D1EF-6FEF-4D3B-9464-5D57A83E1EC9}"/>
    <cellStyle name="Text Unit" xfId="9" xr:uid="{B44023C4-0A8A-47B1-8AA4-B8021DDDFB83}"/>
    <cellStyle name="Title" xfId="15" builtinId="15"/>
  </cellStyles>
  <dxfs count="38">
    <dxf>
      <numFmt numFmtId="15" formatCode="0.00E+00"/>
      <alignment horizontal="center" textRotation="0" indent="0" justifyLastLine="0" shrinkToFit="0" readingOrder="0"/>
    </dxf>
    <dxf>
      <numFmt numFmtId="13" formatCode="0%"/>
      <alignment horizontal="center" vertical="bottom" textRotation="0" wrapText="0" indent="0" justifyLastLine="0" shrinkToFit="0" readingOrder="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0" formatCode="General"/>
    </dxf>
    <dxf>
      <numFmt numFmtId="0" formatCode="General"/>
    </dxf>
    <dxf>
      <numFmt numFmtId="0" formatCode="General"/>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395BB87-24C4-44BA-8185-D21F0261D396}" autoFormatId="16" applyNumberFormats="0" applyBorderFormats="0" applyFontFormats="0" applyPatternFormats="0" applyAlignmentFormats="0" applyWidthHeightFormats="0">
  <queryTableRefresh nextId="46" unboundColumnsRight="10">
    <queryTableFields count="37">
      <queryTableField id="1" name="freq" tableColumnId="1"/>
      <queryTableField id="2" name="product" tableColumnId="2"/>
      <queryTableField id="3" name="product label" tableColumnId="3"/>
      <queryTableField id="4" name="PRODQNT - EU27_2020 - 2019 - amount" tableColumnId="4"/>
      <queryTableField id="5" name="PRODQNT - EU27_2020 - 2019 - unit" tableColumnId="5"/>
      <queryTableField id="6" name="EXPQNT - EU27_2020 - 2019 - amount" tableColumnId="6"/>
      <queryTableField id="7" name="EXPQNT - EU27_2020 - 2019 - unit" tableColumnId="7"/>
      <queryTableField id="8" name="IMPQNT - EU27_2020 - 2019 - amount" tableColumnId="8"/>
      <queryTableField id="9" name="IMPQNT - EU27_2020 - 2019 - unit" tableColumnId="9"/>
      <queryTableField id="10" name="PRODQNT - EU27_2020 - 2022 - amount" tableColumnId="10"/>
      <queryTableField id="11" name="PRODQNT - EU27_2020 - 2022 - unit" tableColumnId="11"/>
      <queryTableField id="12" name="EXPQNT - EU27_2020 - 2022 - amount" tableColumnId="12"/>
      <queryTableField id="13" name="EXPQNT - EU27_2020 - 2022 - unit" tableColumnId="13"/>
      <queryTableField id="14" name="IMPQNT - EU27_2020 - 2022 - amount" tableColumnId="14"/>
      <queryTableField id="15" name="IMPQNT - EU27_2020 - 2022 - unit" tableColumnId="15"/>
      <queryTableField id="16" name="PRODQNT - FR - 2019 - amount" tableColumnId="16"/>
      <queryTableField id="17" name="PRODQNT - FR - 2019 - unit" tableColumnId="17"/>
      <queryTableField id="18" name="EXPQNT - FR - 2019 - amount" tableColumnId="18"/>
      <queryTableField id="19" name="EXPQNT - FR - 2019 - unit" tableColumnId="19"/>
      <queryTableField id="20" name="IMPQNT - FR - 2019 - amount" tableColumnId="20"/>
      <queryTableField id="21" name="IMPQNT - FR - 2019 - unit" tableColumnId="21"/>
      <queryTableField id="22" name="PRODQNT - FR - 2022 - amount" tableColumnId="22"/>
      <queryTableField id="23" name="PRODQNT - FR - 2022 - unit" tableColumnId="23"/>
      <queryTableField id="24" name="EXPQNT - FR - 2022 - amount" tableColumnId="24"/>
      <queryTableField id="25" name="EXPQNT - FR - 2022 - unit" tableColumnId="25"/>
      <queryTableField id="26" name="IMPQNT - FR - 2022 - amount" tableColumnId="26"/>
      <queryTableField id="27" name="IMPQNT - FR - 2022 - unit" tableColumnId="27"/>
      <queryTableField id="32" dataBound="0" tableColumnId="32"/>
      <queryTableField id="36" dataBound="0" tableColumnId="36"/>
      <queryTableField id="35" dataBound="0" tableColumnId="35"/>
      <queryTableField id="37" dataBound="0" tableColumnId="37"/>
      <queryTableField id="33" dataBound="0" tableColumnId="33"/>
      <queryTableField id="38" dataBound="0" tableColumnId="38"/>
      <queryTableField id="34" dataBound="0" tableColumnId="34"/>
      <queryTableField id="39" dataBound="0" tableColumnId="39"/>
      <queryTableField id="43" dataBound="0" tableColumnId="29"/>
      <queryTableField id="40" dataBound="0" tableColumnId="4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E0A56D-C99A-4952-952F-4E335F934367}" name="prodcom_data" displayName="prodcom_data" ref="A4:AK239" tableType="queryTable" totalsRowShown="0" headerRowDxfId="37">
  <autoFilter ref="A4:AK239" xr:uid="{22E0A56D-C99A-4952-952F-4E335F934367}">
    <filterColumn colId="36">
      <filters blank="1"/>
    </filterColumn>
  </autoFilter>
  <sortState xmlns:xlrd2="http://schemas.microsoft.com/office/spreadsheetml/2017/richdata2" ref="A5:AK239">
    <sortCondition descending="1" ref="AD4:AD239"/>
  </sortState>
  <tableColumns count="37">
    <tableColumn id="1" xr3:uid="{5439222A-D0BF-45D1-99BF-F988B253F6D7}" uniqueName="1" name="freq" queryTableFieldId="1" dataDxfId="36"/>
    <tableColumn id="2" xr3:uid="{A23EFE1A-C0A9-439D-B6DF-FDAA9A5CC8DF}" uniqueName="2" name="product" queryTableFieldId="2" dataDxfId="35"/>
    <tableColumn id="3" xr3:uid="{7AF1291D-6DC8-45C5-A57F-AF29C726A344}" uniqueName="3" name="product label" queryTableFieldId="3" dataDxfId="34"/>
    <tableColumn id="4" xr3:uid="{A4C014E9-8E9C-4696-BC27-E9B486E04C1A}" uniqueName="4" name="PRODQNT - EU27_2020 - 2019 - amount" queryTableFieldId="4" dataDxfId="33"/>
    <tableColumn id="5" xr3:uid="{732C8C7A-3911-4029-B1CB-72CE39B4BDBF}" uniqueName="5" name="PRODQNT - EU27_2020 - 2019 - unit" queryTableFieldId="5" dataDxfId="32"/>
    <tableColumn id="6" xr3:uid="{A2EAAD44-656A-4235-B5C3-D185AE279341}" uniqueName="6" name="EXPQNT - EU27_2020 - 2019 - amount" queryTableFieldId="6" dataDxfId="31"/>
    <tableColumn id="7" xr3:uid="{FA753C8B-227C-4A35-B909-5CDC6AD5BDEC}" uniqueName="7" name="EXPQNT - EU27_2020 - 2019 - unit" queryTableFieldId="7" dataDxfId="30"/>
    <tableColumn id="8" xr3:uid="{3F7268FD-D251-4179-BFD2-BA99B4FFFEDD}" uniqueName="8" name="IMPQNT - EU27_2020 - 2019 - amount" queryTableFieldId="8" dataDxfId="29"/>
    <tableColumn id="9" xr3:uid="{43E0E0B0-4A2C-40DE-9A99-667B6DD206B3}" uniqueName="9" name="IMPQNT - EU27_2020 - 2019 - unit" queryTableFieldId="9" dataDxfId="28"/>
    <tableColumn id="10" xr3:uid="{B2CB934F-4ABF-4554-8D75-D1E88CE5306F}" uniqueName="10" name="PRODQNT - EU27_2020 - 2022 - amount" queryTableFieldId="10" dataDxfId="27"/>
    <tableColumn id="11" xr3:uid="{B1245CD1-7E5B-4FF9-B380-333804C49354}" uniqueName="11" name="PRODQNT - EU27_2020 - 2022 - unit" queryTableFieldId="11" dataDxfId="26"/>
    <tableColumn id="12" xr3:uid="{808090C6-758B-46EA-866D-A7D287041B09}" uniqueName="12" name="EXPQNT - EU27_2020 - 2022 - amount" queryTableFieldId="12" dataDxfId="25"/>
    <tableColumn id="13" xr3:uid="{4708CF99-64FC-4F0C-8DCB-80165283ADEB}" uniqueName="13" name="EXPQNT - EU27_2020 - 2022 - unit" queryTableFieldId="13" dataDxfId="24"/>
    <tableColumn id="14" xr3:uid="{DA286A7B-992F-4376-A941-76943B52F088}" uniqueName="14" name="IMPQNT - EU27_2020 - 2022 - amount" queryTableFieldId="14" dataDxfId="23"/>
    <tableColumn id="15" xr3:uid="{93F59DB9-93B7-419C-9F01-4441A260C38C}" uniqueName="15" name="IMPQNT - EU27_2020 - 2022 - unit" queryTableFieldId="15" dataDxfId="22"/>
    <tableColumn id="16" xr3:uid="{5459D66C-19DA-4BBB-9AB5-239A18A38C2E}" uniqueName="16" name="PRODQNT - FR - 2019 - amount" queryTableFieldId="16" dataDxfId="21"/>
    <tableColumn id="17" xr3:uid="{E3BDF3C7-9652-4045-B770-8F1B6D404473}" uniqueName="17" name="PRODQNT - FR - 2019 - unit" queryTableFieldId="17" dataDxfId="20"/>
    <tableColumn id="18" xr3:uid="{A6C218D6-EEB5-4D51-B24E-792ACF1A43BF}" uniqueName="18" name="EXPQNT - FR - 2019 - amount" queryTableFieldId="18" dataDxfId="19"/>
    <tableColumn id="19" xr3:uid="{1C55B907-75BF-4414-9E3F-31C768CC7384}" uniqueName="19" name="EXPQNT - FR - 2019 - unit" queryTableFieldId="19" dataDxfId="18"/>
    <tableColumn id="20" xr3:uid="{6B3BD00D-9BD4-4AC0-9012-305499480195}" uniqueName="20" name="IMPQNT - FR - 2019 - amount" queryTableFieldId="20" dataDxfId="17"/>
    <tableColumn id="21" xr3:uid="{6B79EFCD-8AEC-41AB-B444-CFA2365C1F76}" uniqueName="21" name="IMPQNT - FR - 2019 - unit" queryTableFieldId="21" dataDxfId="16"/>
    <tableColumn id="22" xr3:uid="{CC7E07C2-DD99-4A5B-AE0F-34B85D8571C3}" uniqueName="22" name="PRODQNT - FR - 2022 - amount" queryTableFieldId="22" dataDxfId="15"/>
    <tableColumn id="23" xr3:uid="{9702D7DD-8C16-4909-B3E0-EE427AFBE079}" uniqueName="23" name="PRODQNT - FR - 2022 - unit" queryTableFieldId="23" dataDxfId="14"/>
    <tableColumn id="24" xr3:uid="{6E1E5B12-46F6-47CC-A5BE-0AAA10CA9C4B}" uniqueName="24" name="EXPQNT - FR - 2022 - amount" queryTableFieldId="24" dataDxfId="13"/>
    <tableColumn id="25" xr3:uid="{28719CC0-F66A-4326-B667-B2172EB16E76}" uniqueName="25" name="EXPQNT - FR - 2022 - unit" queryTableFieldId="25" dataDxfId="12"/>
    <tableColumn id="26" xr3:uid="{A6985C77-4D89-407F-80D6-71AFF14AFBE3}" uniqueName="26" name="IMPQNT - FR - 2022 - amount" queryTableFieldId="26" dataDxfId="11"/>
    <tableColumn id="27" xr3:uid="{B05FECB2-D69B-4F2D-89D3-1F0A6558F524}" uniqueName="27" name="IMPQNT - FR - 2022 - unit" queryTableFieldId="27" dataDxfId="10"/>
    <tableColumn id="32" xr3:uid="{FF8EFDB3-55D4-4404-B861-A44F75900BB7}" uniqueName="32" name="PRODQNT + IMPQNT - EU27 - 2019" queryTableFieldId="32" dataDxfId="9" dataCellStyle="Formula">
      <calculatedColumnFormula>_xlfn.LET(_xlpm.production_amount, VALUE(prodcom_data[[#This Row],[PRODQNT - EU27_2020 - 2019 - amount]]), IF(ISNUMBER(_xlpm.production_amount), _xlpm.production_amount, 0))+_xlfn.LET(_xlpm.import_amount, VALUE(prodcom_data[[#This Row],[IMPQNT - EU27_2020 - 2019 - amount]]), IF(ISNUMBER(_xlpm.import_amount), _xlpm.import_amount, 0))</calculatedColumnFormula>
    </tableColumn>
    <tableColumn id="36" xr3:uid="{E952E76E-20B9-412F-A28D-3D6E85A68522}" uniqueName="36" name="PRODQNT + IMPQNT - EU27 - 2019 - secrets" queryTableFieldId="36" dataDxfId="8" dataCellStyle="Formula">
      <calculatedColumnFormula>IF(NOT(AND(ISNUMBER(VALUE(prodcom_data[[#This Row],[PRODQNT - EU27_2020 - 2019 - amount]])), ISNUMBER(VALUE(prodcom_data[[#This Row],[IMPQNT - EU27_2020 - 2019 - amount]])))), "secrets", "")</calculatedColumnFormula>
    </tableColumn>
    <tableColumn id="35" xr3:uid="{E8951941-9653-42A8-B3B9-1BBC8D48629B}" uniqueName="35" name="PRODQNT + IMPQNT - EU27 - 2022" queryTableFieldId="35" dataDxfId="7" dataCellStyle="Formula">
      <calculatedColumnFormula>_xlfn.LET(_xlpm.production_amount, VALUE(prodcom_data[[#This Row],[PRODQNT - EU27_2020 - 2022 - amount]]), IF(ISNUMBER(_xlpm.production_amount), _xlpm.production_amount, 0))+_xlfn.LET(_xlpm.import_amount, VALUE(prodcom_data[[#This Row],[IMPQNT - EU27_2020 - 2022 - amount]]), IF(ISNUMBER(_xlpm.import_amount), _xlpm.import_amount, 0))</calculatedColumnFormula>
    </tableColumn>
    <tableColumn id="37" xr3:uid="{F3FAF83E-A73C-4DF4-A3D3-D19613962C21}" uniqueName="37" name="PRODQNT + IMPQNT - EU27 - 2022 - secrets" queryTableFieldId="37" dataDxfId="6" dataCellStyle="Formula">
      <calculatedColumnFormula>IF(NOT(AND(ISNUMBER(VALUE(prodcom_data[[#This Row],[PRODQNT - EU27_2020 - 2022 - amount]])), ISNUMBER(VALUE(prodcom_data[[#This Row],[IMPQNT - EU27_2020 - 2022 - amount]])))), "secrets", "")</calculatedColumnFormula>
    </tableColumn>
    <tableColumn id="33" xr3:uid="{1CDA8C2D-EF68-4255-8273-03F062E4BF9A}" uniqueName="33" name="PRODQNT + IMPQNT - FR - 2019" queryTableFieldId="33" dataDxfId="5" dataCellStyle="Formula">
      <calculatedColumnFormula>_xlfn.LET(_xlpm.production_amount, VALUE(prodcom_data[[#This Row],[PRODQNT - FR - 2019 - amount]]), IF(ISNUMBER(_xlpm.production_amount), _xlpm.production_amount, 0))+_xlfn.LET(_xlpm.import_amount, VALUE(prodcom_data[[#This Row],[IMPQNT - FR - 2019 - amount]]), IF(ISNUMBER(_xlpm.import_amount), _xlpm.import_amount, 0))</calculatedColumnFormula>
    </tableColumn>
    <tableColumn id="38" xr3:uid="{F0DD7437-805A-4C01-8679-D137F4839048}" uniqueName="38" name="PRODQNT + IMPQNT - FR - 2019 - secrets" queryTableFieldId="38" dataDxfId="4" dataCellStyle="Formula">
      <calculatedColumnFormula>IF(NOT(AND(ISNUMBER(VALUE(prodcom_data[[#This Row],[PRODQNT - FR - 2019 - amount]])), ISNUMBER(VALUE(prodcom_data[[#This Row],[IMPQNT - FR - 2019 - amount]])))), "secrets", "")</calculatedColumnFormula>
    </tableColumn>
    <tableColumn id="34" xr3:uid="{63C3AFC1-D01D-4174-B136-40879C8B22EA}" uniqueName="34" name="PRODQNT + IMPQNT - FR - 2022" queryTableFieldId="34" dataDxfId="3" dataCellStyle="Formula">
      <calculatedColumnFormula>_xlfn.LET(_xlpm.production_amount, VALUE(prodcom_data[[#This Row],[PRODQNT - FR - 2022 - amount]]), IF(ISNUMBER(_xlpm.production_amount), _xlpm.production_amount, 0))+_xlfn.LET(_xlpm.import_amount, VALUE(prodcom_data[[#This Row],[IMPQNT - FR - 2022 - amount]]), IF(ISNUMBER(_xlpm.import_amount), _xlpm.import_amount, 0))</calculatedColumnFormula>
    </tableColumn>
    <tableColumn id="39" xr3:uid="{3C30CC25-C33E-4D05-9218-B8F704B66FBC}" uniqueName="39" name="PRODQNT + IMPQNT - FR - 2022 - secrets" queryTableFieldId="39" dataDxfId="2" dataCellStyle="Formula">
      <calculatedColumnFormula>IF(NOT(AND(ISNUMBER(VALUE(prodcom_data[[#This Row],[PRODQNT - FR - 2022 - amount]])), ISNUMBER(VALUE(prodcom_data[[#This Row],[IMPQNT - FR - 2022 - amount]])))), "secrets", "")</calculatedColumnFormula>
    </tableColumn>
    <tableColumn id="29" xr3:uid="{E5DF26B2-5809-4DC1-A73F-D3925139CA1A}" uniqueName="29" name="Local production share of available quantity (PRODQNT + IMPQNT) - EU27 - 2022" queryTableFieldId="43" dataDxfId="1" dataCellStyle="Formula">
      <calculatedColumnFormula>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calculatedColumnFormula>
    </tableColumn>
    <tableColumn id="40" xr3:uid="{026AC9F3-9E92-4709-9A3D-3A78C570B1A5}" uniqueName="40" name="In scope" queryTableFieldId="40" dataDxfId="0" dataCellStyle="Data Assumptio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nicolnt/screen-lca-paper-supplementary-code" TargetMode="External"/><Relationship Id="rId2" Type="http://schemas.openxmlformats.org/officeDocument/2006/relationships/hyperlink" Target="mailto:lorie.hamelin@insa-toulouse.fr" TargetMode="External"/><Relationship Id="rId1" Type="http://schemas.openxmlformats.org/officeDocument/2006/relationships/hyperlink" Target="mailto:nicolas.lienart@insa-toulouse.fr" TargetMode="External"/><Relationship Id="rId4" Type="http://schemas.openxmlformats.org/officeDocument/2006/relationships/hyperlink" Target="https://forge.inrae.fr/nicolas.lienart/screen-lca-paper-supplementary-cod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zotero://open-pdf/library/items/HCSQXMF4?page=27&amp;annotation=KBUA3EEM" TargetMode="External"/><Relationship Id="rId1" Type="http://schemas.openxmlformats.org/officeDocument/2006/relationships/hyperlink" Target="zotero://open-pdf/library/items/HCSQXMF4?page=27&amp;annotation=KBUA3EE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515/psr-2020-0076" TargetMode="External"/><Relationship Id="rId13" Type="http://schemas.openxmlformats.org/officeDocument/2006/relationships/hyperlink" Target="https://doi.org/10.1186/s12934-016-0612-6" TargetMode="External"/><Relationship Id="rId18" Type="http://schemas.openxmlformats.org/officeDocument/2006/relationships/hyperlink" Target="https://doi.org/10.1787/aa1edf33-en" TargetMode="External"/><Relationship Id="rId3" Type="http://schemas.openxmlformats.org/officeDocument/2006/relationships/hyperlink" Target="https://doi.org/10.1002/14356007.a01_279.pub2" TargetMode="External"/><Relationship Id="rId7" Type="http://schemas.openxmlformats.org/officeDocument/2006/relationships/hyperlink" Target="https://support.ecoinvent.org/ecoinvent-version-3.11" TargetMode="External"/><Relationship Id="rId12" Type="http://schemas.openxmlformats.org/officeDocument/2006/relationships/hyperlink" Target="https://doi.org/10.2172/1244312" TargetMode="External"/><Relationship Id="rId17" Type="http://schemas.openxmlformats.org/officeDocument/2006/relationships/hyperlink" Target="https://doi.org/10.1016/j.jclepro.2011.12.037" TargetMode="External"/><Relationship Id="rId2" Type="http://schemas.openxmlformats.org/officeDocument/2006/relationships/hyperlink" Target="https://doi.org/10.1002/14356007.a04_463.pub3" TargetMode="External"/><Relationship Id="rId16" Type="http://schemas.openxmlformats.org/officeDocument/2006/relationships/hyperlink" Target="http://www.lib.ncsu.edu/resolver/1840.16/3805" TargetMode="External"/><Relationship Id="rId1" Type="http://schemas.openxmlformats.org/officeDocument/2006/relationships/hyperlink" Target="https://doi.org/10.1002/cssc.202102628" TargetMode="External"/><Relationship Id="rId6" Type="http://schemas.openxmlformats.org/officeDocument/2006/relationships/hyperlink" Target="https://doi.org/10.1002/14356007.a04_447.pub2" TargetMode="External"/><Relationship Id="rId11" Type="http://schemas.openxmlformats.org/officeDocument/2006/relationships/hyperlink" Target="https://doi.org/10.1002/14356007.a26_193.pub3" TargetMode="External"/><Relationship Id="rId5" Type="http://schemas.openxmlformats.org/officeDocument/2006/relationships/hyperlink" Target="https://doi.org/10.1002/14356007.a25_413.pub3" TargetMode="External"/><Relationship Id="rId15" Type="http://schemas.openxmlformats.org/officeDocument/2006/relationships/hyperlink" Target="https://www.epa.gov/chemical-data-reporting/access-chemical-data-reporting-data" TargetMode="External"/><Relationship Id="rId10" Type="http://schemas.openxmlformats.org/officeDocument/2006/relationships/hyperlink" Target="https://doi.org/10.1002/14356007.a20_181.pub2" TargetMode="External"/><Relationship Id="rId4" Type="http://schemas.openxmlformats.org/officeDocument/2006/relationships/hyperlink" Target="https://doi.org/10.1016/j.resconrec.2022.106324" TargetMode="External"/><Relationship Id="rId9" Type="http://schemas.openxmlformats.org/officeDocument/2006/relationships/hyperlink" Target="https://doi.org/10.1002/14356007.a14_611.pub2" TargetMode="External"/><Relationship Id="rId14" Type="http://schemas.openxmlformats.org/officeDocument/2006/relationships/hyperlink" Target="https://doi.org/10.1128/AEM.0241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EDD3-90ED-405A-8C35-7F6C77CACFAF}">
  <sheetPr codeName="Sheet1"/>
  <dimension ref="B2:G53"/>
  <sheetViews>
    <sheetView tabSelected="1" topLeftCell="A19" zoomScale="130" zoomScaleNormal="130" workbookViewId="0">
      <selection activeCell="C30" sqref="C30"/>
    </sheetView>
  </sheetViews>
  <sheetFormatPr defaultRowHeight="14.4" x14ac:dyDescent="0.3"/>
  <cols>
    <col min="2" max="2" width="35.77734375" customWidth="1"/>
    <col min="3" max="3" width="72.5546875" customWidth="1"/>
    <col min="4" max="4" width="14.5546875" customWidth="1"/>
    <col min="5" max="7" width="15" customWidth="1"/>
  </cols>
  <sheetData>
    <row r="2" spans="2:3" ht="20.399999999999999" thickBot="1" x14ac:dyDescent="0.45">
      <c r="B2" s="11" t="s">
        <v>2701</v>
      </c>
    </row>
    <row r="3" spans="2:3" ht="15" thickTop="1" x14ac:dyDescent="0.3"/>
    <row r="5" spans="2:3" ht="18" thickBot="1" x14ac:dyDescent="0.4">
      <c r="B5" s="12" t="s">
        <v>2702</v>
      </c>
    </row>
    <row r="6" spans="2:3" ht="15" thickTop="1" x14ac:dyDescent="0.3"/>
    <row r="7" spans="2:3" x14ac:dyDescent="0.3">
      <c r="B7" t="s">
        <v>2703</v>
      </c>
      <c r="C7" t="s">
        <v>2704</v>
      </c>
    </row>
    <row r="8" spans="2:3" x14ac:dyDescent="0.3">
      <c r="B8" t="s">
        <v>2705</v>
      </c>
      <c r="C8" t="s">
        <v>2706</v>
      </c>
    </row>
    <row r="9" spans="2:3" x14ac:dyDescent="0.3">
      <c r="B9" t="s">
        <v>2707</v>
      </c>
      <c r="C9" s="13" t="s">
        <v>2708</v>
      </c>
    </row>
    <row r="10" spans="2:3" x14ac:dyDescent="0.3">
      <c r="B10" t="s">
        <v>2709</v>
      </c>
      <c r="C10" s="13" t="s">
        <v>2710</v>
      </c>
    </row>
    <row r="11" spans="2:3" x14ac:dyDescent="0.3">
      <c r="B11" t="s">
        <v>2711</v>
      </c>
      <c r="C11" s="13" t="s">
        <v>2712</v>
      </c>
    </row>
    <row r="12" spans="2:3" ht="216" x14ac:dyDescent="0.3">
      <c r="B12" t="s">
        <v>2713</v>
      </c>
      <c r="C12" s="14" t="s">
        <v>3137</v>
      </c>
    </row>
    <row r="13" spans="2:3" ht="43.2" x14ac:dyDescent="0.3">
      <c r="B13" t="s">
        <v>2714</v>
      </c>
      <c r="C13" s="14" t="s">
        <v>2715</v>
      </c>
    </row>
    <row r="14" spans="2:3" x14ac:dyDescent="0.3">
      <c r="B14" t="s">
        <v>2716</v>
      </c>
      <c r="C14" s="15" t="s">
        <v>2717</v>
      </c>
    </row>
    <row r="15" spans="2:3" x14ac:dyDescent="0.3">
      <c r="B15" t="s">
        <v>2718</v>
      </c>
      <c r="C15" s="15" t="s">
        <v>2719</v>
      </c>
    </row>
    <row r="18" spans="2:3" ht="18" thickBot="1" x14ac:dyDescent="0.4">
      <c r="B18" s="12" t="s">
        <v>2720</v>
      </c>
    </row>
    <row r="19" spans="2:3" ht="15.6" thickTop="1" thickBot="1" x14ac:dyDescent="0.35"/>
    <row r="20" spans="2:3" x14ac:dyDescent="0.3">
      <c r="B20" s="16" t="s">
        <v>2721</v>
      </c>
      <c r="C20" s="17" t="s">
        <v>2714</v>
      </c>
    </row>
    <row r="21" spans="2:3" x14ac:dyDescent="0.3">
      <c r="B21" s="30">
        <v>46146</v>
      </c>
      <c r="C21" s="21" t="s">
        <v>2722</v>
      </c>
    </row>
    <row r="22" spans="2:3" x14ac:dyDescent="0.3">
      <c r="B22" s="30">
        <v>46242</v>
      </c>
      <c r="C22" s="28" t="s">
        <v>2794</v>
      </c>
    </row>
    <row r="23" spans="2:3" s="43" customFormat="1" x14ac:dyDescent="0.3">
      <c r="B23" s="30">
        <v>46245</v>
      </c>
      <c r="C23" s="28" t="s">
        <v>3045</v>
      </c>
    </row>
    <row r="24" spans="2:3" s="43" customFormat="1" x14ac:dyDescent="0.3">
      <c r="B24" s="30">
        <v>46247</v>
      </c>
      <c r="C24" s="28" t="s">
        <v>3054</v>
      </c>
    </row>
    <row r="25" spans="2:3" s="43" customFormat="1" x14ac:dyDescent="0.3">
      <c r="B25" s="30">
        <v>46248</v>
      </c>
      <c r="C25" s="28" t="s">
        <v>3062</v>
      </c>
    </row>
    <row r="26" spans="2:3" s="43" customFormat="1" x14ac:dyDescent="0.3">
      <c r="B26" s="30">
        <v>46251</v>
      </c>
      <c r="C26" s="28" t="s">
        <v>3089</v>
      </c>
    </row>
    <row r="27" spans="2:3" s="43" customFormat="1" x14ac:dyDescent="0.3">
      <c r="B27" s="30">
        <v>46253</v>
      </c>
      <c r="C27" s="28" t="s">
        <v>3094</v>
      </c>
    </row>
    <row r="28" spans="2:3" s="43" customFormat="1" x14ac:dyDescent="0.3">
      <c r="B28" s="30">
        <v>46255</v>
      </c>
      <c r="C28" s="28" t="s">
        <v>3127</v>
      </c>
    </row>
    <row r="29" spans="2:3" s="43" customFormat="1" ht="15" thickBot="1" x14ac:dyDescent="0.35">
      <c r="B29" s="18">
        <v>46257</v>
      </c>
      <c r="C29" s="19" t="s">
        <v>3138</v>
      </c>
    </row>
    <row r="32" spans="2:3" ht="18" thickBot="1" x14ac:dyDescent="0.4">
      <c r="B32" s="12" t="s">
        <v>2723</v>
      </c>
    </row>
    <row r="33" spans="2:7" ht="15.6" thickTop="1" thickBot="1" x14ac:dyDescent="0.35"/>
    <row r="34" spans="2:7" x14ac:dyDescent="0.3">
      <c r="B34" s="16" t="s">
        <v>2724</v>
      </c>
      <c r="C34" s="17" t="s">
        <v>2713</v>
      </c>
    </row>
    <row r="35" spans="2:7" x14ac:dyDescent="0.3">
      <c r="B35" s="20" t="s">
        <v>2725</v>
      </c>
      <c r="C35" s="21" t="s">
        <v>2726</v>
      </c>
    </row>
    <row r="36" spans="2:7" x14ac:dyDescent="0.3">
      <c r="B36" s="73" t="s">
        <v>3090</v>
      </c>
      <c r="C36" s="74" t="str">
        <f>'Filtered PRODCOM data'!$B$1</f>
        <v>PRODCOM data: local production, import, export. Regions: France (FR) and the EU (EU27_2020). Years: 2019 and 2022. Further filtering of out of scope products.</v>
      </c>
    </row>
    <row r="37" spans="2:7" x14ac:dyDescent="0.3">
      <c r="B37" s="73" t="s">
        <v>3091</v>
      </c>
      <c r="C37" s="74" t="str">
        <f>'Correlation EU27 2019-2022'!$B$1</f>
        <v>Correlation coefficient of the PRODCOM products' mass to total mass.</v>
      </c>
    </row>
    <row r="38" spans="2:7" x14ac:dyDescent="0.3">
      <c r="B38" s="73" t="s">
        <v>3093</v>
      </c>
      <c r="C38" s="74" t="str">
        <f>'Split Polyamides &amp; Isocyanates'!$B$1</f>
        <v>Data and necessary calculation to split polyamides and isocyanates PRODCOM products into separate products for matching with Ecoinvent datasets.</v>
      </c>
    </row>
    <row r="39" spans="2:7" x14ac:dyDescent="0.3">
      <c r="B39" s="73" t="s">
        <v>3126</v>
      </c>
      <c r="C39" s="74" t="str">
        <f>'End-of-life fates'!$B$1</f>
        <v>End-of-life fate shares of plastic waste.</v>
      </c>
    </row>
    <row r="40" spans="2:7" s="43" customFormat="1" x14ac:dyDescent="0.3">
      <c r="B40" s="73" t="s">
        <v>3055</v>
      </c>
      <c r="C40" s="74" t="str">
        <f>'Hotspot products export'!$B$1</f>
        <v>Extraction of the top PRODCOM products (available quantity), with disaggregation of polyamides and isocyanates. Additional data for footprint calculation. For export to CSV.</v>
      </c>
    </row>
    <row r="41" spans="2:7" s="43" customFormat="1" x14ac:dyDescent="0.3">
      <c r="B41" s="73" t="s">
        <v>3092</v>
      </c>
      <c r="C41" s="74" t="str">
        <f>'Sensitivity analysis'!$B$1</f>
        <v>Available quantity correlation between 2019 and 2022 series, for sensitivity analysis.</v>
      </c>
    </row>
    <row r="42" spans="2:7" s="43" customFormat="1" ht="15" thickBot="1" x14ac:dyDescent="0.35">
      <c r="B42" s="75" t="s">
        <v>2727</v>
      </c>
      <c r="C42" s="76" t="str">
        <f>References!$B$1</f>
        <v>Bibliography: list of references used thoughout the workbook</v>
      </c>
    </row>
    <row r="44" spans="2:7" s="43" customFormat="1" x14ac:dyDescent="0.3"/>
    <row r="45" spans="2:7" ht="18" thickBot="1" x14ac:dyDescent="0.4">
      <c r="B45" s="12" t="s">
        <v>2728</v>
      </c>
    </row>
    <row r="46" spans="2:7" ht="15.6" thickTop="1" thickBot="1" x14ac:dyDescent="0.35"/>
    <row r="47" spans="2:7" x14ac:dyDescent="0.3">
      <c r="B47" s="16" t="s">
        <v>2729</v>
      </c>
      <c r="C47" s="22" t="s">
        <v>2713</v>
      </c>
      <c r="D47" s="22" t="s">
        <v>2730</v>
      </c>
      <c r="E47" s="22" t="s">
        <v>2731</v>
      </c>
      <c r="F47" s="22" t="s">
        <v>2732</v>
      </c>
      <c r="G47" s="23" t="s">
        <v>2733</v>
      </c>
    </row>
    <row r="48" spans="2:7" x14ac:dyDescent="0.3">
      <c r="B48" s="20" t="s">
        <v>2734</v>
      </c>
      <c r="C48" s="95" t="s">
        <v>2735</v>
      </c>
      <c r="D48" s="24" t="s">
        <v>2736</v>
      </c>
      <c r="E48" s="24">
        <v>15</v>
      </c>
      <c r="F48" s="24">
        <v>4.1154000000000003E-2</v>
      </c>
      <c r="G48" s="25">
        <v>5.5855E-5</v>
      </c>
    </row>
    <row r="49" spans="2:7" x14ac:dyDescent="0.3">
      <c r="B49" s="20" t="s">
        <v>2737</v>
      </c>
      <c r="C49" s="95" t="s">
        <v>2738</v>
      </c>
      <c r="D49" s="2" t="s">
        <v>2739</v>
      </c>
      <c r="E49" s="2">
        <v>15</v>
      </c>
      <c r="F49" s="2">
        <v>4.1154000000000003E-2</v>
      </c>
      <c r="G49" s="65">
        <v>5.5855E-5</v>
      </c>
    </row>
    <row r="50" spans="2:7" x14ac:dyDescent="0.3">
      <c r="B50" s="20" t="s">
        <v>2740</v>
      </c>
      <c r="C50" s="95" t="s">
        <v>2741</v>
      </c>
      <c r="D50" s="3" t="s">
        <v>2742</v>
      </c>
      <c r="E50" s="3">
        <v>15</v>
      </c>
      <c r="F50" s="59">
        <v>4.1154000000000003E-2</v>
      </c>
      <c r="G50" s="60">
        <v>5.5855E-5</v>
      </c>
    </row>
    <row r="51" spans="2:7" x14ac:dyDescent="0.3">
      <c r="B51" s="20" t="s">
        <v>2743</v>
      </c>
      <c r="C51" s="95" t="s">
        <v>2744</v>
      </c>
      <c r="D51" s="26" t="s">
        <v>2745</v>
      </c>
      <c r="E51" s="26">
        <v>15</v>
      </c>
      <c r="F51" s="26">
        <v>4.1154000000000003E-2</v>
      </c>
      <c r="G51" s="27">
        <v>5.5855E-5</v>
      </c>
    </row>
    <row r="52" spans="2:7" x14ac:dyDescent="0.3">
      <c r="B52" s="20" t="s">
        <v>2746</v>
      </c>
      <c r="C52" s="95" t="s">
        <v>2747</v>
      </c>
      <c r="D52" s="1" t="s">
        <v>2748</v>
      </c>
      <c r="E52" s="1" t="s">
        <v>2749</v>
      </c>
      <c r="F52" s="1" t="s">
        <v>2750</v>
      </c>
      <c r="G52" s="69" t="s">
        <v>2751</v>
      </c>
    </row>
    <row r="53" spans="2:7" ht="15" thickBot="1" x14ac:dyDescent="0.35">
      <c r="B53" s="96" t="s">
        <v>2752</v>
      </c>
      <c r="C53" s="29" t="s">
        <v>2753</v>
      </c>
      <c r="D53" s="97" t="s">
        <v>2754</v>
      </c>
      <c r="E53" s="97" t="s">
        <v>2755</v>
      </c>
      <c r="F53" s="97" t="s">
        <v>2756</v>
      </c>
      <c r="G53" s="98" t="s">
        <v>2757</v>
      </c>
    </row>
  </sheetData>
  <hyperlinks>
    <hyperlink ref="C9" r:id="rId1" xr:uid="{B31BB3DA-8821-4BD5-9A83-AC9A5EDDE6B1}"/>
    <hyperlink ref="C11" r:id="rId2" xr:uid="{41B7F739-267F-43D4-BA81-097B57D6E931}"/>
    <hyperlink ref="C15" r:id="rId3" xr:uid="{A231AF78-61FF-4A68-B4C3-3DDFEB4B0959}"/>
    <hyperlink ref="C14" r:id="rId4" xr:uid="{5739EB44-C6AF-4C59-923B-AEA8B4D6A45E}"/>
    <hyperlink ref="B36" location="'Filtered PRODCOM data'!A1" display="'Filtered PRODCOM data'!A1" xr:uid="{10E90DFE-AB5A-4AC1-8DF9-F7272B3062AD}"/>
    <hyperlink ref="B37" location="'Correlation EU27 2019-2022'!A1" display="'Correlation EU27 2019-2022'!A1" xr:uid="{98A2ACEB-5840-4141-AD9C-D2CBBA86D412}"/>
    <hyperlink ref="B38" location="'Split Polyamides &amp; Isocyanates'!A1" display="'Split Polyamides &amp; Isocyanates'!A1" xr:uid="{773A090A-19D3-42DC-8B76-7EEDEA334565}"/>
    <hyperlink ref="B39" location="'End-of-life fates'!A1" display="'End-of-life fates'!A1" xr:uid="{EBC96B5D-3218-48C1-8C4C-720D5912EF5F}"/>
    <hyperlink ref="B40" location="'Hotspot products export'!A1" display="'Hotspot products export'!A1" xr:uid="{AA5D8B99-4E97-443E-A7C2-70B9BA293EC5}"/>
    <hyperlink ref="B41" location="'Sensitivity analysis'!A1" display="'Sensitivity analysis'!A1" xr:uid="{7C273249-DB68-46C1-9FB7-62B1EF7CFDEF}"/>
    <hyperlink ref="B42" location="'References'!A1" display="'References'!A1" xr:uid="{26DE0EC7-BED4-441F-9D61-C78E088A88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1E72-A77A-4943-AC57-A62D53CB019E}">
  <sheetPr codeName="Sheet2"/>
  <dimension ref="A1:AK239"/>
  <sheetViews>
    <sheetView zoomScale="115" zoomScaleNormal="115" workbookViewId="0">
      <selection activeCell="B2" sqref="B2"/>
    </sheetView>
  </sheetViews>
  <sheetFormatPr defaultRowHeight="14.4" x14ac:dyDescent="0.3"/>
  <cols>
    <col min="1" max="1" width="26.33203125" customWidth="1"/>
    <col min="2" max="2" width="13.44140625" bestFit="1" customWidth="1"/>
    <col min="3" max="3" width="81" customWidth="1"/>
    <col min="4" max="4" width="42" bestFit="1" customWidth="1"/>
    <col min="5" max="5" width="38.5546875" customWidth="1"/>
    <col min="6" max="6" width="40.21875" customWidth="1"/>
    <col min="7" max="7" width="36.77734375" customWidth="1"/>
    <col min="8" max="8" width="40.44140625" bestFit="1" customWidth="1"/>
    <col min="9" max="9" width="37" customWidth="1"/>
    <col min="10" max="10" width="42" bestFit="1" customWidth="1"/>
    <col min="11" max="11" width="38.5546875" customWidth="1"/>
    <col min="12" max="12" width="40.21875" customWidth="1"/>
    <col min="13" max="13" width="36.77734375" customWidth="1"/>
    <col min="14" max="14" width="40.44140625" bestFit="1" customWidth="1"/>
    <col min="15" max="15" width="37" customWidth="1"/>
    <col min="16" max="16" width="34.21875" bestFit="1" customWidth="1"/>
    <col min="17" max="17" width="30.6640625" customWidth="1"/>
    <col min="18" max="18" width="32.5546875" customWidth="1"/>
    <col min="19" max="19" width="29" customWidth="1"/>
    <col min="20" max="20" width="32.6640625" bestFit="1" customWidth="1"/>
    <col min="21" max="21" width="29.109375" customWidth="1"/>
    <col min="22" max="22" width="34.21875" bestFit="1" customWidth="1"/>
    <col min="23" max="23" width="30.6640625" customWidth="1"/>
    <col min="24" max="24" width="32.5546875" customWidth="1"/>
    <col min="25" max="25" width="29" customWidth="1"/>
    <col min="26" max="26" width="32.6640625" bestFit="1" customWidth="1"/>
    <col min="27" max="27" width="29.109375" customWidth="1"/>
    <col min="28" max="28" width="29.5546875" bestFit="1" customWidth="1"/>
    <col min="29" max="29" width="20.33203125" style="9" bestFit="1" customWidth="1"/>
    <col min="30" max="30" width="29.5546875" bestFit="1" customWidth="1"/>
    <col min="31" max="31" width="20.33203125" style="9" bestFit="1" customWidth="1"/>
    <col min="32" max="32" width="30" bestFit="1" customWidth="1"/>
    <col min="33" max="33" width="25.109375" style="9" customWidth="1"/>
    <col min="34" max="34" width="30" bestFit="1" customWidth="1"/>
    <col min="35" max="35" width="23" style="9" customWidth="1"/>
    <col min="36" max="36" width="50.109375" style="9" customWidth="1"/>
    <col min="37" max="37" width="15.88671875" customWidth="1"/>
    <col min="38" max="38" width="3.77734375" customWidth="1"/>
  </cols>
  <sheetData>
    <row r="1" spans="1:37" s="43" customFormat="1" ht="24" thickBot="1" x14ac:dyDescent="0.5">
      <c r="A1" s="11" t="s">
        <v>3046</v>
      </c>
      <c r="B1" s="94" t="s">
        <v>3136</v>
      </c>
      <c r="AC1" s="37"/>
      <c r="AE1" s="37"/>
      <c r="AG1" s="37"/>
      <c r="AI1" s="37"/>
      <c r="AJ1" s="37"/>
    </row>
    <row r="2" spans="1:37" s="43" customFormat="1" ht="21" thickTop="1" thickBot="1" x14ac:dyDescent="0.45">
      <c r="A2" s="11" t="s">
        <v>3048</v>
      </c>
      <c r="B2" s="43" t="s">
        <v>3135</v>
      </c>
      <c r="AC2" s="37"/>
      <c r="AE2" s="37"/>
      <c r="AG2" s="37"/>
      <c r="AI2" s="37"/>
      <c r="AJ2" s="37"/>
    </row>
    <row r="3" spans="1:37" s="43" customFormat="1" ht="15" thickTop="1" x14ac:dyDescent="0.3">
      <c r="AC3" s="37"/>
      <c r="AE3" s="37"/>
      <c r="AG3" s="37"/>
      <c r="AI3" s="37"/>
      <c r="AJ3" s="37"/>
    </row>
    <row r="4" spans="1:37" s="6" customFormat="1" ht="28.8" x14ac:dyDescent="0.3">
      <c r="A4" s="6" t="s">
        <v>0</v>
      </c>
      <c r="B4" s="6" t="s">
        <v>1</v>
      </c>
      <c r="C4" s="6" t="s">
        <v>2</v>
      </c>
      <c r="D4" s="6" t="s">
        <v>679</v>
      </c>
      <c r="E4" s="6" t="s">
        <v>680</v>
      </c>
      <c r="F4" s="6" t="s">
        <v>681</v>
      </c>
      <c r="G4" s="6" t="s">
        <v>682</v>
      </c>
      <c r="H4" s="6" t="s">
        <v>683</v>
      </c>
      <c r="I4" s="6" t="s">
        <v>684</v>
      </c>
      <c r="J4" s="6" t="s">
        <v>685</v>
      </c>
      <c r="K4" s="6" t="s">
        <v>686</v>
      </c>
      <c r="L4" s="6" t="s">
        <v>687</v>
      </c>
      <c r="M4" s="6" t="s">
        <v>688</v>
      </c>
      <c r="N4" s="6" t="s">
        <v>689</v>
      </c>
      <c r="O4" s="6" t="s">
        <v>690</v>
      </c>
      <c r="P4" s="6" t="s">
        <v>691</v>
      </c>
      <c r="Q4" s="6" t="s">
        <v>692</v>
      </c>
      <c r="R4" s="6" t="s">
        <v>693</v>
      </c>
      <c r="S4" s="6" t="s">
        <v>694</v>
      </c>
      <c r="T4" s="6" t="s">
        <v>695</v>
      </c>
      <c r="U4" s="6" t="s">
        <v>696</v>
      </c>
      <c r="V4" s="6" t="s">
        <v>697</v>
      </c>
      <c r="W4" s="6" t="s">
        <v>698</v>
      </c>
      <c r="X4" s="6" t="s">
        <v>699</v>
      </c>
      <c r="Y4" s="6" t="s">
        <v>700</v>
      </c>
      <c r="Z4" s="6" t="s">
        <v>701</v>
      </c>
      <c r="AA4" s="6" t="s">
        <v>702</v>
      </c>
      <c r="AB4" s="6" t="s">
        <v>704</v>
      </c>
      <c r="AC4" s="6" t="s">
        <v>2612</v>
      </c>
      <c r="AD4" s="6" t="s">
        <v>705</v>
      </c>
      <c r="AE4" s="6" t="s">
        <v>2613</v>
      </c>
      <c r="AF4" s="6" t="s">
        <v>706</v>
      </c>
      <c r="AG4" s="6" t="s">
        <v>2614</v>
      </c>
      <c r="AH4" s="6" t="s">
        <v>707</v>
      </c>
      <c r="AI4" s="6" t="s">
        <v>2615</v>
      </c>
      <c r="AJ4" s="6" t="s">
        <v>2795</v>
      </c>
      <c r="AK4" s="6" t="s">
        <v>2616</v>
      </c>
    </row>
    <row r="5" spans="1:37" hidden="1" x14ac:dyDescent="0.3">
      <c r="A5" s="4" t="s">
        <v>3</v>
      </c>
      <c r="B5" s="4" t="s">
        <v>522</v>
      </c>
      <c r="C5" s="4" t="s">
        <v>523</v>
      </c>
      <c r="D5" s="4" t="s">
        <v>524</v>
      </c>
      <c r="E5" s="5" t="s">
        <v>7</v>
      </c>
      <c r="F5" s="4" t="s">
        <v>2135</v>
      </c>
      <c r="G5" s="5" t="s">
        <v>7</v>
      </c>
      <c r="H5" s="4" t="s">
        <v>2136</v>
      </c>
      <c r="I5" s="5" t="s">
        <v>7</v>
      </c>
      <c r="J5" s="4" t="s">
        <v>2137</v>
      </c>
      <c r="K5" s="5" t="s">
        <v>7</v>
      </c>
      <c r="L5" s="4" t="s">
        <v>2138</v>
      </c>
      <c r="M5" s="5" t="s">
        <v>7</v>
      </c>
      <c r="N5" s="4" t="s">
        <v>2139</v>
      </c>
      <c r="O5" s="5" t="s">
        <v>7</v>
      </c>
      <c r="P5" s="4" t="s">
        <v>2611</v>
      </c>
      <c r="Q5" s="5" t="s">
        <v>7</v>
      </c>
      <c r="R5" s="4" t="s">
        <v>2140</v>
      </c>
      <c r="S5" s="5" t="s">
        <v>7</v>
      </c>
      <c r="T5" s="4" t="s">
        <v>2141</v>
      </c>
      <c r="U5" s="5" t="s">
        <v>7</v>
      </c>
      <c r="V5" s="4" t="s">
        <v>2611</v>
      </c>
      <c r="W5" s="5" t="s">
        <v>7</v>
      </c>
      <c r="X5" s="4" t="s">
        <v>2142</v>
      </c>
      <c r="Y5" s="5" t="s">
        <v>7</v>
      </c>
      <c r="Z5" s="4" t="s">
        <v>2143</v>
      </c>
      <c r="AA5" s="5" t="s">
        <v>7</v>
      </c>
      <c r="AB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9419883514</v>
      </c>
      <c r="AC5" s="8" t="str">
        <f>IF(NOT(AND(ISNUMBER(VALUE(prodcom_data[[#This Row],[PRODQNT - EU27_2020 - 2019 - amount]])), ISNUMBER(VALUE(prodcom_data[[#This Row],[IMPQNT - EU27_2020 - 2019 - amount]])))), "secrets", "")</f>
        <v/>
      </c>
      <c r="AD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12465064795</v>
      </c>
      <c r="AE5" s="8" t="str">
        <f>IF(NOT(AND(ISNUMBER(VALUE(prodcom_data[[#This Row],[PRODQNT - EU27_2020 - 2022 - amount]])), ISNUMBER(VALUE(prodcom_data[[#This Row],[IMPQNT - EU27_2020 - 2022 - amount]])))), "secrets", "")</f>
        <v/>
      </c>
      <c r="AF5" s="7">
        <f>_xlfn.LET(_xlpm.production_amount, VALUE(prodcom_data[[#This Row],[PRODQNT - FR - 2019 - amount]]), IF(ISNUMBER(_xlpm.production_amount), _xlpm.production_amount, 0))+_xlfn.LET(_xlpm.import_amount, VALUE(prodcom_data[[#This Row],[IMPQNT - FR - 2019 - amount]]), IF(ISNUMBER(_xlpm.import_amount), _xlpm.import_amount, 0))</f>
        <v>325014900</v>
      </c>
      <c r="AG5" s="8" t="str">
        <f>IF(NOT(AND(ISNUMBER(VALUE(prodcom_data[[#This Row],[PRODQNT - FR - 2019 - amount]])), ISNUMBER(VALUE(prodcom_data[[#This Row],[IMPQNT - FR - 2019 - amount]])))), "secrets", "")</f>
        <v>secrets</v>
      </c>
      <c r="AH5" s="7">
        <f>_xlfn.LET(_xlpm.production_amount, VALUE(prodcom_data[[#This Row],[PRODQNT - FR - 2022 - amount]]), IF(ISNUMBER(_xlpm.production_amount), _xlpm.production_amount, 0))+_xlfn.LET(_xlpm.import_amount, VALUE(prodcom_data[[#This Row],[IMPQNT - FR - 2022 - amount]]), IF(ISNUMBER(_xlpm.import_amount), _xlpm.import_amount, 0))</f>
        <v>342542510</v>
      </c>
      <c r="AI5" s="8" t="str">
        <f>IF(NOT(AND(ISNUMBER(VALUE(prodcom_data[[#This Row],[PRODQNT - FR - 2022 - amount]])), ISNUMBER(VALUE(prodcom_data[[#This Row],[IMPQNT - FR - 2022 - amount]])))), "secrets", "")</f>
        <v>secrets</v>
      </c>
      <c r="AJ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0.33934595780815596</v>
      </c>
      <c r="AK5" s="10" t="s">
        <v>2641</v>
      </c>
    </row>
    <row r="6" spans="1:37" x14ac:dyDescent="0.3">
      <c r="A6" s="4" t="s">
        <v>3</v>
      </c>
      <c r="B6" s="4" t="s">
        <v>614</v>
      </c>
      <c r="C6" s="4" t="s">
        <v>615</v>
      </c>
      <c r="D6" s="4" t="s">
        <v>616</v>
      </c>
      <c r="E6" s="5" t="s">
        <v>7</v>
      </c>
      <c r="F6" s="4" t="s">
        <v>2416</v>
      </c>
      <c r="G6" s="5" t="s">
        <v>7</v>
      </c>
      <c r="H6" s="4" t="s">
        <v>2417</v>
      </c>
      <c r="I6" s="5" t="s">
        <v>7</v>
      </c>
      <c r="J6" s="4" t="s">
        <v>2418</v>
      </c>
      <c r="K6" s="5" t="s">
        <v>7</v>
      </c>
      <c r="L6" s="4" t="s">
        <v>2419</v>
      </c>
      <c r="M6" s="5" t="s">
        <v>7</v>
      </c>
      <c r="N6" s="4" t="s">
        <v>2420</v>
      </c>
      <c r="O6" s="5" t="s">
        <v>7</v>
      </c>
      <c r="P6" s="4" t="s">
        <v>2421</v>
      </c>
      <c r="Q6" s="5" t="s">
        <v>7</v>
      </c>
      <c r="R6" s="4" t="s">
        <v>2422</v>
      </c>
      <c r="S6" s="5" t="s">
        <v>7</v>
      </c>
      <c r="T6" s="4" t="s">
        <v>2423</v>
      </c>
      <c r="U6" s="5" t="s">
        <v>7</v>
      </c>
      <c r="V6" s="4" t="s">
        <v>2424</v>
      </c>
      <c r="W6" s="5" t="s">
        <v>7</v>
      </c>
      <c r="X6" s="4" t="s">
        <v>2425</v>
      </c>
      <c r="Y6" s="5" t="s">
        <v>7</v>
      </c>
      <c r="Z6" s="4" t="s">
        <v>2426</v>
      </c>
      <c r="AA6" s="5" t="s">
        <v>7</v>
      </c>
      <c r="AB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11040770827</v>
      </c>
      <c r="AC6" s="8" t="str">
        <f>IF(NOT(AND(ISNUMBER(VALUE(prodcom_data[[#This Row],[PRODQNT - EU27_2020 - 2019 - amount]])), ISNUMBER(VALUE(prodcom_data[[#This Row],[IMPQNT - EU27_2020 - 2019 - amount]])))), "secrets", "")</f>
        <v/>
      </c>
      <c r="AD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11059816493</v>
      </c>
      <c r="AE6" s="8" t="str">
        <f>IF(NOT(AND(ISNUMBER(VALUE(prodcom_data[[#This Row],[PRODQNT - EU27_2020 - 2022 - amount]])), ISNUMBER(VALUE(prodcom_data[[#This Row],[IMPQNT - EU27_2020 - 2022 - amount]])))), "secrets", "")</f>
        <v/>
      </c>
      <c r="AF6" s="7">
        <f>_xlfn.LET(_xlpm.production_amount, VALUE(prodcom_data[[#This Row],[PRODQNT - FR - 2019 - amount]]), IF(ISNUMBER(_xlpm.production_amount), _xlpm.production_amount, 0))+_xlfn.LET(_xlpm.import_amount, VALUE(prodcom_data[[#This Row],[IMPQNT - FR - 2019 - amount]]), IF(ISNUMBER(_xlpm.import_amount), _xlpm.import_amount, 0))</f>
        <v>1778237038</v>
      </c>
      <c r="AG6" s="8" t="str">
        <f>IF(NOT(AND(ISNUMBER(VALUE(prodcom_data[[#This Row],[PRODQNT - FR - 2019 - amount]])), ISNUMBER(VALUE(prodcom_data[[#This Row],[IMPQNT - FR - 2019 - amount]])))), "secrets", "")</f>
        <v/>
      </c>
      <c r="AH6" s="7">
        <f>_xlfn.LET(_xlpm.production_amount, VALUE(prodcom_data[[#This Row],[PRODQNT - FR - 2022 - amount]]), IF(ISNUMBER(_xlpm.production_amount), _xlpm.production_amount, 0))+_xlfn.LET(_xlpm.import_amount, VALUE(prodcom_data[[#This Row],[IMPQNT - FR - 2022 - amount]]), IF(ISNUMBER(_xlpm.import_amount), _xlpm.import_amount, 0))</f>
        <v>1362894548</v>
      </c>
      <c r="AI6" s="8" t="str">
        <f>IF(NOT(AND(ISNUMBER(VALUE(prodcom_data[[#This Row],[PRODQNT - FR - 2022 - amount]])), ISNUMBER(VALUE(prodcom_data[[#This Row],[IMPQNT - FR - 2022 - amount]])))), "secrets", "")</f>
        <v/>
      </c>
      <c r="AJ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0.86402104863567564</v>
      </c>
      <c r="AK6" s="10" t="s">
        <v>2642</v>
      </c>
    </row>
    <row r="7" spans="1:37" x14ac:dyDescent="0.3">
      <c r="A7" s="4" t="s">
        <v>3</v>
      </c>
      <c r="B7" s="4" t="s">
        <v>8</v>
      </c>
      <c r="C7" s="4" t="s">
        <v>9</v>
      </c>
      <c r="D7" s="4" t="s">
        <v>10</v>
      </c>
      <c r="E7" s="5" t="s">
        <v>7</v>
      </c>
      <c r="F7" s="4" t="s">
        <v>719</v>
      </c>
      <c r="G7" s="5" t="s">
        <v>7</v>
      </c>
      <c r="H7" s="4" t="s">
        <v>720</v>
      </c>
      <c r="I7" s="5" t="s">
        <v>7</v>
      </c>
      <c r="J7" s="4" t="s">
        <v>721</v>
      </c>
      <c r="K7" s="5" t="s">
        <v>7</v>
      </c>
      <c r="L7" s="4" t="s">
        <v>722</v>
      </c>
      <c r="M7" s="5" t="s">
        <v>7</v>
      </c>
      <c r="N7" s="4" t="s">
        <v>723</v>
      </c>
      <c r="O7" s="5" t="s">
        <v>7</v>
      </c>
      <c r="P7" s="4" t="s">
        <v>724</v>
      </c>
      <c r="Q7" s="5" t="s">
        <v>7</v>
      </c>
      <c r="R7" s="4" t="s">
        <v>725</v>
      </c>
      <c r="S7" s="5" t="s">
        <v>7</v>
      </c>
      <c r="T7" s="4" t="s">
        <v>726</v>
      </c>
      <c r="U7" s="5" t="s">
        <v>7</v>
      </c>
      <c r="V7" s="4" t="s">
        <v>2611</v>
      </c>
      <c r="W7" s="5" t="s">
        <v>7</v>
      </c>
      <c r="X7" s="4" t="s">
        <v>727</v>
      </c>
      <c r="Y7" s="5" t="s">
        <v>7</v>
      </c>
      <c r="Z7" s="4" t="s">
        <v>728</v>
      </c>
      <c r="AA7" s="5" t="s">
        <v>7</v>
      </c>
      <c r="AB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11236268617</v>
      </c>
      <c r="AC7" s="8" t="str">
        <f>IF(NOT(AND(ISNUMBER(VALUE(prodcom_data[[#This Row],[PRODQNT - EU27_2020 - 2019 - amount]])), ISNUMBER(VALUE(prodcom_data[[#This Row],[IMPQNT - EU27_2020 - 2019 - amount]])))), "secrets", "")</f>
        <v/>
      </c>
      <c r="AD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10337493766</v>
      </c>
      <c r="AE7" s="8" t="str">
        <f>IF(NOT(AND(ISNUMBER(VALUE(prodcom_data[[#This Row],[PRODQNT - EU27_2020 - 2022 - amount]])), ISNUMBER(VALUE(prodcom_data[[#This Row],[IMPQNT - EU27_2020 - 2022 - amount]])))), "secrets", "")</f>
        <v/>
      </c>
      <c r="AF7" s="7">
        <f>_xlfn.LET(_xlpm.production_amount, VALUE(prodcom_data[[#This Row],[PRODQNT - FR - 2019 - amount]]), IF(ISNUMBER(_xlpm.production_amount), _xlpm.production_amount, 0))+_xlfn.LET(_xlpm.import_amount, VALUE(prodcom_data[[#This Row],[IMPQNT - FR - 2019 - amount]]), IF(ISNUMBER(_xlpm.import_amount), _xlpm.import_amount, 0))</f>
        <v>1526001883</v>
      </c>
      <c r="AG7" s="8" t="str">
        <f>IF(NOT(AND(ISNUMBER(VALUE(prodcom_data[[#This Row],[PRODQNT - FR - 2019 - amount]])), ISNUMBER(VALUE(prodcom_data[[#This Row],[IMPQNT - FR - 2019 - amount]])))), "secrets", "")</f>
        <v/>
      </c>
      <c r="AH7" s="7">
        <f>_xlfn.LET(_xlpm.production_amount, VALUE(prodcom_data[[#This Row],[PRODQNT - FR - 2022 - amount]]), IF(ISNUMBER(_xlpm.production_amount), _xlpm.production_amount, 0))+_xlfn.LET(_xlpm.import_amount, VALUE(prodcom_data[[#This Row],[IMPQNT - FR - 2022 - amount]]), IF(ISNUMBER(_xlpm.import_amount), _xlpm.import_amount, 0))</f>
        <v>171202101</v>
      </c>
      <c r="AI7" s="8" t="str">
        <f>IF(NOT(AND(ISNUMBER(VALUE(prodcom_data[[#This Row],[PRODQNT - FR - 2022 - amount]])), ISNUMBER(VALUE(prodcom_data[[#This Row],[IMPQNT - FR - 2022 - amount]])))), "secrets", "")</f>
        <v>secrets</v>
      </c>
      <c r="AJ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0.87904863332422545</v>
      </c>
      <c r="AK7" s="10" t="s">
        <v>2642</v>
      </c>
    </row>
    <row r="8" spans="1:37" x14ac:dyDescent="0.3">
      <c r="A8" s="4" t="s">
        <v>3</v>
      </c>
      <c r="B8" s="4" t="s">
        <v>11</v>
      </c>
      <c r="C8" s="4" t="s">
        <v>12</v>
      </c>
      <c r="D8" s="4" t="s">
        <v>13</v>
      </c>
      <c r="E8" s="5" t="s">
        <v>7</v>
      </c>
      <c r="F8" s="4" t="s">
        <v>729</v>
      </c>
      <c r="G8" s="5" t="s">
        <v>7</v>
      </c>
      <c r="H8" s="4" t="s">
        <v>730</v>
      </c>
      <c r="I8" s="5" t="s">
        <v>7</v>
      </c>
      <c r="J8" s="4" t="s">
        <v>731</v>
      </c>
      <c r="K8" s="5" t="s">
        <v>7</v>
      </c>
      <c r="L8" s="4" t="s">
        <v>732</v>
      </c>
      <c r="M8" s="5" t="s">
        <v>7</v>
      </c>
      <c r="N8" s="4" t="s">
        <v>733</v>
      </c>
      <c r="O8" s="5" t="s">
        <v>7</v>
      </c>
      <c r="P8" s="4" t="s">
        <v>734</v>
      </c>
      <c r="Q8" s="5" t="s">
        <v>7</v>
      </c>
      <c r="R8" s="4" t="s">
        <v>735</v>
      </c>
      <c r="S8" s="5" t="s">
        <v>7</v>
      </c>
      <c r="T8" s="4" t="s">
        <v>736</v>
      </c>
      <c r="U8" s="5" t="s">
        <v>7</v>
      </c>
      <c r="V8" s="4" t="s">
        <v>2611</v>
      </c>
      <c r="W8" s="5" t="s">
        <v>7</v>
      </c>
      <c r="X8" s="4" t="s">
        <v>737</v>
      </c>
      <c r="Y8" s="5" t="s">
        <v>7</v>
      </c>
      <c r="Z8" s="4" t="s">
        <v>738</v>
      </c>
      <c r="AA8" s="5" t="s">
        <v>7</v>
      </c>
      <c r="AB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10638016027</v>
      </c>
      <c r="AC8" s="8" t="str">
        <f>IF(NOT(AND(ISNUMBER(VALUE(prodcom_data[[#This Row],[PRODQNT - EU27_2020 - 2019 - amount]])), ISNUMBER(VALUE(prodcom_data[[#This Row],[IMPQNT - EU27_2020 - 2019 - amount]])))), "secrets", "")</f>
        <v/>
      </c>
      <c r="AD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9081741202</v>
      </c>
      <c r="AE8" s="8" t="str">
        <f>IF(NOT(AND(ISNUMBER(VALUE(prodcom_data[[#This Row],[PRODQNT - EU27_2020 - 2022 - amount]])), ISNUMBER(VALUE(prodcom_data[[#This Row],[IMPQNT - EU27_2020 - 2022 - amount]])))), "secrets", "")</f>
        <v/>
      </c>
      <c r="AF8" s="7">
        <f>_xlfn.LET(_xlpm.production_amount, VALUE(prodcom_data[[#This Row],[PRODQNT - FR - 2019 - amount]]), IF(ISNUMBER(_xlpm.production_amount), _xlpm.production_amount, 0))+_xlfn.LET(_xlpm.import_amount, VALUE(prodcom_data[[#This Row],[IMPQNT - FR - 2019 - amount]]), IF(ISNUMBER(_xlpm.import_amount), _xlpm.import_amount, 0))</f>
        <v>1431437203</v>
      </c>
      <c r="AG8" s="8" t="str">
        <f>IF(NOT(AND(ISNUMBER(VALUE(prodcom_data[[#This Row],[PRODQNT - FR - 2019 - amount]])), ISNUMBER(VALUE(prodcom_data[[#This Row],[IMPQNT - FR - 2019 - amount]])))), "secrets", "")</f>
        <v/>
      </c>
      <c r="AH8" s="7">
        <f>_xlfn.LET(_xlpm.production_amount, VALUE(prodcom_data[[#This Row],[PRODQNT - FR - 2022 - amount]]), IF(ISNUMBER(_xlpm.production_amount), _xlpm.production_amount, 0))+_xlfn.LET(_xlpm.import_amount, VALUE(prodcom_data[[#This Row],[IMPQNT - FR - 2022 - amount]]), IF(ISNUMBER(_xlpm.import_amount), _xlpm.import_amount, 0))</f>
        <v>361054455</v>
      </c>
      <c r="AI8" s="8" t="str">
        <f>IF(NOT(AND(ISNUMBER(VALUE(prodcom_data[[#This Row],[PRODQNT - FR - 2022 - amount]])), ISNUMBER(VALUE(prodcom_data[[#This Row],[IMPQNT - FR - 2022 - amount]])))), "secrets", "")</f>
        <v>secrets</v>
      </c>
      <c r="AJ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0.94409418582769256</v>
      </c>
      <c r="AK8" s="10" t="s">
        <v>2642</v>
      </c>
    </row>
    <row r="9" spans="1:37" x14ac:dyDescent="0.3">
      <c r="A9" s="4" t="s">
        <v>3</v>
      </c>
      <c r="B9" s="4" t="s">
        <v>539</v>
      </c>
      <c r="C9" s="4" t="s">
        <v>540</v>
      </c>
      <c r="D9" s="4" t="s">
        <v>541</v>
      </c>
      <c r="E9" s="5" t="s">
        <v>7</v>
      </c>
      <c r="F9" s="4" t="s">
        <v>2174</v>
      </c>
      <c r="G9" s="5" t="s">
        <v>7</v>
      </c>
      <c r="H9" s="4" t="s">
        <v>2175</v>
      </c>
      <c r="I9" s="5" t="s">
        <v>7</v>
      </c>
      <c r="J9" s="4" t="s">
        <v>2176</v>
      </c>
      <c r="K9" s="5" t="s">
        <v>7</v>
      </c>
      <c r="L9" s="4" t="s">
        <v>2177</v>
      </c>
      <c r="M9" s="5" t="s">
        <v>7</v>
      </c>
      <c r="N9" s="4" t="s">
        <v>2178</v>
      </c>
      <c r="O9" s="5" t="s">
        <v>7</v>
      </c>
      <c r="P9" s="4" t="s">
        <v>2611</v>
      </c>
      <c r="Q9" s="5" t="s">
        <v>7</v>
      </c>
      <c r="R9" s="4" t="s">
        <v>2179</v>
      </c>
      <c r="S9" s="5" t="s">
        <v>7</v>
      </c>
      <c r="T9" s="4" t="s">
        <v>2180</v>
      </c>
      <c r="U9" s="5" t="s">
        <v>7</v>
      </c>
      <c r="V9" s="4" t="s">
        <v>2611</v>
      </c>
      <c r="W9" s="5" t="s">
        <v>7</v>
      </c>
      <c r="X9" s="4" t="s">
        <v>2181</v>
      </c>
      <c r="Y9" s="5" t="s">
        <v>7</v>
      </c>
      <c r="Z9" s="4" t="s">
        <v>2182</v>
      </c>
      <c r="AA9" s="5" t="s">
        <v>7</v>
      </c>
      <c r="AB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7504219963</v>
      </c>
      <c r="AC9" s="8" t="str">
        <f>IF(NOT(AND(ISNUMBER(VALUE(prodcom_data[[#This Row],[PRODQNT - EU27_2020 - 2019 - amount]])), ISNUMBER(VALUE(prodcom_data[[#This Row],[IMPQNT - EU27_2020 - 2019 - amount]])))), "secrets", "")</f>
        <v/>
      </c>
      <c r="AD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7628879471</v>
      </c>
      <c r="AE9" s="8" t="str">
        <f>IF(NOT(AND(ISNUMBER(VALUE(prodcom_data[[#This Row],[PRODQNT - EU27_2020 - 2022 - amount]])), ISNUMBER(VALUE(prodcom_data[[#This Row],[IMPQNT - EU27_2020 - 2022 - amount]])))), "secrets", "")</f>
        <v/>
      </c>
      <c r="AF9" s="7">
        <f>_xlfn.LET(_xlpm.production_amount, VALUE(prodcom_data[[#This Row],[PRODQNT - FR - 2019 - amount]]), IF(ISNUMBER(_xlpm.production_amount), _xlpm.production_amount, 0))+_xlfn.LET(_xlpm.import_amount, VALUE(prodcom_data[[#This Row],[IMPQNT - FR - 2019 - amount]]), IF(ISNUMBER(_xlpm.import_amount), _xlpm.import_amount, 0))</f>
        <v>518059400</v>
      </c>
      <c r="AG9" s="8" t="str">
        <f>IF(NOT(AND(ISNUMBER(VALUE(prodcom_data[[#This Row],[PRODQNT - FR - 2019 - amount]])), ISNUMBER(VALUE(prodcom_data[[#This Row],[IMPQNT - FR - 2019 - amount]])))), "secrets", "")</f>
        <v>secrets</v>
      </c>
      <c r="AH9" s="7">
        <f>_xlfn.LET(_xlpm.production_amount, VALUE(prodcom_data[[#This Row],[PRODQNT - FR - 2022 - amount]]), IF(ISNUMBER(_xlpm.production_amount), _xlpm.production_amount, 0))+_xlfn.LET(_xlpm.import_amount, VALUE(prodcom_data[[#This Row],[IMPQNT - FR - 2022 - amount]]), IF(ISNUMBER(_xlpm.import_amount), _xlpm.import_amount, 0))</f>
        <v>455203986</v>
      </c>
      <c r="AI9" s="8" t="str">
        <f>IF(NOT(AND(ISNUMBER(VALUE(prodcom_data[[#This Row],[PRODQNT - FR - 2022 - amount]])), ISNUMBER(VALUE(prodcom_data[[#This Row],[IMPQNT - FR - 2022 - amount]])))), "secrets", "")</f>
        <v>secrets</v>
      </c>
      <c r="AJ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0.78369292184089345</v>
      </c>
      <c r="AK9" s="10" t="s">
        <v>2642</v>
      </c>
    </row>
    <row r="10" spans="1:37" x14ac:dyDescent="0.3">
      <c r="A10" s="4" t="s">
        <v>3</v>
      </c>
      <c r="B10" s="4" t="s">
        <v>111</v>
      </c>
      <c r="C10" s="4" t="s">
        <v>112</v>
      </c>
      <c r="D10" s="4" t="s">
        <v>113</v>
      </c>
      <c r="E10" s="5" t="s">
        <v>7</v>
      </c>
      <c r="F10" s="4" t="s">
        <v>1011</v>
      </c>
      <c r="G10" s="5" t="s">
        <v>7</v>
      </c>
      <c r="H10" s="4" t="s">
        <v>1012</v>
      </c>
      <c r="I10" s="5" t="s">
        <v>7</v>
      </c>
      <c r="J10" s="4" t="s">
        <v>710</v>
      </c>
      <c r="K10" s="5" t="s">
        <v>7</v>
      </c>
      <c r="L10" s="4" t="s">
        <v>1013</v>
      </c>
      <c r="M10" s="5" t="s">
        <v>7</v>
      </c>
      <c r="N10" s="4" t="s">
        <v>1014</v>
      </c>
      <c r="O10" s="5" t="s">
        <v>7</v>
      </c>
      <c r="P10" s="4" t="s">
        <v>2611</v>
      </c>
      <c r="Q10" s="5" t="s">
        <v>7</v>
      </c>
      <c r="R10" s="4" t="s">
        <v>1015</v>
      </c>
      <c r="S10" s="5" t="s">
        <v>7</v>
      </c>
      <c r="T10" s="4" t="s">
        <v>1016</v>
      </c>
      <c r="U10" s="5" t="s">
        <v>7</v>
      </c>
      <c r="V10" s="4" t="s">
        <v>1017</v>
      </c>
      <c r="W10" s="5" t="s">
        <v>7</v>
      </c>
      <c r="X10" s="4" t="s">
        <v>1018</v>
      </c>
      <c r="Y10" s="5" t="s">
        <v>7</v>
      </c>
      <c r="Z10" s="4" t="s">
        <v>1019</v>
      </c>
      <c r="AA10" s="5" t="s">
        <v>7</v>
      </c>
      <c r="AB1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7704716635</v>
      </c>
      <c r="AC10" s="8" t="str">
        <f>IF(NOT(AND(ISNUMBER(VALUE(prodcom_data[[#This Row],[PRODQNT - EU27_2020 - 2019 - amount]])), ISNUMBER(VALUE(prodcom_data[[#This Row],[IMPQNT - EU27_2020 - 2019 - amount]])))), "secrets", "")</f>
        <v/>
      </c>
      <c r="AD1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6904732058</v>
      </c>
      <c r="AE10" s="8" t="str">
        <f>IF(NOT(AND(ISNUMBER(VALUE(prodcom_data[[#This Row],[PRODQNT - EU27_2020 - 2022 - amount]])), ISNUMBER(VALUE(prodcom_data[[#This Row],[IMPQNT - EU27_2020 - 2022 - amount]])))), "secrets", "")</f>
        <v/>
      </c>
      <c r="AF10" s="7">
        <f>_xlfn.LET(_xlpm.production_amount, VALUE(prodcom_data[[#This Row],[PRODQNT - FR - 2019 - amount]]), IF(ISNUMBER(_xlpm.production_amount), _xlpm.production_amount, 0))+_xlfn.LET(_xlpm.import_amount, VALUE(prodcom_data[[#This Row],[IMPQNT - FR - 2019 - amount]]), IF(ISNUMBER(_xlpm.import_amount), _xlpm.import_amount, 0))</f>
        <v>621287900</v>
      </c>
      <c r="AG10" s="8" t="str">
        <f>IF(NOT(AND(ISNUMBER(VALUE(prodcom_data[[#This Row],[PRODQNT - FR - 2019 - amount]])), ISNUMBER(VALUE(prodcom_data[[#This Row],[IMPQNT - FR - 2019 - amount]])))), "secrets", "")</f>
        <v>secrets</v>
      </c>
      <c r="AH10" s="7">
        <f>_xlfn.LET(_xlpm.production_amount, VALUE(prodcom_data[[#This Row],[PRODQNT - FR - 2022 - amount]]), IF(ISNUMBER(_xlpm.production_amount), _xlpm.production_amount, 0))+_xlfn.LET(_xlpm.import_amount, VALUE(prodcom_data[[#This Row],[IMPQNT - FR - 2022 - amount]]), IF(ISNUMBER(_xlpm.import_amount), _xlpm.import_amount, 0))</f>
        <v>578147354</v>
      </c>
      <c r="AI10" s="8" t="str">
        <f>IF(NOT(AND(ISNUMBER(VALUE(prodcom_data[[#This Row],[PRODQNT - FR - 2022 - amount]])), ISNUMBER(VALUE(prodcom_data[[#This Row],[IMPQNT - FR - 2022 - amount]])))), "secrets", "")</f>
        <v/>
      </c>
      <c r="AJ1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0.14193164800139446</v>
      </c>
      <c r="AK10" s="10" t="s">
        <v>2642</v>
      </c>
    </row>
    <row r="11" spans="1:37" x14ac:dyDescent="0.3">
      <c r="A11" s="4" t="s">
        <v>3</v>
      </c>
      <c r="B11" s="4" t="s">
        <v>34</v>
      </c>
      <c r="C11" s="4" t="s">
        <v>35</v>
      </c>
      <c r="D11" s="4" t="s">
        <v>36</v>
      </c>
      <c r="E11" s="5" t="s">
        <v>7</v>
      </c>
      <c r="F11" s="4" t="s">
        <v>785</v>
      </c>
      <c r="G11" s="5" t="s">
        <v>7</v>
      </c>
      <c r="H11" s="4" t="s">
        <v>786</v>
      </c>
      <c r="I11" s="5" t="s">
        <v>7</v>
      </c>
      <c r="J11" s="4" t="s">
        <v>787</v>
      </c>
      <c r="K11" s="5" t="s">
        <v>7</v>
      </c>
      <c r="L11" s="4" t="s">
        <v>788</v>
      </c>
      <c r="M11" s="5" t="s">
        <v>7</v>
      </c>
      <c r="N11" s="4" t="s">
        <v>789</v>
      </c>
      <c r="O11" s="5" t="s">
        <v>7</v>
      </c>
      <c r="P11" s="4" t="s">
        <v>790</v>
      </c>
      <c r="Q11" s="5" t="s">
        <v>7</v>
      </c>
      <c r="R11" s="4" t="s">
        <v>791</v>
      </c>
      <c r="S11" s="5" t="s">
        <v>7</v>
      </c>
      <c r="T11" s="4" t="s">
        <v>792</v>
      </c>
      <c r="U11" s="5" t="s">
        <v>7</v>
      </c>
      <c r="V11" s="4" t="s">
        <v>2611</v>
      </c>
      <c r="W11" s="5" t="s">
        <v>7</v>
      </c>
      <c r="X11" s="4" t="s">
        <v>793</v>
      </c>
      <c r="Y11" s="5" t="s">
        <v>7</v>
      </c>
      <c r="Z11" s="4" t="s">
        <v>794</v>
      </c>
      <c r="AA11" s="5" t="s">
        <v>7</v>
      </c>
      <c r="AB1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6436740843</v>
      </c>
      <c r="AC11" s="8" t="str">
        <f>IF(NOT(AND(ISNUMBER(VALUE(prodcom_data[[#This Row],[PRODQNT - EU27_2020 - 2019 - amount]])), ISNUMBER(VALUE(prodcom_data[[#This Row],[IMPQNT - EU27_2020 - 2019 - amount]])))), "secrets", "")</f>
        <v/>
      </c>
      <c r="AD1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6234476067</v>
      </c>
      <c r="AE11" s="8" t="str">
        <f>IF(NOT(AND(ISNUMBER(VALUE(prodcom_data[[#This Row],[PRODQNT - EU27_2020 - 2022 - amount]])), ISNUMBER(VALUE(prodcom_data[[#This Row],[IMPQNT - EU27_2020 - 2022 - amount]])))), "secrets", "")</f>
        <v/>
      </c>
      <c r="AF11" s="7">
        <f>_xlfn.LET(_xlpm.production_amount, VALUE(prodcom_data[[#This Row],[PRODQNT - FR - 2019 - amount]]), IF(ISNUMBER(_xlpm.production_amount), _xlpm.production_amount, 0))+_xlfn.LET(_xlpm.import_amount, VALUE(prodcom_data[[#This Row],[IMPQNT - FR - 2019 - amount]]), IF(ISNUMBER(_xlpm.import_amount), _xlpm.import_amount, 0))</f>
        <v>725254700</v>
      </c>
      <c r="AG11" s="8" t="str">
        <f>IF(NOT(AND(ISNUMBER(VALUE(prodcom_data[[#This Row],[PRODQNT - FR - 2019 - amount]])), ISNUMBER(VALUE(prodcom_data[[#This Row],[IMPQNT - FR - 2019 - amount]])))), "secrets", "")</f>
        <v/>
      </c>
      <c r="AH11" s="7">
        <f>_xlfn.LET(_xlpm.production_amount, VALUE(prodcom_data[[#This Row],[PRODQNT - FR - 2022 - amount]]), IF(ISNUMBER(_xlpm.production_amount), _xlpm.production_amount, 0))+_xlfn.LET(_xlpm.import_amount, VALUE(prodcom_data[[#This Row],[IMPQNT - FR - 2022 - amount]]), IF(ISNUMBER(_xlpm.import_amount), _xlpm.import_amount, 0))</f>
        <v>185801174</v>
      </c>
      <c r="AI11" s="8" t="str">
        <f>IF(NOT(AND(ISNUMBER(VALUE(prodcom_data[[#This Row],[PRODQNT - FR - 2022 - amount]])), ISNUMBER(VALUE(prodcom_data[[#This Row],[IMPQNT - FR - 2022 - amount]])))), "secrets", "")</f>
        <v>secrets</v>
      </c>
      <c r="AJ1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0.88287081478020857</v>
      </c>
      <c r="AK11" s="10" t="s">
        <v>2642</v>
      </c>
    </row>
    <row r="12" spans="1:37" hidden="1" x14ac:dyDescent="0.3">
      <c r="A12" s="4" t="s">
        <v>3</v>
      </c>
      <c r="B12" s="4" t="s">
        <v>516</v>
      </c>
      <c r="C12" s="4" t="s">
        <v>517</v>
      </c>
      <c r="D12" s="4" t="s">
        <v>518</v>
      </c>
      <c r="E12" s="5" t="s">
        <v>7</v>
      </c>
      <c r="F12" s="4" t="s">
        <v>2116</v>
      </c>
      <c r="G12" s="5" t="s">
        <v>7</v>
      </c>
      <c r="H12" s="4" t="s">
        <v>2117</v>
      </c>
      <c r="I12" s="5" t="s">
        <v>7</v>
      </c>
      <c r="J12" s="4" t="s">
        <v>2118</v>
      </c>
      <c r="K12" s="5" t="s">
        <v>7</v>
      </c>
      <c r="L12" s="4" t="s">
        <v>2119</v>
      </c>
      <c r="M12" s="5" t="s">
        <v>7</v>
      </c>
      <c r="N12" s="4" t="s">
        <v>2120</v>
      </c>
      <c r="O12" s="5" t="s">
        <v>7</v>
      </c>
      <c r="P12" s="4" t="s">
        <v>2121</v>
      </c>
      <c r="Q12" s="5" t="s">
        <v>7</v>
      </c>
      <c r="R12" s="4" t="s">
        <v>2122</v>
      </c>
      <c r="S12" s="5" t="s">
        <v>7</v>
      </c>
      <c r="T12" s="4" t="s">
        <v>2123</v>
      </c>
      <c r="U12" s="5" t="s">
        <v>7</v>
      </c>
      <c r="V12" s="4" t="s">
        <v>2124</v>
      </c>
      <c r="W12" s="5" t="s">
        <v>7</v>
      </c>
      <c r="X12" s="4" t="s">
        <v>2125</v>
      </c>
      <c r="Y12" s="5" t="s">
        <v>7</v>
      </c>
      <c r="Z12" s="4" t="s">
        <v>2126</v>
      </c>
      <c r="AA12" s="5" t="s">
        <v>7</v>
      </c>
      <c r="AB1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6337319747</v>
      </c>
      <c r="AC12" s="8" t="str">
        <f>IF(NOT(AND(ISNUMBER(VALUE(prodcom_data[[#This Row],[PRODQNT - EU27_2020 - 2019 - amount]])), ISNUMBER(VALUE(prodcom_data[[#This Row],[IMPQNT - EU27_2020 - 2019 - amount]])))), "secrets", "")</f>
        <v/>
      </c>
      <c r="AD1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5985891804</v>
      </c>
      <c r="AE12" s="8" t="str">
        <f>IF(NOT(AND(ISNUMBER(VALUE(prodcom_data[[#This Row],[PRODQNT - EU27_2020 - 2022 - amount]])), ISNUMBER(VALUE(prodcom_data[[#This Row],[IMPQNT - EU27_2020 - 2022 - amount]])))), "secrets", "")</f>
        <v/>
      </c>
      <c r="AF12" s="7">
        <f>_xlfn.LET(_xlpm.production_amount, VALUE(prodcom_data[[#This Row],[PRODQNT - FR - 2019 - amount]]), IF(ISNUMBER(_xlpm.production_amount), _xlpm.production_amount, 0))+_xlfn.LET(_xlpm.import_amount, VALUE(prodcom_data[[#This Row],[IMPQNT - FR - 2019 - amount]]), IF(ISNUMBER(_xlpm.import_amount), _xlpm.import_amount, 0))</f>
        <v>811455285</v>
      </c>
      <c r="AG12" s="8" t="str">
        <f>IF(NOT(AND(ISNUMBER(VALUE(prodcom_data[[#This Row],[PRODQNT - FR - 2019 - amount]])), ISNUMBER(VALUE(prodcom_data[[#This Row],[IMPQNT - FR - 2019 - amount]])))), "secrets", "")</f>
        <v/>
      </c>
      <c r="AH12" s="7">
        <f>_xlfn.LET(_xlpm.production_amount, VALUE(prodcom_data[[#This Row],[PRODQNT - FR - 2022 - amount]]), IF(ISNUMBER(_xlpm.production_amount), _xlpm.production_amount, 0))+_xlfn.LET(_xlpm.import_amount, VALUE(prodcom_data[[#This Row],[IMPQNT - FR - 2022 - amount]]), IF(ISNUMBER(_xlpm.import_amount), _xlpm.import_amount, 0))</f>
        <v>281296521</v>
      </c>
      <c r="AI12" s="8" t="str">
        <f>IF(NOT(AND(ISNUMBER(VALUE(prodcom_data[[#This Row],[PRODQNT - FR - 2022 - amount]])), ISNUMBER(VALUE(prodcom_data[[#This Row],[IMPQNT - FR - 2022 - amount]])))), "secrets", "")</f>
        <v/>
      </c>
      <c r="AJ1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0.70164983556725846</v>
      </c>
      <c r="AK12" s="10" t="s">
        <v>2641</v>
      </c>
    </row>
    <row r="13" spans="1:37" hidden="1" x14ac:dyDescent="0.3">
      <c r="A13" s="4" t="s">
        <v>3</v>
      </c>
      <c r="B13" s="4" t="s">
        <v>525</v>
      </c>
      <c r="C13" s="4" t="s">
        <v>526</v>
      </c>
      <c r="D13" s="4" t="s">
        <v>2618</v>
      </c>
      <c r="E13" s="5" t="s">
        <v>7</v>
      </c>
      <c r="F13" s="4" t="s">
        <v>2619</v>
      </c>
      <c r="G13" s="5" t="s">
        <v>7</v>
      </c>
      <c r="H13" s="4" t="s">
        <v>2620</v>
      </c>
      <c r="I13" s="5" t="s">
        <v>7</v>
      </c>
      <c r="J13" s="4" t="s">
        <v>2621</v>
      </c>
      <c r="K13" s="5" t="s">
        <v>7</v>
      </c>
      <c r="L13" s="4" t="s">
        <v>2622</v>
      </c>
      <c r="M13" s="5" t="s">
        <v>7</v>
      </c>
      <c r="N13" s="4" t="s">
        <v>2623</v>
      </c>
      <c r="O13" s="5" t="s">
        <v>7</v>
      </c>
      <c r="P13" s="4" t="s">
        <v>2624</v>
      </c>
      <c r="Q13" s="5" t="s">
        <v>7</v>
      </c>
      <c r="R13" s="4" t="s">
        <v>2625</v>
      </c>
      <c r="S13" s="5" t="s">
        <v>7</v>
      </c>
      <c r="T13" s="4" t="s">
        <v>2626</v>
      </c>
      <c r="U13" s="5" t="s">
        <v>7</v>
      </c>
      <c r="V13" s="4" t="s">
        <v>2627</v>
      </c>
      <c r="W13" s="5" t="s">
        <v>7</v>
      </c>
      <c r="X13" s="4" t="s">
        <v>2628</v>
      </c>
      <c r="Y13" s="5" t="s">
        <v>7</v>
      </c>
      <c r="Z13" s="4" t="s">
        <v>2629</v>
      </c>
      <c r="AA13" s="5" t="s">
        <v>7</v>
      </c>
      <c r="AB1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4615520141.6099997</v>
      </c>
      <c r="AC13" s="8" t="str">
        <f>IF(NOT(AND(ISNUMBER(VALUE(prodcom_data[[#This Row],[PRODQNT - EU27_2020 - 2019 - amount]])), ISNUMBER(VALUE(prodcom_data[[#This Row],[IMPQNT - EU27_2020 - 2019 - amount]])))), "secrets", "")</f>
        <v/>
      </c>
      <c r="AD1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5152299307.0299997</v>
      </c>
      <c r="AE13" s="8" t="str">
        <f>IF(NOT(AND(ISNUMBER(VALUE(prodcom_data[[#This Row],[PRODQNT - EU27_2020 - 2022 - amount]])), ISNUMBER(VALUE(prodcom_data[[#This Row],[IMPQNT - EU27_2020 - 2022 - amount]])))), "secrets", "")</f>
        <v/>
      </c>
      <c r="AF13" s="7">
        <f>_xlfn.LET(_xlpm.production_amount, VALUE(prodcom_data[[#This Row],[PRODQNT - FR - 2019 - amount]]), IF(ISNUMBER(_xlpm.production_amount), _xlpm.production_amount, 0))+_xlfn.LET(_xlpm.import_amount, VALUE(prodcom_data[[#This Row],[IMPQNT - FR - 2019 - amount]]), IF(ISNUMBER(_xlpm.import_amount), _xlpm.import_amount, 0))</f>
        <v>1489457730.28</v>
      </c>
      <c r="AG13" s="8" t="str">
        <f>IF(NOT(AND(ISNUMBER(VALUE(prodcom_data[[#This Row],[PRODQNT - FR - 2019 - amount]])), ISNUMBER(VALUE(prodcom_data[[#This Row],[IMPQNT - FR - 2019 - amount]])))), "secrets", "")</f>
        <v/>
      </c>
      <c r="AH13" s="7">
        <f>_xlfn.LET(_xlpm.production_amount, VALUE(prodcom_data[[#This Row],[PRODQNT - FR - 2022 - amount]]), IF(ISNUMBER(_xlpm.production_amount), _xlpm.production_amount, 0))+_xlfn.LET(_xlpm.import_amount, VALUE(prodcom_data[[#This Row],[IMPQNT - FR - 2022 - amount]]), IF(ISNUMBER(_xlpm.import_amount), _xlpm.import_amount, 0))</f>
        <v>1808305907.8</v>
      </c>
      <c r="AI13" s="8" t="str">
        <f>IF(NOT(AND(ISNUMBER(VALUE(prodcom_data[[#This Row],[PRODQNT - FR - 2022 - amount]])), ISNUMBER(VALUE(prodcom_data[[#This Row],[IMPQNT - FR - 2022 - amount]])))), "secrets", "")</f>
        <v/>
      </c>
      <c r="AJ1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0.76664800793122878</v>
      </c>
      <c r="AK13" s="10" t="s">
        <v>2649</v>
      </c>
    </row>
    <row r="14" spans="1:37" x14ac:dyDescent="0.3">
      <c r="A14" s="4" t="s">
        <v>3</v>
      </c>
      <c r="B14" s="4" t="s">
        <v>563</v>
      </c>
      <c r="C14" s="4" t="s">
        <v>564</v>
      </c>
      <c r="D14" s="4" t="s">
        <v>565</v>
      </c>
      <c r="E14" s="5" t="s">
        <v>7</v>
      </c>
      <c r="F14" s="4" t="s">
        <v>2251</v>
      </c>
      <c r="G14" s="5" t="s">
        <v>7</v>
      </c>
      <c r="H14" s="4" t="s">
        <v>2252</v>
      </c>
      <c r="I14" s="5" t="s">
        <v>7</v>
      </c>
      <c r="J14" s="4" t="s">
        <v>2253</v>
      </c>
      <c r="K14" s="5" t="s">
        <v>7</v>
      </c>
      <c r="L14" s="4" t="s">
        <v>2254</v>
      </c>
      <c r="M14" s="5" t="s">
        <v>7</v>
      </c>
      <c r="N14" s="4" t="s">
        <v>2255</v>
      </c>
      <c r="O14" s="5" t="s">
        <v>7</v>
      </c>
      <c r="P14" s="4" t="s">
        <v>2256</v>
      </c>
      <c r="Q14" s="5" t="s">
        <v>7</v>
      </c>
      <c r="R14" s="4" t="s">
        <v>2257</v>
      </c>
      <c r="S14" s="5" t="s">
        <v>7</v>
      </c>
      <c r="T14" s="4" t="s">
        <v>2258</v>
      </c>
      <c r="U14" s="5" t="s">
        <v>7</v>
      </c>
      <c r="V14" s="4" t="s">
        <v>2259</v>
      </c>
      <c r="W14" s="5" t="s">
        <v>7</v>
      </c>
      <c r="X14" s="4" t="s">
        <v>2260</v>
      </c>
      <c r="Y14" s="5" t="s">
        <v>7</v>
      </c>
      <c r="Z14" s="4" t="s">
        <v>2261</v>
      </c>
      <c r="AA14" s="5" t="s">
        <v>7</v>
      </c>
      <c r="AB1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5458423542</v>
      </c>
      <c r="AC14" s="8" t="str">
        <f>IF(NOT(AND(ISNUMBER(VALUE(prodcom_data[[#This Row],[PRODQNT - EU27_2020 - 2019 - amount]])), ISNUMBER(VALUE(prodcom_data[[#This Row],[IMPQNT - EU27_2020 - 2019 - amount]])))), "secrets", "")</f>
        <v/>
      </c>
      <c r="AD1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5008047468</v>
      </c>
      <c r="AE14" s="8" t="str">
        <f>IF(NOT(AND(ISNUMBER(VALUE(prodcom_data[[#This Row],[PRODQNT - EU27_2020 - 2022 - amount]])), ISNUMBER(VALUE(prodcom_data[[#This Row],[IMPQNT - EU27_2020 - 2022 - amount]])))), "secrets", "")</f>
        <v/>
      </c>
      <c r="AF14" s="7">
        <f>_xlfn.LET(_xlpm.production_amount, VALUE(prodcom_data[[#This Row],[PRODQNT - FR - 2019 - amount]]), IF(ISNUMBER(_xlpm.production_amount), _xlpm.production_amount, 0))+_xlfn.LET(_xlpm.import_amount, VALUE(prodcom_data[[#This Row],[IMPQNT - FR - 2019 - amount]]), IF(ISNUMBER(_xlpm.import_amount), _xlpm.import_amount, 0))</f>
        <v>1334873200</v>
      </c>
      <c r="AG14" s="8" t="str">
        <f>IF(NOT(AND(ISNUMBER(VALUE(prodcom_data[[#This Row],[PRODQNT - FR - 2019 - amount]])), ISNUMBER(VALUE(prodcom_data[[#This Row],[IMPQNT - FR - 2019 - amount]])))), "secrets", "")</f>
        <v/>
      </c>
      <c r="AH14" s="7">
        <f>_xlfn.LET(_xlpm.production_amount, VALUE(prodcom_data[[#This Row],[PRODQNT - FR - 2022 - amount]]), IF(ISNUMBER(_xlpm.production_amount), _xlpm.production_amount, 0))+_xlfn.LET(_xlpm.import_amount, VALUE(prodcom_data[[#This Row],[IMPQNT - FR - 2022 - amount]]), IF(ISNUMBER(_xlpm.import_amount), _xlpm.import_amount, 0))</f>
        <v>1138290147</v>
      </c>
      <c r="AI14" s="8" t="str">
        <f>IF(NOT(AND(ISNUMBER(VALUE(prodcom_data[[#This Row],[PRODQNT - FR - 2022 - amount]])), ISNUMBER(VALUE(prodcom_data[[#This Row],[IMPQNT - FR - 2022 - amount]])))), "secrets", "")</f>
        <v/>
      </c>
      <c r="AJ1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0.89272188364169869</v>
      </c>
      <c r="AK14" s="10" t="s">
        <v>2642</v>
      </c>
    </row>
    <row r="15" spans="1:37" x14ac:dyDescent="0.3">
      <c r="A15" s="4" t="s">
        <v>3</v>
      </c>
      <c r="B15" s="4" t="s">
        <v>536</v>
      </c>
      <c r="C15" s="4" t="s">
        <v>537</v>
      </c>
      <c r="D15" s="4" t="s">
        <v>538</v>
      </c>
      <c r="E15" s="5" t="s">
        <v>7</v>
      </c>
      <c r="F15" s="4" t="s">
        <v>2164</v>
      </c>
      <c r="G15" s="5" t="s">
        <v>7</v>
      </c>
      <c r="H15" s="4" t="s">
        <v>2165</v>
      </c>
      <c r="I15" s="5" t="s">
        <v>7</v>
      </c>
      <c r="J15" s="4" t="s">
        <v>2166</v>
      </c>
      <c r="K15" s="5" t="s">
        <v>7</v>
      </c>
      <c r="L15" s="4" t="s">
        <v>2167</v>
      </c>
      <c r="M15" s="5" t="s">
        <v>7</v>
      </c>
      <c r="N15" s="4" t="s">
        <v>2168</v>
      </c>
      <c r="O15" s="5" t="s">
        <v>7</v>
      </c>
      <c r="P15" s="4" t="s">
        <v>2169</v>
      </c>
      <c r="Q15" s="5" t="s">
        <v>7</v>
      </c>
      <c r="R15" s="4" t="s">
        <v>2170</v>
      </c>
      <c r="S15" s="5" t="s">
        <v>7</v>
      </c>
      <c r="T15" s="4" t="s">
        <v>2171</v>
      </c>
      <c r="U15" s="5" t="s">
        <v>7</v>
      </c>
      <c r="V15" s="4" t="s">
        <v>2611</v>
      </c>
      <c r="W15" s="5" t="s">
        <v>7</v>
      </c>
      <c r="X15" s="4" t="s">
        <v>2172</v>
      </c>
      <c r="Y15" s="5" t="s">
        <v>7</v>
      </c>
      <c r="Z15" s="4" t="s">
        <v>2173</v>
      </c>
      <c r="AA15" s="5" t="s">
        <v>7</v>
      </c>
      <c r="AB1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4651264479</v>
      </c>
      <c r="AC15" s="8" t="str">
        <f>IF(NOT(AND(ISNUMBER(VALUE(prodcom_data[[#This Row],[PRODQNT - EU27_2020 - 2019 - amount]])), ISNUMBER(VALUE(prodcom_data[[#This Row],[IMPQNT - EU27_2020 - 2019 - amount]])))), "secrets", "")</f>
        <v/>
      </c>
      <c r="AD1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4474213876</v>
      </c>
      <c r="AE15" s="8" t="str">
        <f>IF(NOT(AND(ISNUMBER(VALUE(prodcom_data[[#This Row],[PRODQNT - EU27_2020 - 2022 - amount]])), ISNUMBER(VALUE(prodcom_data[[#This Row],[IMPQNT - EU27_2020 - 2022 - amount]])))), "secrets", "")</f>
        <v/>
      </c>
      <c r="AF15" s="7">
        <f>_xlfn.LET(_xlpm.production_amount, VALUE(prodcom_data[[#This Row],[PRODQNT - FR - 2019 - amount]]), IF(ISNUMBER(_xlpm.production_amount), _xlpm.production_amount, 0))+_xlfn.LET(_xlpm.import_amount, VALUE(prodcom_data[[#This Row],[IMPQNT - FR - 2019 - amount]]), IF(ISNUMBER(_xlpm.import_amount), _xlpm.import_amount, 0))</f>
        <v>862823909</v>
      </c>
      <c r="AG15" s="8" t="str">
        <f>IF(NOT(AND(ISNUMBER(VALUE(prodcom_data[[#This Row],[PRODQNT - FR - 2019 - amount]])), ISNUMBER(VALUE(prodcom_data[[#This Row],[IMPQNT - FR - 2019 - amount]])))), "secrets", "")</f>
        <v/>
      </c>
      <c r="AH15" s="7">
        <f>_xlfn.LET(_xlpm.production_amount, VALUE(prodcom_data[[#This Row],[PRODQNT - FR - 2022 - amount]]), IF(ISNUMBER(_xlpm.production_amount), _xlpm.production_amount, 0))+_xlfn.LET(_xlpm.import_amount, VALUE(prodcom_data[[#This Row],[IMPQNT - FR - 2022 - amount]]), IF(ISNUMBER(_xlpm.import_amount), _xlpm.import_amount, 0))</f>
        <v>380096125</v>
      </c>
      <c r="AI15" s="8" t="str">
        <f>IF(NOT(AND(ISNUMBER(VALUE(prodcom_data[[#This Row],[PRODQNT - FR - 2022 - amount]])), ISNUMBER(VALUE(prodcom_data[[#This Row],[IMPQNT - FR - 2022 - amount]])))), "secrets", "")</f>
        <v>secrets</v>
      </c>
      <c r="AJ1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0.7961067883023123</v>
      </c>
      <c r="AK15" s="10" t="s">
        <v>2642</v>
      </c>
    </row>
    <row r="16" spans="1:37" hidden="1" x14ac:dyDescent="0.3">
      <c r="A16" s="4" t="s">
        <v>3</v>
      </c>
      <c r="B16" s="4" t="s">
        <v>631</v>
      </c>
      <c r="C16" s="4" t="s">
        <v>632</v>
      </c>
      <c r="D16" s="4" t="s">
        <v>633</v>
      </c>
      <c r="E16" s="5" t="s">
        <v>7</v>
      </c>
      <c r="F16" s="4" t="s">
        <v>2474</v>
      </c>
      <c r="G16" s="5" t="s">
        <v>7</v>
      </c>
      <c r="H16" s="4" t="s">
        <v>2475</v>
      </c>
      <c r="I16" s="5" t="s">
        <v>7</v>
      </c>
      <c r="J16" s="4" t="s">
        <v>2476</v>
      </c>
      <c r="K16" s="5" t="s">
        <v>7</v>
      </c>
      <c r="L16" s="4" t="s">
        <v>2477</v>
      </c>
      <c r="M16" s="5" t="s">
        <v>7</v>
      </c>
      <c r="N16" s="4" t="s">
        <v>2478</v>
      </c>
      <c r="O16" s="5" t="s">
        <v>7</v>
      </c>
      <c r="P16" s="4" t="s">
        <v>2479</v>
      </c>
      <c r="Q16" s="5" t="s">
        <v>7</v>
      </c>
      <c r="R16" s="4" t="s">
        <v>2480</v>
      </c>
      <c r="S16" s="5" t="s">
        <v>7</v>
      </c>
      <c r="T16" s="4" t="s">
        <v>2481</v>
      </c>
      <c r="U16" s="5" t="s">
        <v>7</v>
      </c>
      <c r="V16" s="4" t="s">
        <v>2482</v>
      </c>
      <c r="W16" s="5" t="s">
        <v>7</v>
      </c>
      <c r="X16" s="4" t="s">
        <v>2483</v>
      </c>
      <c r="Y16" s="5" t="s">
        <v>7</v>
      </c>
      <c r="Z16" s="4" t="s">
        <v>2484</v>
      </c>
      <c r="AA16" s="5" t="s">
        <v>7</v>
      </c>
      <c r="AB1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3765032002</v>
      </c>
      <c r="AC16" s="8" t="str">
        <f>IF(NOT(AND(ISNUMBER(VALUE(prodcom_data[[#This Row],[PRODQNT - EU27_2020 - 2019 - amount]])), ISNUMBER(VALUE(prodcom_data[[#This Row],[IMPQNT - EU27_2020 - 2019 - amount]])))), "secrets", "")</f>
        <v/>
      </c>
      <c r="AD1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4472241876</v>
      </c>
      <c r="AE16" s="8" t="str">
        <f>IF(NOT(AND(ISNUMBER(VALUE(prodcom_data[[#This Row],[PRODQNT - EU27_2020 - 2022 - amount]])), ISNUMBER(VALUE(prodcom_data[[#This Row],[IMPQNT - EU27_2020 - 2022 - amount]])))), "secrets", "")</f>
        <v/>
      </c>
      <c r="AF16" s="7">
        <f>_xlfn.LET(_xlpm.production_amount, VALUE(prodcom_data[[#This Row],[PRODQNT - FR - 2019 - amount]]), IF(ISNUMBER(_xlpm.production_amount), _xlpm.production_amount, 0))+_xlfn.LET(_xlpm.import_amount, VALUE(prodcom_data[[#This Row],[IMPQNT - FR - 2019 - amount]]), IF(ISNUMBER(_xlpm.import_amount), _xlpm.import_amount, 0))</f>
        <v>924822753</v>
      </c>
      <c r="AG16" s="8" t="str">
        <f>IF(NOT(AND(ISNUMBER(VALUE(prodcom_data[[#This Row],[PRODQNT - FR - 2019 - amount]])), ISNUMBER(VALUE(prodcom_data[[#This Row],[IMPQNT - FR - 2019 - amount]])))), "secrets", "")</f>
        <v/>
      </c>
      <c r="AH16" s="7">
        <f>_xlfn.LET(_xlpm.production_amount, VALUE(prodcom_data[[#This Row],[PRODQNT - FR - 2022 - amount]]), IF(ISNUMBER(_xlpm.production_amount), _xlpm.production_amount, 0))+_xlfn.LET(_xlpm.import_amount, VALUE(prodcom_data[[#This Row],[IMPQNT - FR - 2022 - amount]]), IF(ISNUMBER(_xlpm.import_amount), _xlpm.import_amount, 0))</f>
        <v>1070352069</v>
      </c>
      <c r="AI16" s="8" t="str">
        <f>IF(NOT(AND(ISNUMBER(VALUE(prodcom_data[[#This Row],[PRODQNT - FR - 2022 - amount]])), ISNUMBER(VALUE(prodcom_data[[#This Row],[IMPQNT - FR - 2022 - amount]])))), "secrets", "")</f>
        <v/>
      </c>
      <c r="AJ1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0.89458376512907545</v>
      </c>
      <c r="AK16" s="10" t="s">
        <v>2641</v>
      </c>
    </row>
    <row r="17" spans="1:37" x14ac:dyDescent="0.3">
      <c r="A17" s="4" t="s">
        <v>3</v>
      </c>
      <c r="B17" s="4" t="s">
        <v>533</v>
      </c>
      <c r="C17" s="4" t="s">
        <v>534</v>
      </c>
      <c r="D17" s="4" t="s">
        <v>535</v>
      </c>
      <c r="E17" s="5" t="s">
        <v>7</v>
      </c>
      <c r="F17" s="4" t="s">
        <v>2153</v>
      </c>
      <c r="G17" s="5" t="s">
        <v>7</v>
      </c>
      <c r="H17" s="4" t="s">
        <v>2154</v>
      </c>
      <c r="I17" s="5" t="s">
        <v>7</v>
      </c>
      <c r="J17" s="4" t="s">
        <v>2155</v>
      </c>
      <c r="K17" s="5" t="s">
        <v>7</v>
      </c>
      <c r="L17" s="4" t="s">
        <v>2156</v>
      </c>
      <c r="M17" s="5" t="s">
        <v>7</v>
      </c>
      <c r="N17" s="4" t="s">
        <v>2157</v>
      </c>
      <c r="O17" s="5" t="s">
        <v>7</v>
      </c>
      <c r="P17" s="4" t="s">
        <v>2158</v>
      </c>
      <c r="Q17" s="5" t="s">
        <v>7</v>
      </c>
      <c r="R17" s="4" t="s">
        <v>2159</v>
      </c>
      <c r="S17" s="5" t="s">
        <v>7</v>
      </c>
      <c r="T17" s="4" t="s">
        <v>2160</v>
      </c>
      <c r="U17" s="5" t="s">
        <v>7</v>
      </c>
      <c r="V17" s="4" t="s">
        <v>2161</v>
      </c>
      <c r="W17" s="5" t="s">
        <v>7</v>
      </c>
      <c r="X17" s="4" t="s">
        <v>2162</v>
      </c>
      <c r="Y17" s="5" t="s">
        <v>7</v>
      </c>
      <c r="Z17" s="4" t="s">
        <v>2163</v>
      </c>
      <c r="AA17" s="5" t="s">
        <v>7</v>
      </c>
      <c r="AB1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2630915453</v>
      </c>
      <c r="AC17" s="8" t="str">
        <f>IF(NOT(AND(ISNUMBER(VALUE(prodcom_data[[#This Row],[PRODQNT - EU27_2020 - 2019 - amount]])), ISNUMBER(VALUE(prodcom_data[[#This Row],[IMPQNT - EU27_2020 - 2019 - amount]])))), "secrets", "")</f>
        <v/>
      </c>
      <c r="AD1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4238710053</v>
      </c>
      <c r="AE17" s="8" t="str">
        <f>IF(NOT(AND(ISNUMBER(VALUE(prodcom_data[[#This Row],[PRODQNT - EU27_2020 - 2022 - amount]])), ISNUMBER(VALUE(prodcom_data[[#This Row],[IMPQNT - EU27_2020 - 2022 - amount]])))), "secrets", "")</f>
        <v/>
      </c>
      <c r="AF17" s="7">
        <f>_xlfn.LET(_xlpm.production_amount, VALUE(prodcom_data[[#This Row],[PRODQNT - FR - 2019 - amount]]), IF(ISNUMBER(_xlpm.production_amount), _xlpm.production_amount, 0))+_xlfn.LET(_xlpm.import_amount, VALUE(prodcom_data[[#This Row],[IMPQNT - FR - 2019 - amount]]), IF(ISNUMBER(_xlpm.import_amount), _xlpm.import_amount, 0))</f>
        <v>960191467</v>
      </c>
      <c r="AG17" s="8" t="str">
        <f>IF(NOT(AND(ISNUMBER(VALUE(prodcom_data[[#This Row],[PRODQNT - FR - 2019 - amount]])), ISNUMBER(VALUE(prodcom_data[[#This Row],[IMPQNT - FR - 2019 - amount]])))), "secrets", "")</f>
        <v/>
      </c>
      <c r="AH17" s="7">
        <f>_xlfn.LET(_xlpm.production_amount, VALUE(prodcom_data[[#This Row],[PRODQNT - FR - 2022 - amount]]), IF(ISNUMBER(_xlpm.production_amount), _xlpm.production_amount, 0))+_xlfn.LET(_xlpm.import_amount, VALUE(prodcom_data[[#This Row],[IMPQNT - FR - 2022 - amount]]), IF(ISNUMBER(_xlpm.import_amount), _xlpm.import_amount, 0))</f>
        <v>965022492</v>
      </c>
      <c r="AI17" s="8" t="str">
        <f>IF(NOT(AND(ISNUMBER(VALUE(prodcom_data[[#This Row],[PRODQNT - FR - 2022 - amount]])), ISNUMBER(VALUE(prodcom_data[[#This Row],[IMPQNT - FR - 2022 - amount]])))), "secrets", "")</f>
        <v/>
      </c>
      <c r="AJ1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0.8225375065540016</v>
      </c>
      <c r="AK17" s="10" t="s">
        <v>2642</v>
      </c>
    </row>
    <row r="18" spans="1:37" x14ac:dyDescent="0.3">
      <c r="A18" s="4" t="s">
        <v>3</v>
      </c>
      <c r="B18" s="4" t="s">
        <v>49</v>
      </c>
      <c r="C18" s="4" t="s">
        <v>50</v>
      </c>
      <c r="D18" s="4" t="s">
        <v>51</v>
      </c>
      <c r="E18" s="5" t="s">
        <v>7</v>
      </c>
      <c r="F18" s="4" t="s">
        <v>831</v>
      </c>
      <c r="G18" s="5" t="s">
        <v>7</v>
      </c>
      <c r="H18" s="4" t="s">
        <v>832</v>
      </c>
      <c r="I18" s="5" t="s">
        <v>7</v>
      </c>
      <c r="J18" s="4" t="s">
        <v>833</v>
      </c>
      <c r="K18" s="5" t="s">
        <v>7</v>
      </c>
      <c r="L18" s="4" t="s">
        <v>834</v>
      </c>
      <c r="M18" s="5" t="s">
        <v>7</v>
      </c>
      <c r="N18" s="4" t="s">
        <v>835</v>
      </c>
      <c r="O18" s="5" t="s">
        <v>7</v>
      </c>
      <c r="P18" s="4" t="s">
        <v>703</v>
      </c>
      <c r="Q18" s="5" t="s">
        <v>703</v>
      </c>
      <c r="R18" s="4" t="s">
        <v>836</v>
      </c>
      <c r="S18" s="5" t="s">
        <v>7</v>
      </c>
      <c r="T18" s="4" t="s">
        <v>837</v>
      </c>
      <c r="U18" s="5" t="s">
        <v>7</v>
      </c>
      <c r="V18" s="4" t="s">
        <v>703</v>
      </c>
      <c r="W18" s="5" t="s">
        <v>703</v>
      </c>
      <c r="X18" s="4" t="s">
        <v>838</v>
      </c>
      <c r="Y18" s="5" t="s">
        <v>7</v>
      </c>
      <c r="Z18" s="4" t="s">
        <v>839</v>
      </c>
      <c r="AA18" s="5" t="s">
        <v>7</v>
      </c>
      <c r="AB1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3661349747</v>
      </c>
      <c r="AC18" s="8" t="str">
        <f>IF(NOT(AND(ISNUMBER(VALUE(prodcom_data[[#This Row],[PRODQNT - EU27_2020 - 2019 - amount]])), ISNUMBER(VALUE(prodcom_data[[#This Row],[IMPQNT - EU27_2020 - 2019 - amount]])))), "secrets", "")</f>
        <v/>
      </c>
      <c r="AD1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3627976392</v>
      </c>
      <c r="AE18" s="8" t="str">
        <f>IF(NOT(AND(ISNUMBER(VALUE(prodcom_data[[#This Row],[PRODQNT - EU27_2020 - 2022 - amount]])), ISNUMBER(VALUE(prodcom_data[[#This Row],[IMPQNT - EU27_2020 - 2022 - amount]])))), "secrets", "")</f>
        <v/>
      </c>
      <c r="AF18" s="7">
        <f>_xlfn.LET(_xlpm.production_amount, VALUE(prodcom_data[[#This Row],[PRODQNT - FR - 2019 - amount]]), IF(ISNUMBER(_xlpm.production_amount), _xlpm.production_amount, 0))+_xlfn.LET(_xlpm.import_amount, VALUE(prodcom_data[[#This Row],[IMPQNT - FR - 2019 - amount]]), IF(ISNUMBER(_xlpm.import_amount), _xlpm.import_amount, 0))</f>
        <v>314982100</v>
      </c>
      <c r="AG18" s="8" t="str">
        <f>IF(NOT(AND(ISNUMBER(VALUE(prodcom_data[[#This Row],[PRODQNT - FR - 2019 - amount]])), ISNUMBER(VALUE(prodcom_data[[#This Row],[IMPQNT - FR - 2019 - amount]])))), "secrets", "")</f>
        <v>secrets</v>
      </c>
      <c r="AH18" s="7">
        <f>_xlfn.LET(_xlpm.production_amount, VALUE(prodcom_data[[#This Row],[PRODQNT - FR - 2022 - amount]]), IF(ISNUMBER(_xlpm.production_amount), _xlpm.production_amount, 0))+_xlfn.LET(_xlpm.import_amount, VALUE(prodcom_data[[#This Row],[IMPQNT - FR - 2022 - amount]]), IF(ISNUMBER(_xlpm.import_amount), _xlpm.import_amount, 0))</f>
        <v>242749901</v>
      </c>
      <c r="AI18" s="8" t="str">
        <f>IF(NOT(AND(ISNUMBER(VALUE(prodcom_data[[#This Row],[PRODQNT - FR - 2022 - amount]])), ISNUMBER(VALUE(prodcom_data[[#This Row],[IMPQNT - FR - 2022 - amount]])))), "secrets", "")</f>
        <v>secrets</v>
      </c>
      <c r="AJ1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0.82690725513409014</v>
      </c>
      <c r="AK18" s="10" t="s">
        <v>2642</v>
      </c>
    </row>
    <row r="19" spans="1:37" x14ac:dyDescent="0.3">
      <c r="A19" s="4" t="s">
        <v>3</v>
      </c>
      <c r="B19" s="4" t="s">
        <v>263</v>
      </c>
      <c r="C19" s="4" t="s">
        <v>264</v>
      </c>
      <c r="D19" s="4" t="s">
        <v>265</v>
      </c>
      <c r="E19" s="5" t="s">
        <v>7</v>
      </c>
      <c r="F19" s="4" t="s">
        <v>1415</v>
      </c>
      <c r="G19" s="5" t="s">
        <v>7</v>
      </c>
      <c r="H19" s="4" t="s">
        <v>1416</v>
      </c>
      <c r="I19" s="5" t="s">
        <v>7</v>
      </c>
      <c r="J19" s="4" t="s">
        <v>750</v>
      </c>
      <c r="K19" s="5" t="s">
        <v>7</v>
      </c>
      <c r="L19" s="4" t="s">
        <v>1417</v>
      </c>
      <c r="M19" s="5" t="s">
        <v>7</v>
      </c>
      <c r="N19" s="4" t="s">
        <v>1418</v>
      </c>
      <c r="O19" s="5" t="s">
        <v>7</v>
      </c>
      <c r="P19" s="4" t="s">
        <v>713</v>
      </c>
      <c r="Q19" s="5" t="s">
        <v>7</v>
      </c>
      <c r="R19" s="4" t="s">
        <v>1419</v>
      </c>
      <c r="S19" s="5" t="s">
        <v>7</v>
      </c>
      <c r="T19" s="4" t="s">
        <v>1420</v>
      </c>
      <c r="U19" s="5" t="s">
        <v>7</v>
      </c>
      <c r="V19" s="4" t="s">
        <v>2611</v>
      </c>
      <c r="W19" s="5" t="s">
        <v>7</v>
      </c>
      <c r="X19" s="4" t="s">
        <v>1421</v>
      </c>
      <c r="Y19" s="5" t="s">
        <v>7</v>
      </c>
      <c r="Z19" s="4" t="s">
        <v>1422</v>
      </c>
      <c r="AA19" s="5" t="s">
        <v>7</v>
      </c>
      <c r="AB1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3991929739</v>
      </c>
      <c r="AC19" s="8" t="str">
        <f>IF(NOT(AND(ISNUMBER(VALUE(prodcom_data[[#This Row],[PRODQNT - EU27_2020 - 2019 - amount]])), ISNUMBER(VALUE(prodcom_data[[#This Row],[IMPQNT - EU27_2020 - 2019 - amount]])))), "secrets", "")</f>
        <v/>
      </c>
      <c r="AD1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3491283735</v>
      </c>
      <c r="AE19" s="8" t="str">
        <f>IF(NOT(AND(ISNUMBER(VALUE(prodcom_data[[#This Row],[PRODQNT - EU27_2020 - 2022 - amount]])), ISNUMBER(VALUE(prodcom_data[[#This Row],[IMPQNT - EU27_2020 - 2022 - amount]])))), "secrets", "")</f>
        <v/>
      </c>
      <c r="AF19" s="7">
        <f>_xlfn.LET(_xlpm.production_amount, VALUE(prodcom_data[[#This Row],[PRODQNT - FR - 2019 - amount]]), IF(ISNUMBER(_xlpm.production_amount), _xlpm.production_amount, 0))+_xlfn.LET(_xlpm.import_amount, VALUE(prodcom_data[[#This Row],[IMPQNT - FR - 2019 - amount]]), IF(ISNUMBER(_xlpm.import_amount), _xlpm.import_amount, 0))</f>
        <v>76134800</v>
      </c>
      <c r="AG19" s="8" t="str">
        <f>IF(NOT(AND(ISNUMBER(VALUE(prodcom_data[[#This Row],[PRODQNT - FR - 2019 - amount]])), ISNUMBER(VALUE(prodcom_data[[#This Row],[IMPQNT - FR - 2019 - amount]])))), "secrets", "")</f>
        <v/>
      </c>
      <c r="AH19" s="7">
        <f>_xlfn.LET(_xlpm.production_amount, VALUE(prodcom_data[[#This Row],[PRODQNT - FR - 2022 - amount]]), IF(ISNUMBER(_xlpm.production_amount), _xlpm.production_amount, 0))+_xlfn.LET(_xlpm.import_amount, VALUE(prodcom_data[[#This Row],[IMPQNT - FR - 2022 - amount]]), IF(ISNUMBER(_xlpm.import_amount), _xlpm.import_amount, 0))</f>
        <v>75268175</v>
      </c>
      <c r="AI19" s="8" t="str">
        <f>IF(NOT(AND(ISNUMBER(VALUE(prodcom_data[[#This Row],[PRODQNT - FR - 2022 - amount]])), ISNUMBER(VALUE(prodcom_data[[#This Row],[IMPQNT - FR - 2022 - amount]])))), "secrets", "")</f>
        <v>secrets</v>
      </c>
      <c r="AJ1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0.80199726304971886</v>
      </c>
      <c r="AK19" s="10" t="s">
        <v>2642</v>
      </c>
    </row>
    <row r="20" spans="1:37" x14ac:dyDescent="0.3">
      <c r="A20" s="4" t="s">
        <v>3</v>
      </c>
      <c r="B20" s="4" t="s">
        <v>599</v>
      </c>
      <c r="C20" s="4" t="s">
        <v>600</v>
      </c>
      <c r="D20" s="4" t="s">
        <v>601</v>
      </c>
      <c r="E20" s="5" t="s">
        <v>7</v>
      </c>
      <c r="F20" s="4" t="s">
        <v>2367</v>
      </c>
      <c r="G20" s="5" t="s">
        <v>7</v>
      </c>
      <c r="H20" s="4" t="s">
        <v>2368</v>
      </c>
      <c r="I20" s="5" t="s">
        <v>7</v>
      </c>
      <c r="J20" s="4" t="s">
        <v>2369</v>
      </c>
      <c r="K20" s="5" t="s">
        <v>7</v>
      </c>
      <c r="L20" s="4" t="s">
        <v>2370</v>
      </c>
      <c r="M20" s="5" t="s">
        <v>7</v>
      </c>
      <c r="N20" s="4" t="s">
        <v>2371</v>
      </c>
      <c r="O20" s="5" t="s">
        <v>7</v>
      </c>
      <c r="P20" s="4" t="s">
        <v>2611</v>
      </c>
      <c r="Q20" s="5" t="s">
        <v>7</v>
      </c>
      <c r="R20" s="4" t="s">
        <v>2372</v>
      </c>
      <c r="S20" s="5" t="s">
        <v>7</v>
      </c>
      <c r="T20" s="4" t="s">
        <v>2373</v>
      </c>
      <c r="U20" s="5" t="s">
        <v>7</v>
      </c>
      <c r="V20" s="4" t="s">
        <v>2611</v>
      </c>
      <c r="W20" s="5" t="s">
        <v>7</v>
      </c>
      <c r="X20" s="4" t="s">
        <v>2374</v>
      </c>
      <c r="Y20" s="5" t="s">
        <v>7</v>
      </c>
      <c r="Z20" s="4" t="s">
        <v>2375</v>
      </c>
      <c r="AA20" s="5" t="s">
        <v>7</v>
      </c>
      <c r="AB2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3608586975</v>
      </c>
      <c r="AC20" s="8" t="str">
        <f>IF(NOT(AND(ISNUMBER(VALUE(prodcom_data[[#This Row],[PRODQNT - EU27_2020 - 2019 - amount]])), ISNUMBER(VALUE(prodcom_data[[#This Row],[IMPQNT - EU27_2020 - 2019 - amount]])))), "secrets", "")</f>
        <v/>
      </c>
      <c r="AD2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3349184970</v>
      </c>
      <c r="AE20" s="8" t="str">
        <f>IF(NOT(AND(ISNUMBER(VALUE(prodcom_data[[#This Row],[PRODQNT - EU27_2020 - 2022 - amount]])), ISNUMBER(VALUE(prodcom_data[[#This Row],[IMPQNT - EU27_2020 - 2022 - amount]])))), "secrets", "")</f>
        <v/>
      </c>
      <c r="AF20" s="7">
        <f>_xlfn.LET(_xlpm.production_amount, VALUE(prodcom_data[[#This Row],[PRODQNT - FR - 2019 - amount]]), IF(ISNUMBER(_xlpm.production_amount), _xlpm.production_amount, 0))+_xlfn.LET(_xlpm.import_amount, VALUE(prodcom_data[[#This Row],[IMPQNT - FR - 2019 - amount]]), IF(ISNUMBER(_xlpm.import_amount), _xlpm.import_amount, 0))</f>
        <v>494229500</v>
      </c>
      <c r="AG20" s="8" t="str">
        <f>IF(NOT(AND(ISNUMBER(VALUE(prodcom_data[[#This Row],[PRODQNT - FR - 2019 - amount]])), ISNUMBER(VALUE(prodcom_data[[#This Row],[IMPQNT - FR - 2019 - amount]])))), "secrets", "")</f>
        <v>secrets</v>
      </c>
      <c r="AH20" s="7">
        <f>_xlfn.LET(_xlpm.production_amount, VALUE(prodcom_data[[#This Row],[PRODQNT - FR - 2022 - amount]]), IF(ISNUMBER(_xlpm.production_amount), _xlpm.production_amount, 0))+_xlfn.LET(_xlpm.import_amount, VALUE(prodcom_data[[#This Row],[IMPQNT - FR - 2022 - amount]]), IF(ISNUMBER(_xlpm.import_amount), _xlpm.import_amount, 0))</f>
        <v>399790693</v>
      </c>
      <c r="AI20" s="8" t="str">
        <f>IF(NOT(AND(ISNUMBER(VALUE(prodcom_data[[#This Row],[PRODQNT - FR - 2022 - amount]])), ISNUMBER(VALUE(prodcom_data[[#This Row],[IMPQNT - FR - 2022 - amount]])))), "secrets", "")</f>
        <v>secrets</v>
      </c>
      <c r="AJ2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0.6568762309953875</v>
      </c>
      <c r="AK20" s="10" t="s">
        <v>2642</v>
      </c>
    </row>
    <row r="21" spans="1:37" hidden="1" x14ac:dyDescent="0.3">
      <c r="A21" s="4" t="s">
        <v>3</v>
      </c>
      <c r="B21" s="4" t="s">
        <v>640</v>
      </c>
      <c r="C21" s="4" t="s">
        <v>641</v>
      </c>
      <c r="D21" s="4" t="s">
        <v>642</v>
      </c>
      <c r="E21" s="5" t="s">
        <v>7</v>
      </c>
      <c r="F21" s="4" t="s">
        <v>2503</v>
      </c>
      <c r="G21" s="5" t="s">
        <v>7</v>
      </c>
      <c r="H21" s="4" t="s">
        <v>2504</v>
      </c>
      <c r="I21" s="5" t="s">
        <v>7</v>
      </c>
      <c r="J21" s="4" t="s">
        <v>2505</v>
      </c>
      <c r="K21" s="5" t="s">
        <v>7</v>
      </c>
      <c r="L21" s="4" t="s">
        <v>2506</v>
      </c>
      <c r="M21" s="5" t="s">
        <v>7</v>
      </c>
      <c r="N21" s="4" t="s">
        <v>2507</v>
      </c>
      <c r="O21" s="5" t="s">
        <v>7</v>
      </c>
      <c r="P21" s="4" t="s">
        <v>2611</v>
      </c>
      <c r="Q21" s="5" t="s">
        <v>7</v>
      </c>
      <c r="R21" s="4" t="s">
        <v>2508</v>
      </c>
      <c r="S21" s="5" t="s">
        <v>7</v>
      </c>
      <c r="T21" s="4" t="s">
        <v>2509</v>
      </c>
      <c r="U21" s="5" t="s">
        <v>7</v>
      </c>
      <c r="V21" s="4" t="s">
        <v>2611</v>
      </c>
      <c r="W21" s="5" t="s">
        <v>7</v>
      </c>
      <c r="X21" s="4" t="s">
        <v>2510</v>
      </c>
      <c r="Y21" s="5" t="s">
        <v>7</v>
      </c>
      <c r="Z21" s="4" t="s">
        <v>2511</v>
      </c>
      <c r="AA21" s="5" t="s">
        <v>7</v>
      </c>
      <c r="AB2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3374286005</v>
      </c>
      <c r="AC21" s="8" t="str">
        <f>IF(NOT(AND(ISNUMBER(VALUE(prodcom_data[[#This Row],[PRODQNT - EU27_2020 - 2019 - amount]])), ISNUMBER(VALUE(prodcom_data[[#This Row],[IMPQNT - EU27_2020 - 2019 - amount]])))), "secrets", "")</f>
        <v/>
      </c>
      <c r="AD2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2969770449</v>
      </c>
      <c r="AE21" s="8" t="str">
        <f>IF(NOT(AND(ISNUMBER(VALUE(prodcom_data[[#This Row],[PRODQNT - EU27_2020 - 2022 - amount]])), ISNUMBER(VALUE(prodcom_data[[#This Row],[IMPQNT - EU27_2020 - 2022 - amount]])))), "secrets", "")</f>
        <v/>
      </c>
      <c r="AF21" s="7">
        <f>_xlfn.LET(_xlpm.production_amount, VALUE(prodcom_data[[#This Row],[PRODQNT - FR - 2019 - amount]]), IF(ISNUMBER(_xlpm.production_amount), _xlpm.production_amount, 0))+_xlfn.LET(_xlpm.import_amount, VALUE(prodcom_data[[#This Row],[IMPQNT - FR - 2019 - amount]]), IF(ISNUMBER(_xlpm.import_amount), _xlpm.import_amount, 0))</f>
        <v>331218500</v>
      </c>
      <c r="AG21" s="8" t="str">
        <f>IF(NOT(AND(ISNUMBER(VALUE(prodcom_data[[#This Row],[PRODQNT - FR - 2019 - amount]])), ISNUMBER(VALUE(prodcom_data[[#This Row],[IMPQNT - FR - 2019 - amount]])))), "secrets", "")</f>
        <v>secrets</v>
      </c>
      <c r="AH21" s="7">
        <f>_xlfn.LET(_xlpm.production_amount, VALUE(prodcom_data[[#This Row],[PRODQNT - FR - 2022 - amount]]), IF(ISNUMBER(_xlpm.production_amount), _xlpm.production_amount, 0))+_xlfn.LET(_xlpm.import_amount, VALUE(prodcom_data[[#This Row],[IMPQNT - FR - 2022 - amount]]), IF(ISNUMBER(_xlpm.import_amount), _xlpm.import_amount, 0))</f>
        <v>207263216</v>
      </c>
      <c r="AI21" s="8" t="str">
        <f>IF(NOT(AND(ISNUMBER(VALUE(prodcom_data[[#This Row],[PRODQNT - FR - 2022 - amount]])), ISNUMBER(VALUE(prodcom_data[[#This Row],[IMPQNT - FR - 2022 - amount]])))), "secrets", "")</f>
        <v>secrets</v>
      </c>
      <c r="AJ2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0.95198584959722587</v>
      </c>
      <c r="AK21" s="10" t="s">
        <v>2658</v>
      </c>
    </row>
    <row r="22" spans="1:37" hidden="1" x14ac:dyDescent="0.3">
      <c r="A22" s="4" t="s">
        <v>3</v>
      </c>
      <c r="B22" s="4" t="s">
        <v>617</v>
      </c>
      <c r="C22" s="4" t="s">
        <v>618</v>
      </c>
      <c r="D22" s="4" t="s">
        <v>619</v>
      </c>
      <c r="E22" s="5" t="s">
        <v>7</v>
      </c>
      <c r="F22" s="4" t="s">
        <v>2427</v>
      </c>
      <c r="G22" s="5" t="s">
        <v>7</v>
      </c>
      <c r="H22" s="4" t="s">
        <v>2428</v>
      </c>
      <c r="I22" s="5" t="s">
        <v>7</v>
      </c>
      <c r="J22" s="4" t="s">
        <v>2429</v>
      </c>
      <c r="K22" s="5" t="s">
        <v>7</v>
      </c>
      <c r="L22" s="4" t="s">
        <v>2430</v>
      </c>
      <c r="M22" s="5" t="s">
        <v>7</v>
      </c>
      <c r="N22" s="4" t="s">
        <v>2431</v>
      </c>
      <c r="O22" s="5" t="s">
        <v>7</v>
      </c>
      <c r="P22" s="4" t="s">
        <v>2432</v>
      </c>
      <c r="Q22" s="5" t="s">
        <v>7</v>
      </c>
      <c r="R22" s="4" t="s">
        <v>2433</v>
      </c>
      <c r="S22" s="5" t="s">
        <v>7</v>
      </c>
      <c r="T22" s="4" t="s">
        <v>2434</v>
      </c>
      <c r="U22" s="5" t="s">
        <v>7</v>
      </c>
      <c r="V22" s="4" t="s">
        <v>2435</v>
      </c>
      <c r="W22" s="5" t="s">
        <v>7</v>
      </c>
      <c r="X22" s="4" t="s">
        <v>2436</v>
      </c>
      <c r="Y22" s="5" t="s">
        <v>7</v>
      </c>
      <c r="Z22" s="4" t="s">
        <v>2437</v>
      </c>
      <c r="AA22" s="5" t="s">
        <v>7</v>
      </c>
      <c r="AB2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2857300735</v>
      </c>
      <c r="AC22" s="8" t="str">
        <f>IF(NOT(AND(ISNUMBER(VALUE(prodcom_data[[#This Row],[PRODQNT - EU27_2020 - 2019 - amount]])), ISNUMBER(VALUE(prodcom_data[[#This Row],[IMPQNT - EU27_2020 - 2019 - amount]])))), "secrets", "")</f>
        <v/>
      </c>
      <c r="AD2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2929608905</v>
      </c>
      <c r="AE22" s="8" t="str">
        <f>IF(NOT(AND(ISNUMBER(VALUE(prodcom_data[[#This Row],[PRODQNT - EU27_2020 - 2022 - amount]])), ISNUMBER(VALUE(prodcom_data[[#This Row],[IMPQNT - EU27_2020 - 2022 - amount]])))), "secrets", "")</f>
        <v/>
      </c>
      <c r="AF22" s="7">
        <f>_xlfn.LET(_xlpm.production_amount, VALUE(prodcom_data[[#This Row],[PRODQNT - FR - 2019 - amount]]), IF(ISNUMBER(_xlpm.production_amount), _xlpm.production_amount, 0))+_xlfn.LET(_xlpm.import_amount, VALUE(prodcom_data[[#This Row],[IMPQNT - FR - 2019 - amount]]), IF(ISNUMBER(_xlpm.import_amount), _xlpm.import_amount, 0))</f>
        <v>566942546</v>
      </c>
      <c r="AG22" s="8" t="str">
        <f>IF(NOT(AND(ISNUMBER(VALUE(prodcom_data[[#This Row],[PRODQNT - FR - 2019 - amount]])), ISNUMBER(VALUE(prodcom_data[[#This Row],[IMPQNT - FR - 2019 - amount]])))), "secrets", "")</f>
        <v/>
      </c>
      <c r="AH22" s="7">
        <f>_xlfn.LET(_xlpm.production_amount, VALUE(prodcom_data[[#This Row],[PRODQNT - FR - 2022 - amount]]), IF(ISNUMBER(_xlpm.production_amount), _xlpm.production_amount, 0))+_xlfn.LET(_xlpm.import_amount, VALUE(prodcom_data[[#This Row],[IMPQNT - FR - 2022 - amount]]), IF(ISNUMBER(_xlpm.import_amount), _xlpm.import_amount, 0))</f>
        <v>635595048</v>
      </c>
      <c r="AI22" s="8" t="str">
        <f>IF(NOT(AND(ISNUMBER(VALUE(prodcom_data[[#This Row],[PRODQNT - FR - 2022 - amount]])), ISNUMBER(VALUE(prodcom_data[[#This Row],[IMPQNT - FR - 2022 - amount]])))), "secrets", "")</f>
        <v/>
      </c>
      <c r="AJ2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0.79176760421541659</v>
      </c>
      <c r="AK22" s="10" t="s">
        <v>2641</v>
      </c>
    </row>
    <row r="23" spans="1:37" x14ac:dyDescent="0.3">
      <c r="A23" s="4" t="s">
        <v>3</v>
      </c>
      <c r="B23" s="4" t="s">
        <v>17</v>
      </c>
      <c r="C23" s="4" t="s">
        <v>18</v>
      </c>
      <c r="D23" s="4" t="s">
        <v>19</v>
      </c>
      <c r="E23" s="5" t="s">
        <v>7</v>
      </c>
      <c r="F23" s="4" t="s">
        <v>748</v>
      </c>
      <c r="G23" s="5" t="s">
        <v>7</v>
      </c>
      <c r="H23" s="4" t="s">
        <v>749</v>
      </c>
      <c r="I23" s="5" t="s">
        <v>7</v>
      </c>
      <c r="J23" s="4" t="s">
        <v>750</v>
      </c>
      <c r="K23" s="5" t="s">
        <v>7</v>
      </c>
      <c r="L23" s="4" t="s">
        <v>751</v>
      </c>
      <c r="M23" s="5" t="s">
        <v>7</v>
      </c>
      <c r="N23" s="4" t="s">
        <v>752</v>
      </c>
      <c r="O23" s="5" t="s">
        <v>7</v>
      </c>
      <c r="P23" s="4" t="s">
        <v>753</v>
      </c>
      <c r="Q23" s="5" t="s">
        <v>7</v>
      </c>
      <c r="R23" s="4" t="s">
        <v>754</v>
      </c>
      <c r="S23" s="5" t="s">
        <v>7</v>
      </c>
      <c r="T23" s="4" t="s">
        <v>755</v>
      </c>
      <c r="U23" s="5" t="s">
        <v>7</v>
      </c>
      <c r="V23" s="4" t="s">
        <v>2611</v>
      </c>
      <c r="W23" s="5" t="s">
        <v>7</v>
      </c>
      <c r="X23" s="4" t="s">
        <v>756</v>
      </c>
      <c r="Y23" s="5" t="s">
        <v>7</v>
      </c>
      <c r="Z23" s="4" t="s">
        <v>757</v>
      </c>
      <c r="AA23" s="5" t="s">
        <v>7</v>
      </c>
      <c r="AB2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2770747674</v>
      </c>
      <c r="AC23" s="8" t="str">
        <f>IF(NOT(AND(ISNUMBER(VALUE(prodcom_data[[#This Row],[PRODQNT - EU27_2020 - 2019 - amount]])), ISNUMBER(VALUE(prodcom_data[[#This Row],[IMPQNT - EU27_2020 - 2019 - amount]])))), "secrets", "")</f>
        <v/>
      </c>
      <c r="AD2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2808940257</v>
      </c>
      <c r="AE23" s="8" t="str">
        <f>IF(NOT(AND(ISNUMBER(VALUE(prodcom_data[[#This Row],[PRODQNT - EU27_2020 - 2022 - amount]])), ISNUMBER(VALUE(prodcom_data[[#This Row],[IMPQNT - EU27_2020 - 2022 - amount]])))), "secrets", "")</f>
        <v/>
      </c>
      <c r="AF23" s="7">
        <f>_xlfn.LET(_xlpm.production_amount, VALUE(prodcom_data[[#This Row],[PRODQNT - FR - 2019 - amount]]), IF(ISNUMBER(_xlpm.production_amount), _xlpm.production_amount, 0))+_xlfn.LET(_xlpm.import_amount, VALUE(prodcom_data[[#This Row],[IMPQNT - FR - 2019 - amount]]), IF(ISNUMBER(_xlpm.import_amount), _xlpm.import_amount, 0))</f>
        <v>1078693214</v>
      </c>
      <c r="AG23" s="8" t="str">
        <f>IF(NOT(AND(ISNUMBER(VALUE(prodcom_data[[#This Row],[PRODQNT - FR - 2019 - amount]])), ISNUMBER(VALUE(prodcom_data[[#This Row],[IMPQNT - FR - 2019 - amount]])))), "secrets", "")</f>
        <v/>
      </c>
      <c r="AH23" s="7">
        <f>_xlfn.LET(_xlpm.production_amount, VALUE(prodcom_data[[#This Row],[PRODQNT - FR - 2022 - amount]]), IF(ISNUMBER(_xlpm.production_amount), _xlpm.production_amount, 0))+_xlfn.LET(_xlpm.import_amount, VALUE(prodcom_data[[#This Row],[IMPQNT - FR - 2022 - amount]]), IF(ISNUMBER(_xlpm.import_amount), _xlpm.import_amount, 0))</f>
        <v>242912947</v>
      </c>
      <c r="AI23" s="8" t="str">
        <f>IF(NOT(AND(ISNUMBER(VALUE(prodcom_data[[#This Row],[PRODQNT - FR - 2022 - amount]])), ISNUMBER(VALUE(prodcom_data[[#This Row],[IMPQNT - FR - 2022 - amount]])))), "secrets", "")</f>
        <v>secrets</v>
      </c>
      <c r="AJ2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0.9968172135460267</v>
      </c>
      <c r="AK23" s="10" t="s">
        <v>2642</v>
      </c>
    </row>
    <row r="24" spans="1:37" hidden="1" x14ac:dyDescent="0.3">
      <c r="A24" s="4" t="s">
        <v>3</v>
      </c>
      <c r="B24" s="4" t="s">
        <v>4</v>
      </c>
      <c r="C24" s="4" t="s">
        <v>5</v>
      </c>
      <c r="D24" s="4" t="s">
        <v>6</v>
      </c>
      <c r="E24" s="5" t="s">
        <v>7</v>
      </c>
      <c r="F24" s="4" t="s">
        <v>708</v>
      </c>
      <c r="G24" s="5" t="s">
        <v>7</v>
      </c>
      <c r="H24" s="4" t="s">
        <v>709</v>
      </c>
      <c r="I24" s="5" t="s">
        <v>7</v>
      </c>
      <c r="J24" s="4" t="s">
        <v>710</v>
      </c>
      <c r="K24" s="5" t="s">
        <v>7</v>
      </c>
      <c r="L24" s="4" t="s">
        <v>711</v>
      </c>
      <c r="M24" s="5" t="s">
        <v>7</v>
      </c>
      <c r="N24" s="4" t="s">
        <v>712</v>
      </c>
      <c r="O24" s="5" t="s">
        <v>7</v>
      </c>
      <c r="P24" s="4" t="s">
        <v>2611</v>
      </c>
      <c r="Q24" s="5" t="s">
        <v>7</v>
      </c>
      <c r="R24" s="4" t="s">
        <v>714</v>
      </c>
      <c r="S24" s="5" t="s">
        <v>7</v>
      </c>
      <c r="T24" s="4" t="s">
        <v>715</v>
      </c>
      <c r="U24" s="5" t="s">
        <v>7</v>
      </c>
      <c r="V24" s="4" t="s">
        <v>716</v>
      </c>
      <c r="W24" s="5" t="s">
        <v>7</v>
      </c>
      <c r="X24" s="4" t="s">
        <v>717</v>
      </c>
      <c r="Y24" s="5" t="s">
        <v>7</v>
      </c>
      <c r="Z24" s="4" t="s">
        <v>718</v>
      </c>
      <c r="AA24" s="5" t="s">
        <v>7</v>
      </c>
      <c r="AB2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2855069087</v>
      </c>
      <c r="AC24" s="8" t="str">
        <f>IF(NOT(AND(ISNUMBER(VALUE(prodcom_data[[#This Row],[PRODQNT - EU27_2020 - 2019 - amount]])), ISNUMBER(VALUE(prodcom_data[[#This Row],[IMPQNT - EU27_2020 - 2019 - amount]])))), "secrets", "")</f>
        <v/>
      </c>
      <c r="AD2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2772881362</v>
      </c>
      <c r="AE24" s="8" t="str">
        <f>IF(NOT(AND(ISNUMBER(VALUE(prodcom_data[[#This Row],[PRODQNT - EU27_2020 - 2022 - amount]])), ISNUMBER(VALUE(prodcom_data[[#This Row],[IMPQNT - EU27_2020 - 2022 - amount]])))), "secrets", "")</f>
        <v/>
      </c>
      <c r="AF24" s="7">
        <f>_xlfn.LET(_xlpm.production_amount, VALUE(prodcom_data[[#This Row],[PRODQNT - FR - 2019 - amount]]), IF(ISNUMBER(_xlpm.production_amount), _xlpm.production_amount, 0))+_xlfn.LET(_xlpm.import_amount, VALUE(prodcom_data[[#This Row],[IMPQNT - FR - 2019 - amount]]), IF(ISNUMBER(_xlpm.import_amount), _xlpm.import_amount, 0))</f>
        <v>86858300</v>
      </c>
      <c r="AG24" s="8" t="str">
        <f>IF(NOT(AND(ISNUMBER(VALUE(prodcom_data[[#This Row],[PRODQNT - FR - 2019 - amount]])), ISNUMBER(VALUE(prodcom_data[[#This Row],[IMPQNT - FR - 2019 - amount]])))), "secrets", "")</f>
        <v>secrets</v>
      </c>
      <c r="AH24" s="7">
        <f>_xlfn.LET(_xlpm.production_amount, VALUE(prodcom_data[[#This Row],[PRODQNT - FR - 2022 - amount]]), IF(ISNUMBER(_xlpm.production_amount), _xlpm.production_amount, 0))+_xlfn.LET(_xlpm.import_amount, VALUE(prodcom_data[[#This Row],[IMPQNT - FR - 2022 - amount]]), IF(ISNUMBER(_xlpm.import_amount), _xlpm.import_amount, 0))</f>
        <v>51715105</v>
      </c>
      <c r="AI24" s="8" t="str">
        <f>IF(NOT(AND(ISNUMBER(VALUE(prodcom_data[[#This Row],[PRODQNT - FR - 2022 - amount]])), ISNUMBER(VALUE(prodcom_data[[#This Row],[IMPQNT - FR - 2022 - amount]])))), "secrets", "")</f>
        <v/>
      </c>
      <c r="AJ2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0.35342298211170275</v>
      </c>
      <c r="AK24" s="10" t="s">
        <v>2641</v>
      </c>
    </row>
    <row r="25" spans="1:37" hidden="1" x14ac:dyDescent="0.3">
      <c r="A25" s="4" t="s">
        <v>3</v>
      </c>
      <c r="B25" s="4" t="s">
        <v>451</v>
      </c>
      <c r="C25" s="4" t="s">
        <v>452</v>
      </c>
      <c r="D25" s="4" t="s">
        <v>453</v>
      </c>
      <c r="E25" s="5" t="s">
        <v>7</v>
      </c>
      <c r="F25" s="4" t="s">
        <v>1930</v>
      </c>
      <c r="G25" s="5" t="s">
        <v>7</v>
      </c>
      <c r="H25" s="4" t="s">
        <v>1931</v>
      </c>
      <c r="I25" s="5" t="s">
        <v>7</v>
      </c>
      <c r="J25" s="4" t="s">
        <v>1932</v>
      </c>
      <c r="K25" s="5" t="s">
        <v>7</v>
      </c>
      <c r="L25" s="4" t="s">
        <v>1933</v>
      </c>
      <c r="M25" s="5" t="s">
        <v>7</v>
      </c>
      <c r="N25" s="4" t="s">
        <v>1934</v>
      </c>
      <c r="O25" s="5" t="s">
        <v>7</v>
      </c>
      <c r="P25" s="4" t="s">
        <v>703</v>
      </c>
      <c r="Q25" s="5" t="s">
        <v>703</v>
      </c>
      <c r="R25" s="4" t="s">
        <v>1935</v>
      </c>
      <c r="S25" s="5" t="s">
        <v>7</v>
      </c>
      <c r="T25" s="4" t="s">
        <v>1936</v>
      </c>
      <c r="U25" s="5" t="s">
        <v>7</v>
      </c>
      <c r="V25" s="4" t="s">
        <v>703</v>
      </c>
      <c r="W25" s="5" t="s">
        <v>703</v>
      </c>
      <c r="X25" s="4" t="s">
        <v>1937</v>
      </c>
      <c r="Y25" s="5" t="s">
        <v>7</v>
      </c>
      <c r="Z25" s="4" t="s">
        <v>1938</v>
      </c>
      <c r="AA25" s="5" t="s">
        <v>7</v>
      </c>
      <c r="AB2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2348803328</v>
      </c>
      <c r="AC25" s="8" t="str">
        <f>IF(NOT(AND(ISNUMBER(VALUE(prodcom_data[[#This Row],[PRODQNT - EU27_2020 - 2019 - amount]])), ISNUMBER(VALUE(prodcom_data[[#This Row],[IMPQNT - EU27_2020 - 2019 - amount]])))), "secrets", "")</f>
        <v/>
      </c>
      <c r="AD2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2526071613</v>
      </c>
      <c r="AE25" s="8" t="str">
        <f>IF(NOT(AND(ISNUMBER(VALUE(prodcom_data[[#This Row],[PRODQNT - EU27_2020 - 2022 - amount]])), ISNUMBER(VALUE(prodcom_data[[#This Row],[IMPQNT - EU27_2020 - 2022 - amount]])))), "secrets", "")</f>
        <v/>
      </c>
      <c r="AF25" s="7">
        <f>_xlfn.LET(_xlpm.production_amount, VALUE(prodcom_data[[#This Row],[PRODQNT - FR - 2019 - amount]]), IF(ISNUMBER(_xlpm.production_amount), _xlpm.production_amount, 0))+_xlfn.LET(_xlpm.import_amount, VALUE(prodcom_data[[#This Row],[IMPQNT - FR - 2019 - amount]]), IF(ISNUMBER(_xlpm.import_amount), _xlpm.import_amount, 0))</f>
        <v>282865600</v>
      </c>
      <c r="AG25" s="8" t="str">
        <f>IF(NOT(AND(ISNUMBER(VALUE(prodcom_data[[#This Row],[PRODQNT - FR - 2019 - amount]])), ISNUMBER(VALUE(prodcom_data[[#This Row],[IMPQNT - FR - 2019 - amount]])))), "secrets", "")</f>
        <v>secrets</v>
      </c>
      <c r="AH25" s="7">
        <f>_xlfn.LET(_xlpm.production_amount, VALUE(prodcom_data[[#This Row],[PRODQNT - FR - 2022 - amount]]), IF(ISNUMBER(_xlpm.production_amount), _xlpm.production_amount, 0))+_xlfn.LET(_xlpm.import_amount, VALUE(prodcom_data[[#This Row],[IMPQNT - FR - 2022 - amount]]), IF(ISNUMBER(_xlpm.import_amount), _xlpm.import_amount, 0))</f>
        <v>286816531</v>
      </c>
      <c r="AI25" s="8" t="str">
        <f>IF(NOT(AND(ISNUMBER(VALUE(prodcom_data[[#This Row],[PRODQNT - FR - 2022 - amount]])), ISNUMBER(VALUE(prodcom_data[[#This Row],[IMPQNT - FR - 2022 - amount]])))), "secrets", "")</f>
        <v>secrets</v>
      </c>
      <c r="AJ2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0.71256887205279718</v>
      </c>
      <c r="AK25" s="10" t="s">
        <v>2641</v>
      </c>
    </row>
    <row r="26" spans="1:37" x14ac:dyDescent="0.3">
      <c r="A26" s="4" t="s">
        <v>3</v>
      </c>
      <c r="B26" s="4" t="s">
        <v>634</v>
      </c>
      <c r="C26" s="4" t="s">
        <v>635</v>
      </c>
      <c r="D26" s="4" t="s">
        <v>636</v>
      </c>
      <c r="E26" s="5" t="s">
        <v>7</v>
      </c>
      <c r="F26" s="4" t="s">
        <v>2485</v>
      </c>
      <c r="G26" s="5" t="s">
        <v>7</v>
      </c>
      <c r="H26" s="4" t="s">
        <v>2486</v>
      </c>
      <c r="I26" s="5" t="s">
        <v>7</v>
      </c>
      <c r="J26" s="4" t="s">
        <v>2487</v>
      </c>
      <c r="K26" s="5" t="s">
        <v>7</v>
      </c>
      <c r="L26" s="4" t="s">
        <v>2488</v>
      </c>
      <c r="M26" s="5" t="s">
        <v>7</v>
      </c>
      <c r="N26" s="4" t="s">
        <v>2489</v>
      </c>
      <c r="O26" s="5" t="s">
        <v>7</v>
      </c>
      <c r="P26" s="4" t="s">
        <v>2611</v>
      </c>
      <c r="Q26" s="5" t="s">
        <v>7</v>
      </c>
      <c r="R26" s="4" t="s">
        <v>2490</v>
      </c>
      <c r="S26" s="5" t="s">
        <v>7</v>
      </c>
      <c r="T26" s="4" t="s">
        <v>2491</v>
      </c>
      <c r="U26" s="5" t="s">
        <v>7</v>
      </c>
      <c r="V26" s="4" t="s">
        <v>2611</v>
      </c>
      <c r="W26" s="5" t="s">
        <v>7</v>
      </c>
      <c r="X26" s="4" t="s">
        <v>2492</v>
      </c>
      <c r="Y26" s="5" t="s">
        <v>7</v>
      </c>
      <c r="Z26" s="4" t="s">
        <v>2493</v>
      </c>
      <c r="AA26" s="5" t="s">
        <v>7</v>
      </c>
      <c r="AB2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2102028618</v>
      </c>
      <c r="AC26" s="8" t="str">
        <f>IF(NOT(AND(ISNUMBER(VALUE(prodcom_data[[#This Row],[PRODQNT - EU27_2020 - 2019 - amount]])), ISNUMBER(VALUE(prodcom_data[[#This Row],[IMPQNT - EU27_2020 - 2019 - amount]])))), "secrets", "")</f>
        <v/>
      </c>
      <c r="AD2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2370412440</v>
      </c>
      <c r="AE26" s="8" t="str">
        <f>IF(NOT(AND(ISNUMBER(VALUE(prodcom_data[[#This Row],[PRODQNT - EU27_2020 - 2022 - amount]])), ISNUMBER(VALUE(prodcom_data[[#This Row],[IMPQNT - EU27_2020 - 2022 - amount]])))), "secrets", "")</f>
        <v/>
      </c>
      <c r="AF26" s="7">
        <f>_xlfn.LET(_xlpm.production_amount, VALUE(prodcom_data[[#This Row],[PRODQNT - FR - 2019 - amount]]), IF(ISNUMBER(_xlpm.production_amount), _xlpm.production_amount, 0))+_xlfn.LET(_xlpm.import_amount, VALUE(prodcom_data[[#This Row],[IMPQNT - FR - 2019 - amount]]), IF(ISNUMBER(_xlpm.import_amount), _xlpm.import_amount, 0))</f>
        <v>115233400</v>
      </c>
      <c r="AG26" s="8" t="str">
        <f>IF(NOT(AND(ISNUMBER(VALUE(prodcom_data[[#This Row],[PRODQNT - FR - 2019 - amount]])), ISNUMBER(VALUE(prodcom_data[[#This Row],[IMPQNT - FR - 2019 - amount]])))), "secrets", "")</f>
        <v>secrets</v>
      </c>
      <c r="AH26" s="7">
        <f>_xlfn.LET(_xlpm.production_amount, VALUE(prodcom_data[[#This Row],[PRODQNT - FR - 2022 - amount]]), IF(ISNUMBER(_xlpm.production_amount), _xlpm.production_amount, 0))+_xlfn.LET(_xlpm.import_amount, VALUE(prodcom_data[[#This Row],[IMPQNT - FR - 2022 - amount]]), IF(ISNUMBER(_xlpm.import_amount), _xlpm.import_amount, 0))</f>
        <v>125912655</v>
      </c>
      <c r="AI26" s="8" t="str">
        <f>IF(NOT(AND(ISNUMBER(VALUE(prodcom_data[[#This Row],[PRODQNT - FR - 2022 - amount]])), ISNUMBER(VALUE(prodcom_data[[#This Row],[IMPQNT - FR - 2022 - amount]])))), "secrets", "")</f>
        <v>secrets</v>
      </c>
      <c r="AJ2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0.87748442629671652</v>
      </c>
      <c r="AK26" s="10" t="s">
        <v>2642</v>
      </c>
    </row>
    <row r="27" spans="1:37" hidden="1" x14ac:dyDescent="0.3">
      <c r="A27" s="4" t="s">
        <v>3</v>
      </c>
      <c r="B27" s="4" t="s">
        <v>545</v>
      </c>
      <c r="C27" s="4" t="s">
        <v>546</v>
      </c>
      <c r="D27" s="4" t="s">
        <v>547</v>
      </c>
      <c r="E27" s="5" t="s">
        <v>7</v>
      </c>
      <c r="F27" s="4" t="s">
        <v>2192</v>
      </c>
      <c r="G27" s="5" t="s">
        <v>7</v>
      </c>
      <c r="H27" s="4" t="s">
        <v>2193</v>
      </c>
      <c r="I27" s="5" t="s">
        <v>7</v>
      </c>
      <c r="J27" s="4" t="s">
        <v>2194</v>
      </c>
      <c r="K27" s="5" t="s">
        <v>7</v>
      </c>
      <c r="L27" s="4" t="s">
        <v>2195</v>
      </c>
      <c r="M27" s="5" t="s">
        <v>7</v>
      </c>
      <c r="N27" s="4" t="s">
        <v>2196</v>
      </c>
      <c r="O27" s="5" t="s">
        <v>7</v>
      </c>
      <c r="P27" s="4" t="s">
        <v>2611</v>
      </c>
      <c r="Q27" s="5" t="s">
        <v>7</v>
      </c>
      <c r="R27" s="4" t="s">
        <v>2197</v>
      </c>
      <c r="S27" s="5" t="s">
        <v>7</v>
      </c>
      <c r="T27" s="4" t="s">
        <v>2198</v>
      </c>
      <c r="U27" s="5" t="s">
        <v>7</v>
      </c>
      <c r="V27" s="4" t="s">
        <v>2199</v>
      </c>
      <c r="W27" s="5" t="s">
        <v>7</v>
      </c>
      <c r="X27" s="4" t="s">
        <v>2200</v>
      </c>
      <c r="Y27" s="5" t="s">
        <v>7</v>
      </c>
      <c r="Z27" s="4" t="s">
        <v>2201</v>
      </c>
      <c r="AA27" s="5" t="s">
        <v>7</v>
      </c>
      <c r="AB2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2586538087</v>
      </c>
      <c r="AC27" s="8" t="str">
        <f>IF(NOT(AND(ISNUMBER(VALUE(prodcom_data[[#This Row],[PRODQNT - EU27_2020 - 2019 - amount]])), ISNUMBER(VALUE(prodcom_data[[#This Row],[IMPQNT - EU27_2020 - 2019 - amount]])))), "secrets", "")</f>
        <v/>
      </c>
      <c r="AD2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2296156929</v>
      </c>
      <c r="AE27" s="8" t="str">
        <f>IF(NOT(AND(ISNUMBER(VALUE(prodcom_data[[#This Row],[PRODQNT - EU27_2020 - 2022 - amount]])), ISNUMBER(VALUE(prodcom_data[[#This Row],[IMPQNT - EU27_2020 - 2022 - amount]])))), "secrets", "")</f>
        <v/>
      </c>
      <c r="AF27" s="7">
        <f>_xlfn.LET(_xlpm.production_amount, VALUE(prodcom_data[[#This Row],[PRODQNT - FR - 2019 - amount]]), IF(ISNUMBER(_xlpm.production_amount), _xlpm.production_amount, 0))+_xlfn.LET(_xlpm.import_amount, VALUE(prodcom_data[[#This Row],[IMPQNT - FR - 2019 - amount]]), IF(ISNUMBER(_xlpm.import_amount), _xlpm.import_amount, 0))</f>
        <v>213321300</v>
      </c>
      <c r="AG27" s="8" t="str">
        <f>IF(NOT(AND(ISNUMBER(VALUE(prodcom_data[[#This Row],[PRODQNT - FR - 2019 - amount]])), ISNUMBER(VALUE(prodcom_data[[#This Row],[IMPQNT - FR - 2019 - amount]])))), "secrets", "")</f>
        <v>secrets</v>
      </c>
      <c r="AH27" s="7">
        <f>_xlfn.LET(_xlpm.production_amount, VALUE(prodcom_data[[#This Row],[PRODQNT - FR - 2022 - amount]]), IF(ISNUMBER(_xlpm.production_amount), _xlpm.production_amount, 0))+_xlfn.LET(_xlpm.import_amount, VALUE(prodcom_data[[#This Row],[IMPQNT - FR - 2022 - amount]]), IF(ISNUMBER(_xlpm.import_amount), _xlpm.import_amount, 0))</f>
        <v>283433040</v>
      </c>
      <c r="AI27" s="8" t="str">
        <f>IF(NOT(AND(ISNUMBER(VALUE(prodcom_data[[#This Row],[PRODQNT - FR - 2022 - amount]])), ISNUMBER(VALUE(prodcom_data[[#This Row],[IMPQNT - FR - 2022 - amount]])))), "secrets", "")</f>
        <v/>
      </c>
      <c r="AJ2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0.42567979681845169</v>
      </c>
      <c r="AK27" s="10" t="s">
        <v>2641</v>
      </c>
    </row>
    <row r="28" spans="1:37" hidden="1" x14ac:dyDescent="0.3">
      <c r="A28" s="4" t="s">
        <v>3</v>
      </c>
      <c r="B28" s="4" t="s">
        <v>513</v>
      </c>
      <c r="C28" s="4" t="s">
        <v>514</v>
      </c>
      <c r="D28" s="4" t="s">
        <v>515</v>
      </c>
      <c r="E28" s="5" t="s">
        <v>7</v>
      </c>
      <c r="F28" s="4" t="s">
        <v>2107</v>
      </c>
      <c r="G28" s="5" t="s">
        <v>7</v>
      </c>
      <c r="H28" s="4" t="s">
        <v>2108</v>
      </c>
      <c r="I28" s="5" t="s">
        <v>7</v>
      </c>
      <c r="J28" s="4" t="s">
        <v>2109</v>
      </c>
      <c r="K28" s="5" t="s">
        <v>7</v>
      </c>
      <c r="L28" s="4" t="s">
        <v>2110</v>
      </c>
      <c r="M28" s="5" t="s">
        <v>7</v>
      </c>
      <c r="N28" s="4" t="s">
        <v>2111</v>
      </c>
      <c r="O28" s="5" t="s">
        <v>7</v>
      </c>
      <c r="P28" s="4" t="s">
        <v>2611</v>
      </c>
      <c r="Q28" s="5" t="s">
        <v>7</v>
      </c>
      <c r="R28" s="4" t="s">
        <v>2112</v>
      </c>
      <c r="S28" s="5" t="s">
        <v>7</v>
      </c>
      <c r="T28" s="4" t="s">
        <v>2113</v>
      </c>
      <c r="U28" s="5" t="s">
        <v>7</v>
      </c>
      <c r="V28" s="4" t="s">
        <v>2611</v>
      </c>
      <c r="W28" s="5" t="s">
        <v>7</v>
      </c>
      <c r="X28" s="4" t="s">
        <v>2114</v>
      </c>
      <c r="Y28" s="5" t="s">
        <v>7</v>
      </c>
      <c r="Z28" s="4" t="s">
        <v>2115</v>
      </c>
      <c r="AA28" s="5" t="s">
        <v>7</v>
      </c>
      <c r="AB2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2094258375</v>
      </c>
      <c r="AC28" s="8" t="str">
        <f>IF(NOT(AND(ISNUMBER(VALUE(prodcom_data[[#This Row],[PRODQNT - EU27_2020 - 2019 - amount]])), ISNUMBER(VALUE(prodcom_data[[#This Row],[IMPQNT - EU27_2020 - 2019 - amount]])))), "secrets", "")</f>
        <v/>
      </c>
      <c r="AD2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2119145223</v>
      </c>
      <c r="AE28" s="8" t="str">
        <f>IF(NOT(AND(ISNUMBER(VALUE(prodcom_data[[#This Row],[PRODQNT - EU27_2020 - 2022 - amount]])), ISNUMBER(VALUE(prodcom_data[[#This Row],[IMPQNT - EU27_2020 - 2022 - amount]])))), "secrets", "")</f>
        <v/>
      </c>
      <c r="AF28" s="7">
        <f>_xlfn.LET(_xlpm.production_amount, VALUE(prodcom_data[[#This Row],[PRODQNT - FR - 2019 - amount]]), IF(ISNUMBER(_xlpm.production_amount), _xlpm.production_amount, 0))+_xlfn.LET(_xlpm.import_amount, VALUE(prodcom_data[[#This Row],[IMPQNT - FR - 2019 - amount]]), IF(ISNUMBER(_xlpm.import_amount), _xlpm.import_amount, 0))</f>
        <v>38267100</v>
      </c>
      <c r="AG28" s="8" t="str">
        <f>IF(NOT(AND(ISNUMBER(VALUE(prodcom_data[[#This Row],[PRODQNT - FR - 2019 - amount]])), ISNUMBER(VALUE(prodcom_data[[#This Row],[IMPQNT - FR - 2019 - amount]])))), "secrets", "")</f>
        <v>secrets</v>
      </c>
      <c r="AH28" s="7">
        <f>_xlfn.LET(_xlpm.production_amount, VALUE(prodcom_data[[#This Row],[PRODQNT - FR - 2022 - amount]]), IF(ISNUMBER(_xlpm.production_amount), _xlpm.production_amount, 0))+_xlfn.LET(_xlpm.import_amount, VALUE(prodcom_data[[#This Row],[IMPQNT - FR - 2022 - amount]]), IF(ISNUMBER(_xlpm.import_amount), _xlpm.import_amount, 0))</f>
        <v>25889720</v>
      </c>
      <c r="AI28" s="8" t="str">
        <f>IF(NOT(AND(ISNUMBER(VALUE(prodcom_data[[#This Row],[PRODQNT - FR - 2022 - amount]])), ISNUMBER(VALUE(prodcom_data[[#This Row],[IMPQNT - FR - 2022 - amount]])))), "secrets", "")</f>
        <v>secrets</v>
      </c>
      <c r="AJ2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0.84732594279594586</v>
      </c>
      <c r="AK28" s="10" t="s">
        <v>2641</v>
      </c>
    </row>
    <row r="29" spans="1:37" hidden="1" x14ac:dyDescent="0.3">
      <c r="A29" s="4" t="s">
        <v>3</v>
      </c>
      <c r="B29" s="4" t="s">
        <v>183</v>
      </c>
      <c r="C29" s="4" t="s">
        <v>184</v>
      </c>
      <c r="D29" s="4" t="s">
        <v>185</v>
      </c>
      <c r="E29" s="5" t="s">
        <v>7</v>
      </c>
      <c r="F29" s="4" t="s">
        <v>1220</v>
      </c>
      <c r="G29" s="5" t="s">
        <v>7</v>
      </c>
      <c r="H29" s="4" t="s">
        <v>1221</v>
      </c>
      <c r="I29" s="5" t="s">
        <v>7</v>
      </c>
      <c r="J29" s="4" t="s">
        <v>1222</v>
      </c>
      <c r="K29" s="5" t="s">
        <v>7</v>
      </c>
      <c r="L29" s="4" t="s">
        <v>1223</v>
      </c>
      <c r="M29" s="5" t="s">
        <v>7</v>
      </c>
      <c r="N29" s="4" t="s">
        <v>1224</v>
      </c>
      <c r="O29" s="5" t="s">
        <v>7</v>
      </c>
      <c r="P29" s="4" t="s">
        <v>2611</v>
      </c>
      <c r="Q29" s="5" t="s">
        <v>7</v>
      </c>
      <c r="R29" s="4" t="s">
        <v>1225</v>
      </c>
      <c r="S29" s="5" t="s">
        <v>7</v>
      </c>
      <c r="T29" s="4" t="s">
        <v>1226</v>
      </c>
      <c r="U29" s="5" t="s">
        <v>7</v>
      </c>
      <c r="V29" s="4" t="s">
        <v>2611</v>
      </c>
      <c r="W29" s="5" t="s">
        <v>7</v>
      </c>
      <c r="X29" s="4" t="s">
        <v>1227</v>
      </c>
      <c r="Y29" s="5" t="s">
        <v>7</v>
      </c>
      <c r="Z29" s="4" t="s">
        <v>1228</v>
      </c>
      <c r="AA29" s="5" t="s">
        <v>7</v>
      </c>
      <c r="AB2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1562420657</v>
      </c>
      <c r="AC29" s="8" t="str">
        <f>IF(NOT(AND(ISNUMBER(VALUE(prodcom_data[[#This Row],[PRODQNT - EU27_2020 - 2019 - amount]])), ISNUMBER(VALUE(prodcom_data[[#This Row],[IMPQNT - EU27_2020 - 2019 - amount]])))), "secrets", "")</f>
        <v/>
      </c>
      <c r="AD2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2007285576</v>
      </c>
      <c r="AE29" s="8" t="str">
        <f>IF(NOT(AND(ISNUMBER(VALUE(prodcom_data[[#This Row],[PRODQNT - EU27_2020 - 2022 - amount]])), ISNUMBER(VALUE(prodcom_data[[#This Row],[IMPQNT - EU27_2020 - 2022 - amount]])))), "secrets", "")</f>
        <v/>
      </c>
      <c r="AF29" s="7">
        <f>_xlfn.LET(_xlpm.production_amount, VALUE(prodcom_data[[#This Row],[PRODQNT - FR - 2019 - amount]]), IF(ISNUMBER(_xlpm.production_amount), _xlpm.production_amount, 0))+_xlfn.LET(_xlpm.import_amount, VALUE(prodcom_data[[#This Row],[IMPQNT - FR - 2019 - amount]]), IF(ISNUMBER(_xlpm.import_amount), _xlpm.import_amount, 0))</f>
        <v>14680500</v>
      </c>
      <c r="AG29" s="8" t="str">
        <f>IF(NOT(AND(ISNUMBER(VALUE(prodcom_data[[#This Row],[PRODQNT - FR - 2019 - amount]])), ISNUMBER(VALUE(prodcom_data[[#This Row],[IMPQNT - FR - 2019 - amount]])))), "secrets", "")</f>
        <v>secrets</v>
      </c>
      <c r="AH29" s="7">
        <f>_xlfn.LET(_xlpm.production_amount, VALUE(prodcom_data[[#This Row],[PRODQNT - FR - 2022 - amount]]), IF(ISNUMBER(_xlpm.production_amount), _xlpm.production_amount, 0))+_xlfn.LET(_xlpm.import_amount, VALUE(prodcom_data[[#This Row],[IMPQNT - FR - 2022 - amount]]), IF(ISNUMBER(_xlpm.import_amount), _xlpm.import_amount, 0))</f>
        <v>14394834</v>
      </c>
      <c r="AI29" s="8" t="str">
        <f>IF(NOT(AND(ISNUMBER(VALUE(prodcom_data[[#This Row],[PRODQNT - FR - 2022 - amount]])), ISNUMBER(VALUE(prodcom_data[[#This Row],[IMPQNT - FR - 2022 - amount]])))), "secrets", "")</f>
        <v>secrets</v>
      </c>
      <c r="AJ2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6.2771337325646187E-2</v>
      </c>
      <c r="AK29" s="10" t="s">
        <v>2641</v>
      </c>
    </row>
    <row r="30" spans="1:37" x14ac:dyDescent="0.3">
      <c r="A30" s="4" t="s">
        <v>3</v>
      </c>
      <c r="B30" s="4" t="s">
        <v>14</v>
      </c>
      <c r="C30" s="4" t="s">
        <v>15</v>
      </c>
      <c r="D30" s="4" t="s">
        <v>16</v>
      </c>
      <c r="E30" s="5" t="s">
        <v>7</v>
      </c>
      <c r="F30" s="4" t="s">
        <v>739</v>
      </c>
      <c r="G30" s="5" t="s">
        <v>7</v>
      </c>
      <c r="H30" s="4" t="s">
        <v>740</v>
      </c>
      <c r="I30" s="5" t="s">
        <v>7</v>
      </c>
      <c r="J30" s="4" t="s">
        <v>741</v>
      </c>
      <c r="K30" s="5" t="s">
        <v>7</v>
      </c>
      <c r="L30" s="4" t="s">
        <v>742</v>
      </c>
      <c r="M30" s="5" t="s">
        <v>7</v>
      </c>
      <c r="N30" s="4" t="s">
        <v>743</v>
      </c>
      <c r="O30" s="5" t="s">
        <v>7</v>
      </c>
      <c r="P30" s="4" t="s">
        <v>2611</v>
      </c>
      <c r="Q30" s="5" t="s">
        <v>7</v>
      </c>
      <c r="R30" s="4" t="s">
        <v>744</v>
      </c>
      <c r="S30" s="5" t="s">
        <v>7</v>
      </c>
      <c r="T30" s="4" t="s">
        <v>745</v>
      </c>
      <c r="U30" s="5" t="s">
        <v>7</v>
      </c>
      <c r="V30" s="4" t="s">
        <v>2611</v>
      </c>
      <c r="W30" s="5" t="s">
        <v>7</v>
      </c>
      <c r="X30" s="4" t="s">
        <v>746</v>
      </c>
      <c r="Y30" s="5" t="s">
        <v>7</v>
      </c>
      <c r="Z30" s="4" t="s">
        <v>747</v>
      </c>
      <c r="AA30" s="5" t="s">
        <v>7</v>
      </c>
      <c r="AB3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1674679674</v>
      </c>
      <c r="AC30" s="8" t="str">
        <f>IF(NOT(AND(ISNUMBER(VALUE(prodcom_data[[#This Row],[PRODQNT - EU27_2020 - 2019 - amount]])), ISNUMBER(VALUE(prodcom_data[[#This Row],[IMPQNT - EU27_2020 - 2019 - amount]])))), "secrets", "")</f>
        <v/>
      </c>
      <c r="AD3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2000046666</v>
      </c>
      <c r="AE30" s="8" t="str">
        <f>IF(NOT(AND(ISNUMBER(VALUE(prodcom_data[[#This Row],[PRODQNT - EU27_2020 - 2022 - amount]])), ISNUMBER(VALUE(prodcom_data[[#This Row],[IMPQNT - EU27_2020 - 2022 - amount]])))), "secrets", "")</f>
        <v/>
      </c>
      <c r="AF30" s="7">
        <f>_xlfn.LET(_xlpm.production_amount, VALUE(prodcom_data[[#This Row],[PRODQNT - FR - 2019 - amount]]), IF(ISNUMBER(_xlpm.production_amount), _xlpm.production_amount, 0))+_xlfn.LET(_xlpm.import_amount, VALUE(prodcom_data[[#This Row],[IMPQNT - FR - 2019 - amount]]), IF(ISNUMBER(_xlpm.import_amount), _xlpm.import_amount, 0))</f>
        <v>22874100</v>
      </c>
      <c r="AG30" s="8" t="str">
        <f>IF(NOT(AND(ISNUMBER(VALUE(prodcom_data[[#This Row],[PRODQNT - FR - 2019 - amount]])), ISNUMBER(VALUE(prodcom_data[[#This Row],[IMPQNT - FR - 2019 - amount]])))), "secrets", "")</f>
        <v>secrets</v>
      </c>
      <c r="AH30" s="7">
        <f>_xlfn.LET(_xlpm.production_amount, VALUE(prodcom_data[[#This Row],[PRODQNT - FR - 2022 - amount]]), IF(ISNUMBER(_xlpm.production_amount), _xlpm.production_amount, 0))+_xlfn.LET(_xlpm.import_amount, VALUE(prodcom_data[[#This Row],[IMPQNT - FR - 2022 - amount]]), IF(ISNUMBER(_xlpm.import_amount), _xlpm.import_amount, 0))</f>
        <v>22163375</v>
      </c>
      <c r="AI30" s="8" t="str">
        <f>IF(NOT(AND(ISNUMBER(VALUE(prodcom_data[[#This Row],[PRODQNT - FR - 2022 - amount]])), ISNUMBER(VALUE(prodcom_data[[#This Row],[IMPQNT - FR - 2022 - amount]])))), "secrets", "")</f>
        <v>secrets</v>
      </c>
      <c r="AJ3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0.99997666754441616</v>
      </c>
      <c r="AK30" s="10" t="s">
        <v>2642</v>
      </c>
    </row>
    <row r="31" spans="1:37" hidden="1" x14ac:dyDescent="0.3">
      <c r="A31" s="4" t="s">
        <v>3</v>
      </c>
      <c r="B31" s="4" t="s">
        <v>652</v>
      </c>
      <c r="C31" s="4" t="s">
        <v>653</v>
      </c>
      <c r="D31" s="4" t="s">
        <v>654</v>
      </c>
      <c r="E31" s="5" t="s">
        <v>7</v>
      </c>
      <c r="F31" s="4" t="s">
        <v>2540</v>
      </c>
      <c r="G31" s="5" t="s">
        <v>7</v>
      </c>
      <c r="H31" s="4" t="s">
        <v>2541</v>
      </c>
      <c r="I31" s="5" t="s">
        <v>7</v>
      </c>
      <c r="J31" s="4" t="s">
        <v>1932</v>
      </c>
      <c r="K31" s="5" t="s">
        <v>7</v>
      </c>
      <c r="L31" s="4" t="s">
        <v>2542</v>
      </c>
      <c r="M31" s="5" t="s">
        <v>7</v>
      </c>
      <c r="N31" s="4" t="s">
        <v>2543</v>
      </c>
      <c r="O31" s="5" t="s">
        <v>7</v>
      </c>
      <c r="P31" s="4" t="s">
        <v>2544</v>
      </c>
      <c r="Q31" s="5" t="s">
        <v>7</v>
      </c>
      <c r="R31" s="4" t="s">
        <v>2545</v>
      </c>
      <c r="S31" s="5" t="s">
        <v>7</v>
      </c>
      <c r="T31" s="4" t="s">
        <v>2546</v>
      </c>
      <c r="U31" s="5" t="s">
        <v>7</v>
      </c>
      <c r="V31" s="4" t="s">
        <v>2611</v>
      </c>
      <c r="W31" s="5" t="s">
        <v>7</v>
      </c>
      <c r="X31" s="4" t="s">
        <v>2547</v>
      </c>
      <c r="Y31" s="5" t="s">
        <v>7</v>
      </c>
      <c r="Z31" s="4" t="s">
        <v>2548</v>
      </c>
      <c r="AA31" s="5" t="s">
        <v>7</v>
      </c>
      <c r="AB3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2425848138</v>
      </c>
      <c r="AC31" s="8" t="str">
        <f>IF(NOT(AND(ISNUMBER(VALUE(prodcom_data[[#This Row],[PRODQNT - EU27_2020 - 2019 - amount]])), ISNUMBER(VALUE(prodcom_data[[#This Row],[IMPQNT - EU27_2020 - 2019 - amount]])))), "secrets", "")</f>
        <v/>
      </c>
      <c r="AD3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1876946808</v>
      </c>
      <c r="AE31" s="8" t="str">
        <f>IF(NOT(AND(ISNUMBER(VALUE(prodcom_data[[#This Row],[PRODQNT - EU27_2020 - 2022 - amount]])), ISNUMBER(VALUE(prodcom_data[[#This Row],[IMPQNT - EU27_2020 - 2022 - amount]])))), "secrets", "")</f>
        <v/>
      </c>
      <c r="AF31" s="7">
        <f>_xlfn.LET(_xlpm.production_amount, VALUE(prodcom_data[[#This Row],[PRODQNT - FR - 2019 - amount]]), IF(ISNUMBER(_xlpm.production_amount), _xlpm.production_amount, 0))+_xlfn.LET(_xlpm.import_amount, VALUE(prodcom_data[[#This Row],[IMPQNT - FR - 2019 - amount]]), IF(ISNUMBER(_xlpm.import_amount), _xlpm.import_amount, 0))</f>
        <v>130388942</v>
      </c>
      <c r="AG31" s="8" t="str">
        <f>IF(NOT(AND(ISNUMBER(VALUE(prodcom_data[[#This Row],[PRODQNT - FR - 2019 - amount]])), ISNUMBER(VALUE(prodcom_data[[#This Row],[IMPQNT - FR - 2019 - amount]])))), "secrets", "")</f>
        <v/>
      </c>
      <c r="AH31" s="7">
        <f>_xlfn.LET(_xlpm.production_amount, VALUE(prodcom_data[[#This Row],[PRODQNT - FR - 2022 - amount]]), IF(ISNUMBER(_xlpm.production_amount), _xlpm.production_amount, 0))+_xlfn.LET(_xlpm.import_amount, VALUE(prodcom_data[[#This Row],[IMPQNT - FR - 2022 - amount]]), IF(ISNUMBER(_xlpm.import_amount), _xlpm.import_amount, 0))</f>
        <v>54500328</v>
      </c>
      <c r="AI31" s="8" t="str">
        <f>IF(NOT(AND(ISNUMBER(VALUE(prodcom_data[[#This Row],[PRODQNT - FR - 2022 - amount]])), ISNUMBER(VALUE(prodcom_data[[#This Row],[IMPQNT - FR - 2022 - amount]])))), "secrets", "")</f>
        <v>secrets</v>
      </c>
      <c r="AJ3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0.95900426816996931</v>
      </c>
      <c r="AK31" s="10" t="s">
        <v>2641</v>
      </c>
    </row>
    <row r="32" spans="1:37" x14ac:dyDescent="0.3">
      <c r="A32" s="4" t="s">
        <v>3</v>
      </c>
      <c r="B32" s="4" t="s">
        <v>548</v>
      </c>
      <c r="C32" s="4" t="s">
        <v>549</v>
      </c>
      <c r="D32" s="4" t="s">
        <v>550</v>
      </c>
      <c r="E32" s="5" t="s">
        <v>7</v>
      </c>
      <c r="F32" s="4" t="s">
        <v>2202</v>
      </c>
      <c r="G32" s="5" t="s">
        <v>7</v>
      </c>
      <c r="H32" s="4" t="s">
        <v>2203</v>
      </c>
      <c r="I32" s="5" t="s">
        <v>7</v>
      </c>
      <c r="J32" s="4" t="s">
        <v>2204</v>
      </c>
      <c r="K32" s="5" t="s">
        <v>7</v>
      </c>
      <c r="L32" s="4" t="s">
        <v>2205</v>
      </c>
      <c r="M32" s="5" t="s">
        <v>7</v>
      </c>
      <c r="N32" s="4" t="s">
        <v>2206</v>
      </c>
      <c r="O32" s="5" t="s">
        <v>7</v>
      </c>
      <c r="P32" s="4" t="s">
        <v>2207</v>
      </c>
      <c r="Q32" s="5" t="s">
        <v>7</v>
      </c>
      <c r="R32" s="4" t="s">
        <v>2208</v>
      </c>
      <c r="S32" s="5" t="s">
        <v>7</v>
      </c>
      <c r="T32" s="4" t="s">
        <v>2209</v>
      </c>
      <c r="U32" s="5" t="s">
        <v>7</v>
      </c>
      <c r="V32" s="4" t="s">
        <v>2611</v>
      </c>
      <c r="W32" s="5" t="s">
        <v>7</v>
      </c>
      <c r="X32" s="4" t="s">
        <v>2210</v>
      </c>
      <c r="Y32" s="5" t="s">
        <v>7</v>
      </c>
      <c r="Z32" s="4" t="s">
        <v>2211</v>
      </c>
      <c r="AA32" s="5" t="s">
        <v>7</v>
      </c>
      <c r="AB3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1746705493</v>
      </c>
      <c r="AC32" s="8" t="str">
        <f>IF(NOT(AND(ISNUMBER(VALUE(prodcom_data[[#This Row],[PRODQNT - EU27_2020 - 2019 - amount]])), ISNUMBER(VALUE(prodcom_data[[#This Row],[IMPQNT - EU27_2020 - 2019 - amount]])))), "secrets", "")</f>
        <v/>
      </c>
      <c r="AD3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1864065177</v>
      </c>
      <c r="AE32" s="8" t="str">
        <f>IF(NOT(AND(ISNUMBER(VALUE(prodcom_data[[#This Row],[PRODQNT - EU27_2020 - 2022 - amount]])), ISNUMBER(VALUE(prodcom_data[[#This Row],[IMPQNT - EU27_2020 - 2022 - amount]])))), "secrets", "")</f>
        <v/>
      </c>
      <c r="AF32" s="7">
        <f>_xlfn.LET(_xlpm.production_amount, VALUE(prodcom_data[[#This Row],[PRODQNT - FR - 2019 - amount]]), IF(ISNUMBER(_xlpm.production_amount), _xlpm.production_amount, 0))+_xlfn.LET(_xlpm.import_amount, VALUE(prodcom_data[[#This Row],[IMPQNT - FR - 2019 - amount]]), IF(ISNUMBER(_xlpm.import_amount), _xlpm.import_amount, 0))</f>
        <v>259111922</v>
      </c>
      <c r="AG32" s="8" t="str">
        <f>IF(NOT(AND(ISNUMBER(VALUE(prodcom_data[[#This Row],[PRODQNT - FR - 2019 - amount]])), ISNUMBER(VALUE(prodcom_data[[#This Row],[IMPQNT - FR - 2019 - amount]])))), "secrets", "")</f>
        <v/>
      </c>
      <c r="AH32" s="7">
        <f>_xlfn.LET(_xlpm.production_amount, VALUE(prodcom_data[[#This Row],[PRODQNT - FR - 2022 - amount]]), IF(ISNUMBER(_xlpm.production_amount), _xlpm.production_amount, 0))+_xlfn.LET(_xlpm.import_amount, VALUE(prodcom_data[[#This Row],[IMPQNT - FR - 2022 - amount]]), IF(ISNUMBER(_xlpm.import_amount), _xlpm.import_amount, 0))</f>
        <v>125718635</v>
      </c>
      <c r="AI32" s="8" t="str">
        <f>IF(NOT(AND(ISNUMBER(VALUE(prodcom_data[[#This Row],[PRODQNT - FR - 2022 - amount]])), ISNUMBER(VALUE(prodcom_data[[#This Row],[IMPQNT - FR - 2022 - amount]])))), "secrets", "")</f>
        <v>secrets</v>
      </c>
      <c r="AJ3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0.88707249478326589</v>
      </c>
      <c r="AK32" s="10" t="s">
        <v>2642</v>
      </c>
    </row>
    <row r="33" spans="1:37" hidden="1" x14ac:dyDescent="0.3">
      <c r="A33" s="4" t="s">
        <v>3</v>
      </c>
      <c r="B33" s="4" t="s">
        <v>161</v>
      </c>
      <c r="C33" s="4" t="s">
        <v>162</v>
      </c>
      <c r="D33" s="4" t="s">
        <v>163</v>
      </c>
      <c r="E33" s="5" t="s">
        <v>7</v>
      </c>
      <c r="F33" s="4" t="s">
        <v>1151</v>
      </c>
      <c r="G33" s="5" t="s">
        <v>7</v>
      </c>
      <c r="H33" s="4" t="s">
        <v>1152</v>
      </c>
      <c r="I33" s="5" t="s">
        <v>7</v>
      </c>
      <c r="J33" s="4" t="s">
        <v>1153</v>
      </c>
      <c r="K33" s="5" t="s">
        <v>7</v>
      </c>
      <c r="L33" s="4" t="s">
        <v>1154</v>
      </c>
      <c r="M33" s="5" t="s">
        <v>7</v>
      </c>
      <c r="N33" s="4" t="s">
        <v>1155</v>
      </c>
      <c r="O33" s="5" t="s">
        <v>7</v>
      </c>
      <c r="P33" s="4" t="s">
        <v>2611</v>
      </c>
      <c r="Q33" s="5" t="s">
        <v>7</v>
      </c>
      <c r="R33" s="4" t="s">
        <v>1156</v>
      </c>
      <c r="S33" s="5" t="s">
        <v>7</v>
      </c>
      <c r="T33" s="4" t="s">
        <v>1157</v>
      </c>
      <c r="U33" s="5" t="s">
        <v>7</v>
      </c>
      <c r="V33" s="4" t="s">
        <v>2611</v>
      </c>
      <c r="W33" s="5" t="s">
        <v>7</v>
      </c>
      <c r="X33" s="4" t="s">
        <v>1158</v>
      </c>
      <c r="Y33" s="5" t="s">
        <v>7</v>
      </c>
      <c r="Z33" s="4" t="s">
        <v>1159</v>
      </c>
      <c r="AA33" s="5" t="s">
        <v>7</v>
      </c>
      <c r="AB3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2141408798</v>
      </c>
      <c r="AC33" s="8" t="str">
        <f>IF(NOT(AND(ISNUMBER(VALUE(prodcom_data[[#This Row],[PRODQNT - EU27_2020 - 2019 - amount]])), ISNUMBER(VALUE(prodcom_data[[#This Row],[IMPQNT - EU27_2020 - 2019 - amount]])))), "secrets", "")</f>
        <v/>
      </c>
      <c r="AD3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1800815557</v>
      </c>
      <c r="AE33" s="8" t="str">
        <f>IF(NOT(AND(ISNUMBER(VALUE(prodcom_data[[#This Row],[PRODQNT - EU27_2020 - 2022 - amount]])), ISNUMBER(VALUE(prodcom_data[[#This Row],[IMPQNT - EU27_2020 - 2022 - amount]])))), "secrets", "")</f>
        <v/>
      </c>
      <c r="AF33" s="7">
        <f>_xlfn.LET(_xlpm.production_amount, VALUE(prodcom_data[[#This Row],[PRODQNT - FR - 2019 - amount]]), IF(ISNUMBER(_xlpm.production_amount), _xlpm.production_amount, 0))+_xlfn.LET(_xlpm.import_amount, VALUE(prodcom_data[[#This Row],[IMPQNT - FR - 2019 - amount]]), IF(ISNUMBER(_xlpm.import_amount), _xlpm.import_amount, 0))</f>
        <v>32594700</v>
      </c>
      <c r="AG33" s="8" t="str">
        <f>IF(NOT(AND(ISNUMBER(VALUE(prodcom_data[[#This Row],[PRODQNT - FR - 2019 - amount]])), ISNUMBER(VALUE(prodcom_data[[#This Row],[IMPQNT - FR - 2019 - amount]])))), "secrets", "")</f>
        <v>secrets</v>
      </c>
      <c r="AH33" s="7">
        <f>_xlfn.LET(_xlpm.production_amount, VALUE(prodcom_data[[#This Row],[PRODQNT - FR - 2022 - amount]]), IF(ISNUMBER(_xlpm.production_amount), _xlpm.production_amount, 0))+_xlfn.LET(_xlpm.import_amount, VALUE(prodcom_data[[#This Row],[IMPQNT - FR - 2022 - amount]]), IF(ISNUMBER(_xlpm.import_amount), _xlpm.import_amount, 0))</f>
        <v>29503864</v>
      </c>
      <c r="AI33" s="8" t="str">
        <f>IF(NOT(AND(ISNUMBER(VALUE(prodcom_data[[#This Row],[PRODQNT - FR - 2022 - amount]])), ISNUMBER(VALUE(prodcom_data[[#This Row],[IMPQNT - FR - 2022 - amount]])))), "secrets", "")</f>
        <v>secrets</v>
      </c>
      <c r="AJ3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0.84828638672183576</v>
      </c>
      <c r="AK33" s="10" t="s">
        <v>2641</v>
      </c>
    </row>
    <row r="34" spans="1:37" x14ac:dyDescent="0.3">
      <c r="A34" s="4" t="s">
        <v>3</v>
      </c>
      <c r="B34" s="4" t="s">
        <v>132</v>
      </c>
      <c r="C34" s="4" t="s">
        <v>133</v>
      </c>
      <c r="D34" s="4" t="s">
        <v>134</v>
      </c>
      <c r="E34" s="5" t="s">
        <v>7</v>
      </c>
      <c r="F34" s="4" t="s">
        <v>1073</v>
      </c>
      <c r="G34" s="5" t="s">
        <v>7</v>
      </c>
      <c r="H34" s="4" t="s">
        <v>1074</v>
      </c>
      <c r="I34" s="5" t="s">
        <v>7</v>
      </c>
      <c r="J34" s="4" t="s">
        <v>74</v>
      </c>
      <c r="K34" s="5" t="s">
        <v>7</v>
      </c>
      <c r="L34" s="4" t="s">
        <v>1075</v>
      </c>
      <c r="M34" s="5" t="s">
        <v>7</v>
      </c>
      <c r="N34" s="4" t="s">
        <v>1076</v>
      </c>
      <c r="O34" s="5" t="s">
        <v>7</v>
      </c>
      <c r="P34" s="4" t="s">
        <v>1077</v>
      </c>
      <c r="Q34" s="5" t="s">
        <v>7</v>
      </c>
      <c r="R34" s="4" t="s">
        <v>713</v>
      </c>
      <c r="S34" s="5" t="s">
        <v>7</v>
      </c>
      <c r="T34" s="4" t="s">
        <v>1078</v>
      </c>
      <c r="U34" s="5" t="s">
        <v>7</v>
      </c>
      <c r="V34" s="4" t="s">
        <v>1079</v>
      </c>
      <c r="W34" s="5" t="s">
        <v>7</v>
      </c>
      <c r="X34" s="4" t="s">
        <v>1080</v>
      </c>
      <c r="Y34" s="5" t="s">
        <v>7</v>
      </c>
      <c r="Z34" s="4" t="s">
        <v>1081</v>
      </c>
      <c r="AA34" s="5" t="s">
        <v>7</v>
      </c>
      <c r="AB3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1922839638</v>
      </c>
      <c r="AC34" s="8" t="str">
        <f>IF(NOT(AND(ISNUMBER(VALUE(prodcom_data[[#This Row],[PRODQNT - EU27_2020 - 2019 - amount]])), ISNUMBER(VALUE(prodcom_data[[#This Row],[IMPQNT - EU27_2020 - 2019 - amount]])))), "secrets", "")</f>
        <v/>
      </c>
      <c r="AD3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1795747967</v>
      </c>
      <c r="AE34" s="8" t="str">
        <f>IF(NOT(AND(ISNUMBER(VALUE(prodcom_data[[#This Row],[PRODQNT - EU27_2020 - 2022 - amount]])), ISNUMBER(VALUE(prodcom_data[[#This Row],[IMPQNT - EU27_2020 - 2022 - amount]])))), "secrets", "")</f>
        <v/>
      </c>
      <c r="AF34" s="7">
        <f>_xlfn.LET(_xlpm.production_amount, VALUE(prodcom_data[[#This Row],[PRODQNT - FR - 2019 - amount]]), IF(ISNUMBER(_xlpm.production_amount), _xlpm.production_amount, 0))+_xlfn.LET(_xlpm.import_amount, VALUE(prodcom_data[[#This Row],[IMPQNT - FR - 2019 - amount]]), IF(ISNUMBER(_xlpm.import_amount), _xlpm.import_amount, 0))</f>
        <v>72581496</v>
      </c>
      <c r="AG34" s="8" t="str">
        <f>IF(NOT(AND(ISNUMBER(VALUE(prodcom_data[[#This Row],[PRODQNT - FR - 2019 - amount]])), ISNUMBER(VALUE(prodcom_data[[#This Row],[IMPQNT - FR - 2019 - amount]])))), "secrets", "")</f>
        <v/>
      </c>
      <c r="AH34" s="7">
        <f>_xlfn.LET(_xlpm.production_amount, VALUE(prodcom_data[[#This Row],[PRODQNT - FR - 2022 - amount]]), IF(ISNUMBER(_xlpm.production_amount), _xlpm.production_amount, 0))+_xlfn.LET(_xlpm.import_amount, VALUE(prodcom_data[[#This Row],[IMPQNT - FR - 2022 - amount]]), IF(ISNUMBER(_xlpm.import_amount), _xlpm.import_amount, 0))</f>
        <v>71592516</v>
      </c>
      <c r="AI34" s="8" t="str">
        <f>IF(NOT(AND(ISNUMBER(VALUE(prodcom_data[[#This Row],[PRODQNT - FR - 2022 - amount]])), ISNUMBER(VALUE(prodcom_data[[#This Row],[IMPQNT - FR - 2022 - amount]])))), "secrets", "")</f>
        <v/>
      </c>
      <c r="AJ3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0.55687101886052137</v>
      </c>
      <c r="AK34" s="10" t="s">
        <v>2642</v>
      </c>
    </row>
    <row r="35" spans="1:37" hidden="1" x14ac:dyDescent="0.3">
      <c r="A35" s="4" t="s">
        <v>3</v>
      </c>
      <c r="B35" s="4" t="s">
        <v>584</v>
      </c>
      <c r="C35" s="4" t="s">
        <v>585</v>
      </c>
      <c r="D35" s="4" t="s">
        <v>586</v>
      </c>
      <c r="E35" s="5" t="s">
        <v>7</v>
      </c>
      <c r="F35" s="4" t="s">
        <v>2319</v>
      </c>
      <c r="G35" s="5" t="s">
        <v>7</v>
      </c>
      <c r="H35" s="4" t="s">
        <v>2320</v>
      </c>
      <c r="I35" s="5" t="s">
        <v>7</v>
      </c>
      <c r="J35" s="4" t="s">
        <v>2321</v>
      </c>
      <c r="K35" s="5" t="s">
        <v>7</v>
      </c>
      <c r="L35" s="4" t="s">
        <v>2322</v>
      </c>
      <c r="M35" s="5" t="s">
        <v>7</v>
      </c>
      <c r="N35" s="4" t="s">
        <v>2323</v>
      </c>
      <c r="O35" s="5" t="s">
        <v>7</v>
      </c>
      <c r="P35" s="4" t="s">
        <v>2324</v>
      </c>
      <c r="Q35" s="5" t="s">
        <v>7</v>
      </c>
      <c r="R35" s="4" t="s">
        <v>2325</v>
      </c>
      <c r="S35" s="5" t="s">
        <v>7</v>
      </c>
      <c r="T35" s="4" t="s">
        <v>2326</v>
      </c>
      <c r="U35" s="5" t="s">
        <v>7</v>
      </c>
      <c r="V35" s="4" t="s">
        <v>2611</v>
      </c>
      <c r="W35" s="5" t="s">
        <v>7</v>
      </c>
      <c r="X35" s="4" t="s">
        <v>2327</v>
      </c>
      <c r="Y35" s="5" t="s">
        <v>7</v>
      </c>
      <c r="Z35" s="4" t="s">
        <v>2328</v>
      </c>
      <c r="AA35" s="5" t="s">
        <v>7</v>
      </c>
      <c r="AB3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2193886907</v>
      </c>
      <c r="AC35" s="8" t="str">
        <f>IF(NOT(AND(ISNUMBER(VALUE(prodcom_data[[#This Row],[PRODQNT - EU27_2020 - 2019 - amount]])), ISNUMBER(VALUE(prodcom_data[[#This Row],[IMPQNT - EU27_2020 - 2019 - amount]])))), "secrets", "")</f>
        <v/>
      </c>
      <c r="AD3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1687297446</v>
      </c>
      <c r="AE35" s="8" t="str">
        <f>IF(NOT(AND(ISNUMBER(VALUE(prodcom_data[[#This Row],[PRODQNT - EU27_2020 - 2022 - amount]])), ISNUMBER(VALUE(prodcom_data[[#This Row],[IMPQNT - EU27_2020 - 2022 - amount]])))), "secrets", "")</f>
        <v/>
      </c>
      <c r="AF35" s="7">
        <f>_xlfn.LET(_xlpm.production_amount, VALUE(prodcom_data[[#This Row],[PRODQNT - FR - 2019 - amount]]), IF(ISNUMBER(_xlpm.production_amount), _xlpm.production_amount, 0))+_xlfn.LET(_xlpm.import_amount, VALUE(prodcom_data[[#This Row],[IMPQNT - FR - 2019 - amount]]), IF(ISNUMBER(_xlpm.import_amount), _xlpm.import_amount, 0))</f>
        <v>305492042</v>
      </c>
      <c r="AG35" s="8" t="str">
        <f>IF(NOT(AND(ISNUMBER(VALUE(prodcom_data[[#This Row],[PRODQNT - FR - 2019 - amount]])), ISNUMBER(VALUE(prodcom_data[[#This Row],[IMPQNT - FR - 2019 - amount]])))), "secrets", "")</f>
        <v/>
      </c>
      <c r="AH35" s="7">
        <f>_xlfn.LET(_xlpm.production_amount, VALUE(prodcom_data[[#This Row],[PRODQNT - FR - 2022 - amount]]), IF(ISNUMBER(_xlpm.production_amount), _xlpm.production_amount, 0))+_xlfn.LET(_xlpm.import_amount, VALUE(prodcom_data[[#This Row],[IMPQNT - FR - 2022 - amount]]), IF(ISNUMBER(_xlpm.import_amount), _xlpm.import_amount, 0))</f>
        <v>138464527</v>
      </c>
      <c r="AI35" s="8" t="str">
        <f>IF(NOT(AND(ISNUMBER(VALUE(prodcom_data[[#This Row],[PRODQNT - FR - 2022 - amount]])), ISNUMBER(VALUE(prodcom_data[[#This Row],[IMPQNT - FR - 2022 - amount]])))), "secrets", "")</f>
        <v>secrets</v>
      </c>
      <c r="AJ3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0.84592847893162759</v>
      </c>
      <c r="AK35" s="10" t="s">
        <v>2641</v>
      </c>
    </row>
    <row r="36" spans="1:37" hidden="1" x14ac:dyDescent="0.3">
      <c r="A36" s="4" t="s">
        <v>3</v>
      </c>
      <c r="B36" s="4" t="s">
        <v>611</v>
      </c>
      <c r="C36" s="4" t="s">
        <v>612</v>
      </c>
      <c r="D36" s="4" t="s">
        <v>613</v>
      </c>
      <c r="E36" s="5" t="s">
        <v>7</v>
      </c>
      <c r="F36" s="4" t="s">
        <v>2406</v>
      </c>
      <c r="G36" s="5" t="s">
        <v>7</v>
      </c>
      <c r="H36" s="4" t="s">
        <v>2407</v>
      </c>
      <c r="I36" s="5" t="s">
        <v>7</v>
      </c>
      <c r="J36" s="4" t="s">
        <v>2408</v>
      </c>
      <c r="K36" s="5" t="s">
        <v>7</v>
      </c>
      <c r="L36" s="4" t="s">
        <v>2409</v>
      </c>
      <c r="M36" s="5" t="s">
        <v>7</v>
      </c>
      <c r="N36" s="4" t="s">
        <v>2410</v>
      </c>
      <c r="O36" s="5" t="s">
        <v>7</v>
      </c>
      <c r="P36" s="4" t="s">
        <v>2411</v>
      </c>
      <c r="Q36" s="5" t="s">
        <v>7</v>
      </c>
      <c r="R36" s="4" t="s">
        <v>2412</v>
      </c>
      <c r="S36" s="5" t="s">
        <v>7</v>
      </c>
      <c r="T36" s="4" t="s">
        <v>2413</v>
      </c>
      <c r="U36" s="5" t="s">
        <v>7</v>
      </c>
      <c r="V36" s="4" t="s">
        <v>2611</v>
      </c>
      <c r="W36" s="5" t="s">
        <v>7</v>
      </c>
      <c r="X36" s="4" t="s">
        <v>2414</v>
      </c>
      <c r="Y36" s="5" t="s">
        <v>7</v>
      </c>
      <c r="Z36" s="4" t="s">
        <v>2415</v>
      </c>
      <c r="AA36" s="5" t="s">
        <v>7</v>
      </c>
      <c r="AB3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1754627999</v>
      </c>
      <c r="AC36" s="8" t="str">
        <f>IF(NOT(AND(ISNUMBER(VALUE(prodcom_data[[#This Row],[PRODQNT - EU27_2020 - 2019 - amount]])), ISNUMBER(VALUE(prodcom_data[[#This Row],[IMPQNT - EU27_2020 - 2019 - amount]])))), "secrets", "")</f>
        <v/>
      </c>
      <c r="AD3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1673507934</v>
      </c>
      <c r="AE36" s="8" t="str">
        <f>IF(NOT(AND(ISNUMBER(VALUE(prodcom_data[[#This Row],[PRODQNT - EU27_2020 - 2022 - amount]])), ISNUMBER(VALUE(prodcom_data[[#This Row],[IMPQNT - EU27_2020 - 2022 - amount]])))), "secrets", "")</f>
        <v/>
      </c>
      <c r="AF36" s="7">
        <f>_xlfn.LET(_xlpm.production_amount, VALUE(prodcom_data[[#This Row],[PRODQNT - FR - 2019 - amount]]), IF(ISNUMBER(_xlpm.production_amount), _xlpm.production_amount, 0))+_xlfn.LET(_xlpm.import_amount, VALUE(prodcom_data[[#This Row],[IMPQNT - FR - 2019 - amount]]), IF(ISNUMBER(_xlpm.import_amount), _xlpm.import_amount, 0))</f>
        <v>149290168</v>
      </c>
      <c r="AG36" s="8" t="str">
        <f>IF(NOT(AND(ISNUMBER(VALUE(prodcom_data[[#This Row],[PRODQNT - FR - 2019 - amount]])), ISNUMBER(VALUE(prodcom_data[[#This Row],[IMPQNT - FR - 2019 - amount]])))), "secrets", "")</f>
        <v/>
      </c>
      <c r="AH36" s="7">
        <f>_xlfn.LET(_xlpm.production_amount, VALUE(prodcom_data[[#This Row],[PRODQNT - FR - 2022 - amount]]), IF(ISNUMBER(_xlpm.production_amount), _xlpm.production_amount, 0))+_xlfn.LET(_xlpm.import_amount, VALUE(prodcom_data[[#This Row],[IMPQNT - FR - 2022 - amount]]), IF(ISNUMBER(_xlpm.import_amount), _xlpm.import_amount, 0))</f>
        <v>158234682</v>
      </c>
      <c r="AI36" s="8" t="str">
        <f>IF(NOT(AND(ISNUMBER(VALUE(prodcom_data[[#This Row],[PRODQNT - FR - 2022 - amount]])), ISNUMBER(VALUE(prodcom_data[[#This Row],[IMPQNT - FR - 2022 - amount]])))), "secrets", "")</f>
        <v>secrets</v>
      </c>
      <c r="AJ3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0.72633337392949582</v>
      </c>
      <c r="AK36" s="10" t="s">
        <v>2641</v>
      </c>
    </row>
    <row r="37" spans="1:37" x14ac:dyDescent="0.3">
      <c r="A37" s="4" t="s">
        <v>3</v>
      </c>
      <c r="B37" s="4" t="s">
        <v>476</v>
      </c>
      <c r="C37" s="4" t="s">
        <v>477</v>
      </c>
      <c r="D37" s="4" t="s">
        <v>478</v>
      </c>
      <c r="E37" s="5" t="s">
        <v>7</v>
      </c>
      <c r="F37" s="4" t="s">
        <v>1999</v>
      </c>
      <c r="G37" s="5" t="s">
        <v>7</v>
      </c>
      <c r="H37" s="4" t="s">
        <v>2000</v>
      </c>
      <c r="I37" s="5" t="s">
        <v>7</v>
      </c>
      <c r="J37" s="4" t="s">
        <v>2001</v>
      </c>
      <c r="K37" s="5" t="s">
        <v>7</v>
      </c>
      <c r="L37" s="4" t="s">
        <v>2002</v>
      </c>
      <c r="M37" s="5" t="s">
        <v>7</v>
      </c>
      <c r="N37" s="4" t="s">
        <v>2003</v>
      </c>
      <c r="O37" s="5" t="s">
        <v>7</v>
      </c>
      <c r="P37" s="4" t="s">
        <v>703</v>
      </c>
      <c r="Q37" s="5" t="s">
        <v>703</v>
      </c>
      <c r="R37" s="4" t="s">
        <v>2004</v>
      </c>
      <c r="S37" s="5" t="s">
        <v>7</v>
      </c>
      <c r="T37" s="4" t="s">
        <v>2005</v>
      </c>
      <c r="U37" s="5" t="s">
        <v>7</v>
      </c>
      <c r="V37" s="4" t="s">
        <v>703</v>
      </c>
      <c r="W37" s="5" t="s">
        <v>703</v>
      </c>
      <c r="X37" s="4" t="s">
        <v>2006</v>
      </c>
      <c r="Y37" s="5" t="s">
        <v>7</v>
      </c>
      <c r="Z37" s="4" t="s">
        <v>2007</v>
      </c>
      <c r="AA37" s="5" t="s">
        <v>7</v>
      </c>
      <c r="AB3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1712772337</v>
      </c>
      <c r="AC37" s="8" t="str">
        <f>IF(NOT(AND(ISNUMBER(VALUE(prodcom_data[[#This Row],[PRODQNT - EU27_2020 - 2019 - amount]])), ISNUMBER(VALUE(prodcom_data[[#This Row],[IMPQNT - EU27_2020 - 2019 - amount]])))), "secrets", "")</f>
        <v/>
      </c>
      <c r="AD3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1650938177</v>
      </c>
      <c r="AE37" s="8" t="str">
        <f>IF(NOT(AND(ISNUMBER(VALUE(prodcom_data[[#This Row],[PRODQNT - EU27_2020 - 2022 - amount]])), ISNUMBER(VALUE(prodcom_data[[#This Row],[IMPQNT - EU27_2020 - 2022 - amount]])))), "secrets", "")</f>
        <v/>
      </c>
      <c r="AF37" s="7">
        <f>_xlfn.LET(_xlpm.production_amount, VALUE(prodcom_data[[#This Row],[PRODQNT - FR - 2019 - amount]]), IF(ISNUMBER(_xlpm.production_amount), _xlpm.production_amount, 0))+_xlfn.LET(_xlpm.import_amount, VALUE(prodcom_data[[#This Row],[IMPQNT - FR - 2019 - amount]]), IF(ISNUMBER(_xlpm.import_amount), _xlpm.import_amount, 0))</f>
        <v>6819600</v>
      </c>
      <c r="AG37" s="8" t="str">
        <f>IF(NOT(AND(ISNUMBER(VALUE(prodcom_data[[#This Row],[PRODQNT - FR - 2019 - amount]])), ISNUMBER(VALUE(prodcom_data[[#This Row],[IMPQNT - FR - 2019 - amount]])))), "secrets", "")</f>
        <v>secrets</v>
      </c>
      <c r="AH37" s="7">
        <f>_xlfn.LET(_xlpm.production_amount, VALUE(prodcom_data[[#This Row],[PRODQNT - FR - 2022 - amount]]), IF(ISNUMBER(_xlpm.production_amount), _xlpm.production_amount, 0))+_xlfn.LET(_xlpm.import_amount, VALUE(prodcom_data[[#This Row],[IMPQNT - FR - 2022 - amount]]), IF(ISNUMBER(_xlpm.import_amount), _xlpm.import_amount, 0))</f>
        <v>5925985</v>
      </c>
      <c r="AI37" s="8" t="str">
        <f>IF(NOT(AND(ISNUMBER(VALUE(prodcom_data[[#This Row],[PRODQNT - FR - 2022 - amount]])), ISNUMBER(VALUE(prodcom_data[[#This Row],[IMPQNT - FR - 2022 - amount]])))), "secrets", "")</f>
        <v>secrets</v>
      </c>
      <c r="AJ3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0.98168669522505081</v>
      </c>
      <c r="AK37" s="10" t="s">
        <v>2642</v>
      </c>
    </row>
    <row r="38" spans="1:37" hidden="1" x14ac:dyDescent="0.3">
      <c r="A38" s="4" t="s">
        <v>3</v>
      </c>
      <c r="B38" s="4" t="s">
        <v>646</v>
      </c>
      <c r="C38" s="4" t="s">
        <v>647</v>
      </c>
      <c r="D38" s="4" t="s">
        <v>648</v>
      </c>
      <c r="E38" s="5" t="s">
        <v>7</v>
      </c>
      <c r="F38" s="4" t="s">
        <v>2520</v>
      </c>
      <c r="G38" s="5" t="s">
        <v>7</v>
      </c>
      <c r="H38" s="4" t="s">
        <v>2521</v>
      </c>
      <c r="I38" s="5" t="s">
        <v>7</v>
      </c>
      <c r="J38" s="4" t="s">
        <v>2522</v>
      </c>
      <c r="K38" s="5" t="s">
        <v>7</v>
      </c>
      <c r="L38" s="4" t="s">
        <v>2523</v>
      </c>
      <c r="M38" s="5" t="s">
        <v>7</v>
      </c>
      <c r="N38" s="4" t="s">
        <v>2524</v>
      </c>
      <c r="O38" s="5" t="s">
        <v>7</v>
      </c>
      <c r="P38" s="4" t="s">
        <v>2525</v>
      </c>
      <c r="Q38" s="5" t="s">
        <v>7</v>
      </c>
      <c r="R38" s="4" t="s">
        <v>2526</v>
      </c>
      <c r="S38" s="5" t="s">
        <v>7</v>
      </c>
      <c r="T38" s="4" t="s">
        <v>2527</v>
      </c>
      <c r="U38" s="5" t="s">
        <v>7</v>
      </c>
      <c r="V38" s="4" t="s">
        <v>2611</v>
      </c>
      <c r="W38" s="5" t="s">
        <v>7</v>
      </c>
      <c r="X38" s="4" t="s">
        <v>2528</v>
      </c>
      <c r="Y38" s="5" t="s">
        <v>7</v>
      </c>
      <c r="Z38" s="4" t="s">
        <v>2529</v>
      </c>
      <c r="AA38" s="5" t="s">
        <v>7</v>
      </c>
      <c r="AB3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1472882533</v>
      </c>
      <c r="AC38" s="8" t="str">
        <f>IF(NOT(AND(ISNUMBER(VALUE(prodcom_data[[#This Row],[PRODQNT - EU27_2020 - 2019 - amount]])), ISNUMBER(VALUE(prodcom_data[[#This Row],[IMPQNT - EU27_2020 - 2019 - amount]])))), "secrets", "")</f>
        <v/>
      </c>
      <c r="AD3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1600318444</v>
      </c>
      <c r="AE38" s="8" t="str">
        <f>IF(NOT(AND(ISNUMBER(VALUE(prodcom_data[[#This Row],[PRODQNT - EU27_2020 - 2022 - amount]])), ISNUMBER(VALUE(prodcom_data[[#This Row],[IMPQNT - EU27_2020 - 2022 - amount]])))), "secrets", "")</f>
        <v/>
      </c>
      <c r="AF38" s="7">
        <f>_xlfn.LET(_xlpm.production_amount, VALUE(prodcom_data[[#This Row],[PRODQNT - FR - 2019 - amount]]), IF(ISNUMBER(_xlpm.production_amount), _xlpm.production_amount, 0))+_xlfn.LET(_xlpm.import_amount, VALUE(prodcom_data[[#This Row],[IMPQNT - FR - 2019 - amount]]), IF(ISNUMBER(_xlpm.import_amount), _xlpm.import_amount, 0))</f>
        <v>132265850</v>
      </c>
      <c r="AG38" s="8" t="str">
        <f>IF(NOT(AND(ISNUMBER(VALUE(prodcom_data[[#This Row],[PRODQNT - FR - 2019 - amount]])), ISNUMBER(VALUE(prodcom_data[[#This Row],[IMPQNT - FR - 2019 - amount]])))), "secrets", "")</f>
        <v/>
      </c>
      <c r="AH38" s="7">
        <f>_xlfn.LET(_xlpm.production_amount, VALUE(prodcom_data[[#This Row],[PRODQNT - FR - 2022 - amount]]), IF(ISNUMBER(_xlpm.production_amount), _xlpm.production_amount, 0))+_xlfn.LET(_xlpm.import_amount, VALUE(prodcom_data[[#This Row],[IMPQNT - FR - 2022 - amount]]), IF(ISNUMBER(_xlpm.import_amount), _xlpm.import_amount, 0))</f>
        <v>145231744</v>
      </c>
      <c r="AI38" s="8" t="str">
        <f>IF(NOT(AND(ISNUMBER(VALUE(prodcom_data[[#This Row],[PRODQNT - FR - 2022 - amount]])), ISNUMBER(VALUE(prodcom_data[[#This Row],[IMPQNT - FR - 2022 - amount]])))), "secrets", "")</f>
        <v>secrets</v>
      </c>
      <c r="AJ3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0.83863209227625446</v>
      </c>
      <c r="AK38" s="10" t="s">
        <v>2641</v>
      </c>
    </row>
    <row r="39" spans="1:37" x14ac:dyDescent="0.3">
      <c r="A39" s="4" t="s">
        <v>3</v>
      </c>
      <c r="B39" s="4" t="s">
        <v>551</v>
      </c>
      <c r="C39" s="4" t="s">
        <v>552</v>
      </c>
      <c r="D39" s="4" t="s">
        <v>553</v>
      </c>
      <c r="E39" s="5" t="s">
        <v>7</v>
      </c>
      <c r="F39" s="4" t="s">
        <v>2212</v>
      </c>
      <c r="G39" s="5" t="s">
        <v>7</v>
      </c>
      <c r="H39" s="4" t="s">
        <v>2213</v>
      </c>
      <c r="I39" s="5" t="s">
        <v>7</v>
      </c>
      <c r="J39" s="4" t="s">
        <v>2214</v>
      </c>
      <c r="K39" s="5" t="s">
        <v>7</v>
      </c>
      <c r="L39" s="4" t="s">
        <v>2215</v>
      </c>
      <c r="M39" s="5" t="s">
        <v>7</v>
      </c>
      <c r="N39" s="4" t="s">
        <v>2216</v>
      </c>
      <c r="O39" s="5" t="s">
        <v>7</v>
      </c>
      <c r="P39" s="4" t="s">
        <v>2217</v>
      </c>
      <c r="Q39" s="5" t="s">
        <v>7</v>
      </c>
      <c r="R39" s="4" t="s">
        <v>2218</v>
      </c>
      <c r="S39" s="5" t="s">
        <v>7</v>
      </c>
      <c r="T39" s="4" t="s">
        <v>2219</v>
      </c>
      <c r="U39" s="5" t="s">
        <v>7</v>
      </c>
      <c r="V39" s="4" t="s">
        <v>2220</v>
      </c>
      <c r="W39" s="5" t="s">
        <v>7</v>
      </c>
      <c r="X39" s="4" t="s">
        <v>2221</v>
      </c>
      <c r="Y39" s="5" t="s">
        <v>7</v>
      </c>
      <c r="Z39" s="4" t="s">
        <v>2222</v>
      </c>
      <c r="AA39" s="5" t="s">
        <v>7</v>
      </c>
      <c r="AB3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1937142969</v>
      </c>
      <c r="AC39" s="8" t="str">
        <f>IF(NOT(AND(ISNUMBER(VALUE(prodcom_data[[#This Row],[PRODQNT - EU27_2020 - 2019 - amount]])), ISNUMBER(VALUE(prodcom_data[[#This Row],[IMPQNT - EU27_2020 - 2019 - amount]])))), "secrets", "")</f>
        <v/>
      </c>
      <c r="AD3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1592476459</v>
      </c>
      <c r="AE39" s="8" t="str">
        <f>IF(NOT(AND(ISNUMBER(VALUE(prodcom_data[[#This Row],[PRODQNT - EU27_2020 - 2022 - amount]])), ISNUMBER(VALUE(prodcom_data[[#This Row],[IMPQNT - EU27_2020 - 2022 - amount]])))), "secrets", "")</f>
        <v/>
      </c>
      <c r="AF39" s="7">
        <f>_xlfn.LET(_xlpm.production_amount, VALUE(prodcom_data[[#This Row],[PRODQNT - FR - 2019 - amount]]), IF(ISNUMBER(_xlpm.production_amount), _xlpm.production_amount, 0))+_xlfn.LET(_xlpm.import_amount, VALUE(prodcom_data[[#This Row],[IMPQNT - FR - 2019 - amount]]), IF(ISNUMBER(_xlpm.import_amount), _xlpm.import_amount, 0))</f>
        <v>499507980</v>
      </c>
      <c r="AG39" s="8" t="str">
        <f>IF(NOT(AND(ISNUMBER(VALUE(prodcom_data[[#This Row],[PRODQNT - FR - 2019 - amount]])), ISNUMBER(VALUE(prodcom_data[[#This Row],[IMPQNT - FR - 2019 - amount]])))), "secrets", "")</f>
        <v/>
      </c>
      <c r="AH39" s="7">
        <f>_xlfn.LET(_xlpm.production_amount, VALUE(prodcom_data[[#This Row],[PRODQNT - FR - 2022 - amount]]), IF(ISNUMBER(_xlpm.production_amount), _xlpm.production_amount, 0))+_xlfn.LET(_xlpm.import_amount, VALUE(prodcom_data[[#This Row],[IMPQNT - FR - 2022 - amount]]), IF(ISNUMBER(_xlpm.import_amount), _xlpm.import_amount, 0))</f>
        <v>420275824</v>
      </c>
      <c r="AI39" s="8" t="str">
        <f>IF(NOT(AND(ISNUMBER(VALUE(prodcom_data[[#This Row],[PRODQNT - FR - 2022 - amount]])), ISNUMBER(VALUE(prodcom_data[[#This Row],[IMPQNT - FR - 2022 - amount]])))), "secrets", "")</f>
        <v/>
      </c>
      <c r="AJ3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0.93163807390386044</v>
      </c>
      <c r="AK39" s="10" t="s">
        <v>2642</v>
      </c>
    </row>
    <row r="40" spans="1:37" hidden="1" x14ac:dyDescent="0.3">
      <c r="A40" s="4" t="s">
        <v>3</v>
      </c>
      <c r="B40" s="4" t="s">
        <v>189</v>
      </c>
      <c r="C40" s="4" t="s">
        <v>190</v>
      </c>
      <c r="D40" s="4" t="s">
        <v>191</v>
      </c>
      <c r="E40" s="5" t="s">
        <v>7</v>
      </c>
      <c r="F40" s="4" t="s">
        <v>1239</v>
      </c>
      <c r="G40" s="5" t="s">
        <v>7</v>
      </c>
      <c r="H40" s="4" t="s">
        <v>1240</v>
      </c>
      <c r="I40" s="5" t="s">
        <v>7</v>
      </c>
      <c r="J40" s="4" t="s">
        <v>1241</v>
      </c>
      <c r="K40" s="5" t="s">
        <v>7</v>
      </c>
      <c r="L40" s="4" t="s">
        <v>1242</v>
      </c>
      <c r="M40" s="5" t="s">
        <v>7</v>
      </c>
      <c r="N40" s="4" t="s">
        <v>1243</v>
      </c>
      <c r="O40" s="5" t="s">
        <v>7</v>
      </c>
      <c r="P40" s="4" t="s">
        <v>1244</v>
      </c>
      <c r="Q40" s="5" t="s">
        <v>7</v>
      </c>
      <c r="R40" s="4" t="s">
        <v>713</v>
      </c>
      <c r="S40" s="5" t="s">
        <v>7</v>
      </c>
      <c r="T40" s="4" t="s">
        <v>1245</v>
      </c>
      <c r="U40" s="5" t="s">
        <v>7</v>
      </c>
      <c r="V40" s="4" t="s">
        <v>2611</v>
      </c>
      <c r="W40" s="5" t="s">
        <v>7</v>
      </c>
      <c r="X40" s="4" t="s">
        <v>1246</v>
      </c>
      <c r="Y40" s="5" t="s">
        <v>7</v>
      </c>
      <c r="Z40" s="4" t="s">
        <v>1247</v>
      </c>
      <c r="AA40" s="5" t="s">
        <v>7</v>
      </c>
      <c r="AB4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1444646824</v>
      </c>
      <c r="AC40" s="8" t="str">
        <f>IF(NOT(AND(ISNUMBER(VALUE(prodcom_data[[#This Row],[PRODQNT - EU27_2020 - 2019 - amount]])), ISNUMBER(VALUE(prodcom_data[[#This Row],[IMPQNT - EU27_2020 - 2019 - amount]])))), "secrets", "")</f>
        <v/>
      </c>
      <c r="AD4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1301258544</v>
      </c>
      <c r="AE40" s="8" t="str">
        <f>IF(NOT(AND(ISNUMBER(VALUE(prodcom_data[[#This Row],[PRODQNT - EU27_2020 - 2022 - amount]])), ISNUMBER(VALUE(prodcom_data[[#This Row],[IMPQNT - EU27_2020 - 2022 - amount]])))), "secrets", "")</f>
        <v/>
      </c>
      <c r="AF40" s="7">
        <f>_xlfn.LET(_xlpm.production_amount, VALUE(prodcom_data[[#This Row],[PRODQNT - FR - 2019 - amount]]), IF(ISNUMBER(_xlpm.production_amount), _xlpm.production_amount, 0))+_xlfn.LET(_xlpm.import_amount, VALUE(prodcom_data[[#This Row],[IMPQNT - FR - 2019 - amount]]), IF(ISNUMBER(_xlpm.import_amount), _xlpm.import_amount, 0))</f>
        <v>84852752</v>
      </c>
      <c r="AG40" s="8" t="str">
        <f>IF(NOT(AND(ISNUMBER(VALUE(prodcom_data[[#This Row],[PRODQNT - FR - 2019 - amount]])), ISNUMBER(VALUE(prodcom_data[[#This Row],[IMPQNT - FR - 2019 - amount]])))), "secrets", "")</f>
        <v/>
      </c>
      <c r="AH40" s="7">
        <f>_xlfn.LET(_xlpm.production_amount, VALUE(prodcom_data[[#This Row],[PRODQNT - FR - 2022 - amount]]), IF(ISNUMBER(_xlpm.production_amount), _xlpm.production_amount, 0))+_xlfn.LET(_xlpm.import_amount, VALUE(prodcom_data[[#This Row],[IMPQNT - FR - 2022 - amount]]), IF(ISNUMBER(_xlpm.import_amount), _xlpm.import_amount, 0))</f>
        <v>75696535</v>
      </c>
      <c r="AI40" s="8" t="str">
        <f>IF(NOT(AND(ISNUMBER(VALUE(prodcom_data[[#This Row],[PRODQNT - FR - 2022 - amount]])), ISNUMBER(VALUE(prodcom_data[[#This Row],[IMPQNT - FR - 2022 - amount]])))), "secrets", "")</f>
        <v>secrets</v>
      </c>
      <c r="AJ4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0.41122958882181987</v>
      </c>
      <c r="AK40" s="10" t="s">
        <v>2641</v>
      </c>
    </row>
    <row r="41" spans="1:37" hidden="1" x14ac:dyDescent="0.3">
      <c r="A41" s="4" t="s">
        <v>3</v>
      </c>
      <c r="B41" s="4" t="s">
        <v>528</v>
      </c>
      <c r="C41" s="4" t="s">
        <v>529</v>
      </c>
      <c r="D41" s="4" t="s">
        <v>2630</v>
      </c>
      <c r="E41" s="5" t="s">
        <v>7</v>
      </c>
      <c r="F41" s="4" t="s">
        <v>2631</v>
      </c>
      <c r="G41" s="5" t="s">
        <v>7</v>
      </c>
      <c r="H41" s="4" t="s">
        <v>2632</v>
      </c>
      <c r="I41" s="5" t="s">
        <v>7</v>
      </c>
      <c r="J41" s="4" t="s">
        <v>2633</v>
      </c>
      <c r="K41" s="5" t="s">
        <v>7</v>
      </c>
      <c r="L41" s="4" t="s">
        <v>2634</v>
      </c>
      <c r="M41" s="5" t="s">
        <v>7</v>
      </c>
      <c r="N41" s="4" t="s">
        <v>2635</v>
      </c>
      <c r="O41" s="5" t="s">
        <v>7</v>
      </c>
      <c r="P41" s="4" t="s">
        <v>2636</v>
      </c>
      <c r="Q41" s="5" t="s">
        <v>7</v>
      </c>
      <c r="R41" s="4" t="s">
        <v>2637</v>
      </c>
      <c r="S41" s="5" t="s">
        <v>7</v>
      </c>
      <c r="T41" s="4" t="s">
        <v>2638</v>
      </c>
      <c r="U41" s="5" t="s">
        <v>7</v>
      </c>
      <c r="V41" s="4" t="s">
        <v>2611</v>
      </c>
      <c r="W41" s="5" t="s">
        <v>527</v>
      </c>
      <c r="X41" s="4" t="s">
        <v>2639</v>
      </c>
      <c r="Y41" s="5" t="s">
        <v>7</v>
      </c>
      <c r="Z41" s="4" t="s">
        <v>2640</v>
      </c>
      <c r="AA41" s="5" t="s">
        <v>7</v>
      </c>
      <c r="AB4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1085521819.0799999</v>
      </c>
      <c r="AC41" s="8" t="str">
        <f>IF(NOT(AND(ISNUMBER(VALUE(prodcom_data[[#This Row],[PRODQNT - EU27_2020 - 2019 - amount]])), ISNUMBER(VALUE(prodcom_data[[#This Row],[IMPQNT - EU27_2020 - 2019 - amount]])))), "secrets", "")</f>
        <v/>
      </c>
      <c r="AD4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1245534127.6199999</v>
      </c>
      <c r="AE41" s="8" t="str">
        <f>IF(NOT(AND(ISNUMBER(VALUE(prodcom_data[[#This Row],[PRODQNT - EU27_2020 - 2022 - amount]])), ISNUMBER(VALUE(prodcom_data[[#This Row],[IMPQNT - EU27_2020 - 2022 - amount]])))), "secrets", "")</f>
        <v/>
      </c>
      <c r="AF41" s="7">
        <f>_xlfn.LET(_xlpm.production_amount, VALUE(prodcom_data[[#This Row],[PRODQNT - FR - 2019 - amount]]), IF(ISNUMBER(_xlpm.production_amount), _xlpm.production_amount, 0))+_xlfn.LET(_xlpm.import_amount, VALUE(prodcom_data[[#This Row],[IMPQNT - FR - 2019 - amount]]), IF(ISNUMBER(_xlpm.import_amount), _xlpm.import_amount, 0))</f>
        <v>131337169.78</v>
      </c>
      <c r="AG41" s="8" t="str">
        <f>IF(NOT(AND(ISNUMBER(VALUE(prodcom_data[[#This Row],[PRODQNT - FR - 2019 - amount]])), ISNUMBER(VALUE(prodcom_data[[#This Row],[IMPQNT - FR - 2019 - amount]])))), "secrets", "")</f>
        <v/>
      </c>
      <c r="AH41" s="7">
        <f>_xlfn.LET(_xlpm.production_amount, VALUE(prodcom_data[[#This Row],[PRODQNT - FR - 2022 - amount]]), IF(ISNUMBER(_xlpm.production_amount), _xlpm.production_amount, 0))+_xlfn.LET(_xlpm.import_amount, VALUE(prodcom_data[[#This Row],[IMPQNT - FR - 2022 - amount]]), IF(ISNUMBER(_xlpm.import_amount), _xlpm.import_amount, 0))</f>
        <v>16436384.5</v>
      </c>
      <c r="AI41" s="8" t="str">
        <f>IF(NOT(AND(ISNUMBER(VALUE(prodcom_data[[#This Row],[PRODQNT - FR - 2022 - amount]])), ISNUMBER(VALUE(prodcom_data[[#This Row],[IMPQNT - FR - 2022 - amount]])))), "secrets", "")</f>
        <v>secrets</v>
      </c>
      <c r="AJ4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0.64695136177420065</v>
      </c>
      <c r="AK41" s="10" t="s">
        <v>2649</v>
      </c>
    </row>
    <row r="42" spans="1:37" hidden="1" x14ac:dyDescent="0.3">
      <c r="A42" s="4" t="s">
        <v>3</v>
      </c>
      <c r="B42" s="4" t="s">
        <v>25</v>
      </c>
      <c r="C42" s="4" t="s">
        <v>26</v>
      </c>
      <c r="D42" s="4" t="s">
        <v>27</v>
      </c>
      <c r="E42" s="5" t="s">
        <v>7</v>
      </c>
      <c r="F42" s="4" t="s">
        <v>758</v>
      </c>
      <c r="G42" s="5" t="s">
        <v>7</v>
      </c>
      <c r="H42" s="4" t="s">
        <v>759</v>
      </c>
      <c r="I42" s="5" t="s">
        <v>7</v>
      </c>
      <c r="J42" s="4" t="s">
        <v>760</v>
      </c>
      <c r="K42" s="5" t="s">
        <v>7</v>
      </c>
      <c r="L42" s="4" t="s">
        <v>761</v>
      </c>
      <c r="M42" s="5" t="s">
        <v>7</v>
      </c>
      <c r="N42" s="4" t="s">
        <v>762</v>
      </c>
      <c r="O42" s="5" t="s">
        <v>7</v>
      </c>
      <c r="P42" s="4" t="s">
        <v>2611</v>
      </c>
      <c r="Q42" s="5" t="s">
        <v>7</v>
      </c>
      <c r="R42" s="4" t="s">
        <v>763</v>
      </c>
      <c r="S42" s="5" t="s">
        <v>7</v>
      </c>
      <c r="T42" s="4" t="s">
        <v>764</v>
      </c>
      <c r="U42" s="5" t="s">
        <v>7</v>
      </c>
      <c r="V42" s="4" t="s">
        <v>765</v>
      </c>
      <c r="W42" s="5" t="s">
        <v>7</v>
      </c>
      <c r="X42" s="4" t="s">
        <v>766</v>
      </c>
      <c r="Y42" s="5" t="s">
        <v>7</v>
      </c>
      <c r="Z42" s="4" t="s">
        <v>767</v>
      </c>
      <c r="AA42" s="5" t="s">
        <v>7</v>
      </c>
      <c r="AB4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1295921893</v>
      </c>
      <c r="AC42" s="8" t="str">
        <f>IF(NOT(AND(ISNUMBER(VALUE(prodcom_data[[#This Row],[PRODQNT - EU27_2020 - 2019 - amount]])), ISNUMBER(VALUE(prodcom_data[[#This Row],[IMPQNT - EU27_2020 - 2019 - amount]])))), "secrets", "")</f>
        <v/>
      </c>
      <c r="AD4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1229022480</v>
      </c>
      <c r="AE42" s="8" t="str">
        <f>IF(NOT(AND(ISNUMBER(VALUE(prodcom_data[[#This Row],[PRODQNT - EU27_2020 - 2022 - amount]])), ISNUMBER(VALUE(prodcom_data[[#This Row],[IMPQNT - EU27_2020 - 2022 - amount]])))), "secrets", "")</f>
        <v/>
      </c>
      <c r="AF42" s="7">
        <f>_xlfn.LET(_xlpm.production_amount, VALUE(prodcom_data[[#This Row],[PRODQNT - FR - 2019 - amount]]), IF(ISNUMBER(_xlpm.production_amount), _xlpm.production_amount, 0))+_xlfn.LET(_xlpm.import_amount, VALUE(prodcom_data[[#This Row],[IMPQNT - FR - 2019 - amount]]), IF(ISNUMBER(_xlpm.import_amount), _xlpm.import_amount, 0))</f>
        <v>107374000</v>
      </c>
      <c r="AG42" s="8" t="str">
        <f>IF(NOT(AND(ISNUMBER(VALUE(prodcom_data[[#This Row],[PRODQNT - FR - 2019 - amount]])), ISNUMBER(VALUE(prodcom_data[[#This Row],[IMPQNT - FR - 2019 - amount]])))), "secrets", "")</f>
        <v>secrets</v>
      </c>
      <c r="AH42" s="7">
        <f>_xlfn.LET(_xlpm.production_amount, VALUE(prodcom_data[[#This Row],[PRODQNT - FR - 2022 - amount]]), IF(ISNUMBER(_xlpm.production_amount), _xlpm.production_amount, 0))+_xlfn.LET(_xlpm.import_amount, VALUE(prodcom_data[[#This Row],[IMPQNT - FR - 2022 - amount]]), IF(ISNUMBER(_xlpm.import_amount), _xlpm.import_amount, 0))</f>
        <v>98303998</v>
      </c>
      <c r="AI42" s="8" t="str">
        <f>IF(NOT(AND(ISNUMBER(VALUE(prodcom_data[[#This Row],[PRODQNT - FR - 2022 - amount]])), ISNUMBER(VALUE(prodcom_data[[#This Row],[IMPQNT - FR - 2022 - amount]])))), "secrets", "")</f>
        <v/>
      </c>
      <c r="AJ4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0.658130403766089</v>
      </c>
      <c r="AK42" s="10" t="s">
        <v>2641</v>
      </c>
    </row>
    <row r="43" spans="1:37" hidden="1" x14ac:dyDescent="0.3">
      <c r="A43" s="4" t="s">
        <v>3</v>
      </c>
      <c r="B43" s="4" t="s">
        <v>593</v>
      </c>
      <c r="C43" s="4" t="s">
        <v>594</v>
      </c>
      <c r="D43" s="4" t="s">
        <v>595</v>
      </c>
      <c r="E43" s="5" t="s">
        <v>7</v>
      </c>
      <c r="F43" s="4" t="s">
        <v>2349</v>
      </c>
      <c r="G43" s="5" t="s">
        <v>7</v>
      </c>
      <c r="H43" s="4" t="s">
        <v>2350</v>
      </c>
      <c r="I43" s="5" t="s">
        <v>7</v>
      </c>
      <c r="J43" s="4" t="s">
        <v>2351</v>
      </c>
      <c r="K43" s="5" t="s">
        <v>7</v>
      </c>
      <c r="L43" s="4" t="s">
        <v>2352</v>
      </c>
      <c r="M43" s="5" t="s">
        <v>7</v>
      </c>
      <c r="N43" s="4" t="s">
        <v>2353</v>
      </c>
      <c r="O43" s="5" t="s">
        <v>7</v>
      </c>
      <c r="P43" s="4" t="s">
        <v>2611</v>
      </c>
      <c r="Q43" s="5" t="s">
        <v>7</v>
      </c>
      <c r="R43" s="4" t="s">
        <v>2354</v>
      </c>
      <c r="S43" s="5" t="s">
        <v>7</v>
      </c>
      <c r="T43" s="4" t="s">
        <v>2355</v>
      </c>
      <c r="U43" s="5" t="s">
        <v>7</v>
      </c>
      <c r="V43" s="4" t="s">
        <v>2611</v>
      </c>
      <c r="W43" s="5" t="s">
        <v>7</v>
      </c>
      <c r="X43" s="4" t="s">
        <v>2356</v>
      </c>
      <c r="Y43" s="5" t="s">
        <v>7</v>
      </c>
      <c r="Z43" s="4" t="s">
        <v>2357</v>
      </c>
      <c r="AA43" s="5" t="s">
        <v>7</v>
      </c>
      <c r="AB4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1435156741</v>
      </c>
      <c r="AC43" s="8" t="str">
        <f>IF(NOT(AND(ISNUMBER(VALUE(prodcom_data[[#This Row],[PRODQNT - EU27_2020 - 2019 - amount]])), ISNUMBER(VALUE(prodcom_data[[#This Row],[IMPQNT - EU27_2020 - 2019 - amount]])))), "secrets", "")</f>
        <v/>
      </c>
      <c r="AD4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1217425259</v>
      </c>
      <c r="AE43" s="8" t="str">
        <f>IF(NOT(AND(ISNUMBER(VALUE(prodcom_data[[#This Row],[PRODQNT - EU27_2020 - 2022 - amount]])), ISNUMBER(VALUE(prodcom_data[[#This Row],[IMPQNT - EU27_2020 - 2022 - amount]])))), "secrets", "")</f>
        <v/>
      </c>
      <c r="AF43" s="7">
        <f>_xlfn.LET(_xlpm.production_amount, VALUE(prodcom_data[[#This Row],[PRODQNT - FR - 2019 - amount]]), IF(ISNUMBER(_xlpm.production_amount), _xlpm.production_amount, 0))+_xlfn.LET(_xlpm.import_amount, VALUE(prodcom_data[[#This Row],[IMPQNT - FR - 2019 - amount]]), IF(ISNUMBER(_xlpm.import_amount), _xlpm.import_amount, 0))</f>
        <v>52938100</v>
      </c>
      <c r="AG43" s="8" t="str">
        <f>IF(NOT(AND(ISNUMBER(VALUE(prodcom_data[[#This Row],[PRODQNT - FR - 2019 - amount]])), ISNUMBER(VALUE(prodcom_data[[#This Row],[IMPQNT - FR - 2019 - amount]])))), "secrets", "")</f>
        <v>secrets</v>
      </c>
      <c r="AH43" s="7">
        <f>_xlfn.LET(_xlpm.production_amount, VALUE(prodcom_data[[#This Row],[PRODQNT - FR - 2022 - amount]]), IF(ISNUMBER(_xlpm.production_amount), _xlpm.production_amount, 0))+_xlfn.LET(_xlpm.import_amount, VALUE(prodcom_data[[#This Row],[IMPQNT - FR - 2022 - amount]]), IF(ISNUMBER(_xlpm.import_amount), _xlpm.import_amount, 0))</f>
        <v>47504909</v>
      </c>
      <c r="AI43" s="8" t="str">
        <f>IF(NOT(AND(ISNUMBER(VALUE(prodcom_data[[#This Row],[PRODQNT - FR - 2022 - amount]])), ISNUMBER(VALUE(prodcom_data[[#This Row],[IMPQNT - FR - 2022 - amount]])))), "secrets", "")</f>
        <v>secrets</v>
      </c>
      <c r="AJ4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0.88711811424638753</v>
      </c>
      <c r="AK43" s="10" t="s">
        <v>2641</v>
      </c>
    </row>
    <row r="44" spans="1:37" x14ac:dyDescent="0.3">
      <c r="A44" s="4" t="s">
        <v>3</v>
      </c>
      <c r="B44" s="4" t="s">
        <v>72</v>
      </c>
      <c r="C44" s="4" t="s">
        <v>73</v>
      </c>
      <c r="D44" s="4" t="s">
        <v>74</v>
      </c>
      <c r="E44" s="5" t="s">
        <v>7</v>
      </c>
      <c r="F44" s="4" t="s">
        <v>897</v>
      </c>
      <c r="G44" s="5" t="s">
        <v>7</v>
      </c>
      <c r="H44" s="4" t="s">
        <v>898</v>
      </c>
      <c r="I44" s="5" t="s">
        <v>7</v>
      </c>
      <c r="J44" s="4" t="s">
        <v>899</v>
      </c>
      <c r="K44" s="5" t="s">
        <v>7</v>
      </c>
      <c r="L44" s="4" t="s">
        <v>900</v>
      </c>
      <c r="M44" s="5" t="s">
        <v>7</v>
      </c>
      <c r="N44" s="4" t="s">
        <v>901</v>
      </c>
      <c r="O44" s="5" t="s">
        <v>7</v>
      </c>
      <c r="P44" s="4" t="s">
        <v>713</v>
      </c>
      <c r="Q44" s="5" t="s">
        <v>7</v>
      </c>
      <c r="R44" s="4" t="s">
        <v>902</v>
      </c>
      <c r="S44" s="5" t="s">
        <v>7</v>
      </c>
      <c r="T44" s="4" t="s">
        <v>903</v>
      </c>
      <c r="U44" s="5" t="s">
        <v>7</v>
      </c>
      <c r="V44" s="4" t="s">
        <v>713</v>
      </c>
      <c r="W44" s="5" t="s">
        <v>7</v>
      </c>
      <c r="X44" s="4" t="s">
        <v>904</v>
      </c>
      <c r="Y44" s="5" t="s">
        <v>7</v>
      </c>
      <c r="Z44" s="4" t="s">
        <v>905</v>
      </c>
      <c r="AA44" s="5" t="s">
        <v>7</v>
      </c>
      <c r="AB4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1418388518</v>
      </c>
      <c r="AC44" s="8" t="str">
        <f>IF(NOT(AND(ISNUMBER(VALUE(prodcom_data[[#This Row],[PRODQNT - EU27_2020 - 2019 - amount]])), ISNUMBER(VALUE(prodcom_data[[#This Row],[IMPQNT - EU27_2020 - 2019 - amount]])))), "secrets", "")</f>
        <v/>
      </c>
      <c r="AD4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1202939382</v>
      </c>
      <c r="AE44" s="8" t="str">
        <f>IF(NOT(AND(ISNUMBER(VALUE(prodcom_data[[#This Row],[PRODQNT - EU27_2020 - 2022 - amount]])), ISNUMBER(VALUE(prodcom_data[[#This Row],[IMPQNT - EU27_2020 - 2022 - amount]])))), "secrets", "")</f>
        <v/>
      </c>
      <c r="AF44" s="7">
        <f>_xlfn.LET(_xlpm.production_amount, VALUE(prodcom_data[[#This Row],[PRODQNT - FR - 2019 - amount]]), IF(ISNUMBER(_xlpm.production_amount), _xlpm.production_amount, 0))+_xlfn.LET(_xlpm.import_amount, VALUE(prodcom_data[[#This Row],[IMPQNT - FR - 2019 - amount]]), IF(ISNUMBER(_xlpm.import_amount), _xlpm.import_amount, 0))</f>
        <v>19552300</v>
      </c>
      <c r="AG44" s="8" t="str">
        <f>IF(NOT(AND(ISNUMBER(VALUE(prodcom_data[[#This Row],[PRODQNT - FR - 2019 - amount]])), ISNUMBER(VALUE(prodcom_data[[#This Row],[IMPQNT - FR - 2019 - amount]])))), "secrets", "")</f>
        <v/>
      </c>
      <c r="AH44" s="7">
        <f>_xlfn.LET(_xlpm.production_amount, VALUE(prodcom_data[[#This Row],[PRODQNT - FR - 2022 - amount]]), IF(ISNUMBER(_xlpm.production_amount), _xlpm.production_amount, 0))+_xlfn.LET(_xlpm.import_amount, VALUE(prodcom_data[[#This Row],[IMPQNT - FR - 2022 - amount]]), IF(ISNUMBER(_xlpm.import_amount), _xlpm.import_amount, 0))</f>
        <v>36205723</v>
      </c>
      <c r="AI44" s="8" t="str">
        <f>IF(NOT(AND(ISNUMBER(VALUE(prodcom_data[[#This Row],[PRODQNT - FR - 2022 - amount]])), ISNUMBER(VALUE(prodcom_data[[#This Row],[IMPQNT - FR - 2022 - amount]])))), "secrets", "")</f>
        <v/>
      </c>
      <c r="AJ4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0.7564803460728331</v>
      </c>
      <c r="AK44" s="10" t="s">
        <v>2642</v>
      </c>
    </row>
    <row r="45" spans="1:37" x14ac:dyDescent="0.3">
      <c r="A45" s="4" t="s">
        <v>3</v>
      </c>
      <c r="B45" s="4" t="s">
        <v>43</v>
      </c>
      <c r="C45" s="4" t="s">
        <v>44</v>
      </c>
      <c r="D45" s="4" t="s">
        <v>45</v>
      </c>
      <c r="E45" s="5" t="s">
        <v>7</v>
      </c>
      <c r="F45" s="4" t="s">
        <v>814</v>
      </c>
      <c r="G45" s="5" t="s">
        <v>7</v>
      </c>
      <c r="H45" s="4" t="s">
        <v>815</v>
      </c>
      <c r="I45" s="5" t="s">
        <v>7</v>
      </c>
      <c r="J45" s="4" t="s">
        <v>816</v>
      </c>
      <c r="K45" s="5" t="s">
        <v>7</v>
      </c>
      <c r="L45" s="4" t="s">
        <v>817</v>
      </c>
      <c r="M45" s="5" t="s">
        <v>7</v>
      </c>
      <c r="N45" s="4" t="s">
        <v>818</v>
      </c>
      <c r="O45" s="5" t="s">
        <v>7</v>
      </c>
      <c r="P45" s="4" t="s">
        <v>713</v>
      </c>
      <c r="Q45" s="5" t="s">
        <v>7</v>
      </c>
      <c r="R45" s="4" t="s">
        <v>713</v>
      </c>
      <c r="S45" s="5" t="s">
        <v>7</v>
      </c>
      <c r="T45" s="4" t="s">
        <v>819</v>
      </c>
      <c r="U45" s="5" t="s">
        <v>7</v>
      </c>
      <c r="V45" s="4" t="s">
        <v>713</v>
      </c>
      <c r="W45" s="5" t="s">
        <v>7</v>
      </c>
      <c r="X45" s="4" t="s">
        <v>820</v>
      </c>
      <c r="Y45" s="5" t="s">
        <v>7</v>
      </c>
      <c r="Z45" s="4" t="s">
        <v>821</v>
      </c>
      <c r="AA45" s="5" t="s">
        <v>7</v>
      </c>
      <c r="AB4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1361980725</v>
      </c>
      <c r="AC45" s="8" t="str">
        <f>IF(NOT(AND(ISNUMBER(VALUE(prodcom_data[[#This Row],[PRODQNT - EU27_2020 - 2019 - amount]])), ISNUMBER(VALUE(prodcom_data[[#This Row],[IMPQNT - EU27_2020 - 2019 - amount]])))), "secrets", "")</f>
        <v/>
      </c>
      <c r="AD4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1191905947</v>
      </c>
      <c r="AE45" s="8" t="str">
        <f>IF(NOT(AND(ISNUMBER(VALUE(prodcom_data[[#This Row],[PRODQNT - EU27_2020 - 2022 - amount]])), ISNUMBER(VALUE(prodcom_data[[#This Row],[IMPQNT - EU27_2020 - 2022 - amount]])))), "secrets", "")</f>
        <v/>
      </c>
      <c r="AF45" s="7">
        <f>_xlfn.LET(_xlpm.production_amount, VALUE(prodcom_data[[#This Row],[PRODQNT - FR - 2019 - amount]]), IF(ISNUMBER(_xlpm.production_amount), _xlpm.production_amount, 0))+_xlfn.LET(_xlpm.import_amount, VALUE(prodcom_data[[#This Row],[IMPQNT - FR - 2019 - amount]]), IF(ISNUMBER(_xlpm.import_amount), _xlpm.import_amount, 0))</f>
        <v>10900</v>
      </c>
      <c r="AG45" s="8" t="str">
        <f>IF(NOT(AND(ISNUMBER(VALUE(prodcom_data[[#This Row],[PRODQNT - FR - 2019 - amount]])), ISNUMBER(VALUE(prodcom_data[[#This Row],[IMPQNT - FR - 2019 - amount]])))), "secrets", "")</f>
        <v/>
      </c>
      <c r="AH45" s="7">
        <f>_xlfn.LET(_xlpm.production_amount, VALUE(prodcom_data[[#This Row],[PRODQNT - FR - 2022 - amount]]), IF(ISNUMBER(_xlpm.production_amount), _xlpm.production_amount, 0))+_xlfn.LET(_xlpm.import_amount, VALUE(prodcom_data[[#This Row],[IMPQNT - FR - 2022 - amount]]), IF(ISNUMBER(_xlpm.import_amount), _xlpm.import_amount, 0))</f>
        <v>6319207</v>
      </c>
      <c r="AI45" s="8" t="str">
        <f>IF(NOT(AND(ISNUMBER(VALUE(prodcom_data[[#This Row],[PRODQNT - FR - 2022 - amount]])), ISNUMBER(VALUE(prodcom_data[[#This Row],[IMPQNT - FR - 2022 - amount]])))), "secrets", "")</f>
        <v/>
      </c>
      <c r="AJ4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0.46597635861951109</v>
      </c>
      <c r="AK45" s="10" t="s">
        <v>2642</v>
      </c>
    </row>
    <row r="46" spans="1:37" x14ac:dyDescent="0.3">
      <c r="A46" s="4" t="s">
        <v>3</v>
      </c>
      <c r="B46" s="4" t="s">
        <v>37</v>
      </c>
      <c r="C46" s="4" t="s">
        <v>38</v>
      </c>
      <c r="D46" s="4" t="s">
        <v>39</v>
      </c>
      <c r="E46" s="5" t="s">
        <v>7</v>
      </c>
      <c r="F46" s="4" t="s">
        <v>795</v>
      </c>
      <c r="G46" s="5" t="s">
        <v>7</v>
      </c>
      <c r="H46" s="4" t="s">
        <v>796</v>
      </c>
      <c r="I46" s="5" t="s">
        <v>7</v>
      </c>
      <c r="J46" s="4" t="s">
        <v>797</v>
      </c>
      <c r="K46" s="5" t="s">
        <v>7</v>
      </c>
      <c r="L46" s="4" t="s">
        <v>798</v>
      </c>
      <c r="M46" s="5" t="s">
        <v>7</v>
      </c>
      <c r="N46" s="4" t="s">
        <v>799</v>
      </c>
      <c r="O46" s="5" t="s">
        <v>7</v>
      </c>
      <c r="P46" s="4" t="s">
        <v>800</v>
      </c>
      <c r="Q46" s="5" t="s">
        <v>7</v>
      </c>
      <c r="R46" s="4" t="s">
        <v>801</v>
      </c>
      <c r="S46" s="5" t="s">
        <v>7</v>
      </c>
      <c r="T46" s="4" t="s">
        <v>802</v>
      </c>
      <c r="U46" s="5" t="s">
        <v>7</v>
      </c>
      <c r="V46" s="4" t="s">
        <v>803</v>
      </c>
      <c r="W46" s="5" t="s">
        <v>7</v>
      </c>
      <c r="X46" s="4" t="s">
        <v>804</v>
      </c>
      <c r="Y46" s="5" t="s">
        <v>7</v>
      </c>
      <c r="Z46" s="4" t="s">
        <v>805</v>
      </c>
      <c r="AA46" s="5" t="s">
        <v>7</v>
      </c>
      <c r="AB4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1329892936</v>
      </c>
      <c r="AC46" s="8" t="str">
        <f>IF(NOT(AND(ISNUMBER(VALUE(prodcom_data[[#This Row],[PRODQNT - EU27_2020 - 2019 - amount]])), ISNUMBER(VALUE(prodcom_data[[#This Row],[IMPQNT - EU27_2020 - 2019 - amount]])))), "secrets", "")</f>
        <v/>
      </c>
      <c r="AD4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1120381615</v>
      </c>
      <c r="AE46" s="8" t="str">
        <f>IF(NOT(AND(ISNUMBER(VALUE(prodcom_data[[#This Row],[PRODQNT - EU27_2020 - 2022 - amount]])), ISNUMBER(VALUE(prodcom_data[[#This Row],[IMPQNT - EU27_2020 - 2022 - amount]])))), "secrets", "")</f>
        <v/>
      </c>
      <c r="AF46" s="7">
        <f>_xlfn.LET(_xlpm.production_amount, VALUE(prodcom_data[[#This Row],[PRODQNT - FR - 2019 - amount]]), IF(ISNUMBER(_xlpm.production_amount), _xlpm.production_amount, 0))+_xlfn.LET(_xlpm.import_amount, VALUE(prodcom_data[[#This Row],[IMPQNT - FR - 2019 - amount]]), IF(ISNUMBER(_xlpm.import_amount), _xlpm.import_amount, 0))</f>
        <v>154685982</v>
      </c>
      <c r="AG46" s="8" t="str">
        <f>IF(NOT(AND(ISNUMBER(VALUE(prodcom_data[[#This Row],[PRODQNT - FR - 2019 - amount]])), ISNUMBER(VALUE(prodcom_data[[#This Row],[IMPQNT - FR - 2019 - amount]])))), "secrets", "")</f>
        <v/>
      </c>
      <c r="AH46" s="7">
        <f>_xlfn.LET(_xlpm.production_amount, VALUE(prodcom_data[[#This Row],[PRODQNT - FR - 2022 - amount]]), IF(ISNUMBER(_xlpm.production_amount), _xlpm.production_amount, 0))+_xlfn.LET(_xlpm.import_amount, VALUE(prodcom_data[[#This Row],[IMPQNT - FR - 2022 - amount]]), IF(ISNUMBER(_xlpm.import_amount), _xlpm.import_amount, 0))</f>
        <v>112192845</v>
      </c>
      <c r="AI46" s="8" t="str">
        <f>IF(NOT(AND(ISNUMBER(VALUE(prodcom_data[[#This Row],[PRODQNT - FR - 2022 - amount]])), ISNUMBER(VALUE(prodcom_data[[#This Row],[IMPQNT - FR - 2022 - amount]])))), "secrets", "")</f>
        <v/>
      </c>
      <c r="AJ4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0.97878773028598831</v>
      </c>
      <c r="AK46" s="10" t="s">
        <v>2642</v>
      </c>
    </row>
    <row r="47" spans="1:37" x14ac:dyDescent="0.3">
      <c r="A47" s="4" t="s">
        <v>3</v>
      </c>
      <c r="B47" s="4" t="s">
        <v>420</v>
      </c>
      <c r="C47" s="4" t="s">
        <v>421</v>
      </c>
      <c r="D47" s="4" t="s">
        <v>422</v>
      </c>
      <c r="E47" s="5" t="s">
        <v>7</v>
      </c>
      <c r="F47" s="4" t="s">
        <v>1841</v>
      </c>
      <c r="G47" s="5" t="s">
        <v>7</v>
      </c>
      <c r="H47" s="4" t="s">
        <v>1842</v>
      </c>
      <c r="I47" s="5" t="s">
        <v>7</v>
      </c>
      <c r="J47" s="4" t="s">
        <v>1843</v>
      </c>
      <c r="K47" s="5" t="s">
        <v>7</v>
      </c>
      <c r="L47" s="4" t="s">
        <v>1844</v>
      </c>
      <c r="M47" s="5" t="s">
        <v>7</v>
      </c>
      <c r="N47" s="4" t="s">
        <v>1845</v>
      </c>
      <c r="O47" s="5" t="s">
        <v>7</v>
      </c>
      <c r="P47" s="4" t="s">
        <v>2611</v>
      </c>
      <c r="Q47" s="5" t="s">
        <v>7</v>
      </c>
      <c r="R47" s="4" t="s">
        <v>1846</v>
      </c>
      <c r="S47" s="5" t="s">
        <v>7</v>
      </c>
      <c r="T47" s="4" t="s">
        <v>1847</v>
      </c>
      <c r="U47" s="5" t="s">
        <v>7</v>
      </c>
      <c r="V47" s="4" t="s">
        <v>2611</v>
      </c>
      <c r="W47" s="5" t="s">
        <v>7</v>
      </c>
      <c r="X47" s="4" t="s">
        <v>1848</v>
      </c>
      <c r="Y47" s="5" t="s">
        <v>7</v>
      </c>
      <c r="Z47" s="4" t="s">
        <v>1849</v>
      </c>
      <c r="AA47" s="5" t="s">
        <v>7</v>
      </c>
      <c r="AB4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1391723012</v>
      </c>
      <c r="AC47" s="8" t="str">
        <f>IF(NOT(AND(ISNUMBER(VALUE(prodcom_data[[#This Row],[PRODQNT - EU27_2020 - 2019 - amount]])), ISNUMBER(VALUE(prodcom_data[[#This Row],[IMPQNT - EU27_2020 - 2019 - amount]])))), "secrets", "")</f>
        <v/>
      </c>
      <c r="AD4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1090852807</v>
      </c>
      <c r="AE47" s="8" t="str">
        <f>IF(NOT(AND(ISNUMBER(VALUE(prodcom_data[[#This Row],[PRODQNT - EU27_2020 - 2022 - amount]])), ISNUMBER(VALUE(prodcom_data[[#This Row],[IMPQNT - EU27_2020 - 2022 - amount]])))), "secrets", "")</f>
        <v/>
      </c>
      <c r="AF47" s="7">
        <f>_xlfn.LET(_xlpm.production_amount, VALUE(prodcom_data[[#This Row],[PRODQNT - FR - 2019 - amount]]), IF(ISNUMBER(_xlpm.production_amount), _xlpm.production_amount, 0))+_xlfn.LET(_xlpm.import_amount, VALUE(prodcom_data[[#This Row],[IMPQNT - FR - 2019 - amount]]), IF(ISNUMBER(_xlpm.import_amount), _xlpm.import_amount, 0))</f>
        <v>47318200</v>
      </c>
      <c r="AG47" s="8" t="str">
        <f>IF(NOT(AND(ISNUMBER(VALUE(prodcom_data[[#This Row],[PRODQNT - FR - 2019 - amount]])), ISNUMBER(VALUE(prodcom_data[[#This Row],[IMPQNT - FR - 2019 - amount]])))), "secrets", "")</f>
        <v>secrets</v>
      </c>
      <c r="AH47" s="7">
        <f>_xlfn.LET(_xlpm.production_amount, VALUE(prodcom_data[[#This Row],[PRODQNT - FR - 2022 - amount]]), IF(ISNUMBER(_xlpm.production_amount), _xlpm.production_amount, 0))+_xlfn.LET(_xlpm.import_amount, VALUE(prodcom_data[[#This Row],[IMPQNT - FR - 2022 - amount]]), IF(ISNUMBER(_xlpm.import_amount), _xlpm.import_amount, 0))</f>
        <v>33809299</v>
      </c>
      <c r="AI47" s="8" t="str">
        <f>IF(NOT(AND(ISNUMBER(VALUE(prodcom_data[[#This Row],[PRODQNT - FR - 2022 - amount]])), ISNUMBER(VALUE(prodcom_data[[#This Row],[IMPQNT - FR - 2022 - amount]])))), "secrets", "")</f>
        <v>secrets</v>
      </c>
      <c r="AJ4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0.92846915963429333</v>
      </c>
      <c r="AK47" s="10" t="s">
        <v>2642</v>
      </c>
    </row>
    <row r="48" spans="1:37" x14ac:dyDescent="0.3">
      <c r="A48" s="4" t="s">
        <v>3</v>
      </c>
      <c r="B48" s="4" t="s">
        <v>345</v>
      </c>
      <c r="C48" s="4" t="s">
        <v>346</v>
      </c>
      <c r="D48" s="4" t="s">
        <v>347</v>
      </c>
      <c r="E48" s="5" t="s">
        <v>7</v>
      </c>
      <c r="F48" s="4" t="s">
        <v>1652</v>
      </c>
      <c r="G48" s="5" t="s">
        <v>7</v>
      </c>
      <c r="H48" s="4" t="s">
        <v>1653</v>
      </c>
      <c r="I48" s="5" t="s">
        <v>7</v>
      </c>
      <c r="J48" s="4" t="s">
        <v>1654</v>
      </c>
      <c r="K48" s="5" t="s">
        <v>7</v>
      </c>
      <c r="L48" s="4" t="s">
        <v>1655</v>
      </c>
      <c r="M48" s="5" t="s">
        <v>7</v>
      </c>
      <c r="N48" s="4" t="s">
        <v>1656</v>
      </c>
      <c r="O48" s="5" t="s">
        <v>7</v>
      </c>
      <c r="P48" s="4" t="s">
        <v>1657</v>
      </c>
      <c r="Q48" s="5" t="s">
        <v>7</v>
      </c>
      <c r="R48" s="4" t="s">
        <v>713</v>
      </c>
      <c r="S48" s="5" t="s">
        <v>7</v>
      </c>
      <c r="T48" s="4" t="s">
        <v>1658</v>
      </c>
      <c r="U48" s="5" t="s">
        <v>7</v>
      </c>
      <c r="V48" s="4" t="s">
        <v>2611</v>
      </c>
      <c r="W48" s="5" t="s">
        <v>7</v>
      </c>
      <c r="X48" s="4" t="s">
        <v>713</v>
      </c>
      <c r="Y48" s="5" t="s">
        <v>7</v>
      </c>
      <c r="Z48" s="4" t="s">
        <v>1659</v>
      </c>
      <c r="AA48" s="5" t="s">
        <v>7</v>
      </c>
      <c r="AB4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1166925937</v>
      </c>
      <c r="AC48" s="8" t="str">
        <f>IF(NOT(AND(ISNUMBER(VALUE(prodcom_data[[#This Row],[PRODQNT - EU27_2020 - 2019 - amount]])), ISNUMBER(VALUE(prodcom_data[[#This Row],[IMPQNT - EU27_2020 - 2019 - amount]])))), "secrets", "")</f>
        <v/>
      </c>
      <c r="AD4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1049281862</v>
      </c>
      <c r="AE48" s="8" t="str">
        <f>IF(NOT(AND(ISNUMBER(VALUE(prodcom_data[[#This Row],[PRODQNT - EU27_2020 - 2022 - amount]])), ISNUMBER(VALUE(prodcom_data[[#This Row],[IMPQNT - EU27_2020 - 2022 - amount]])))), "secrets", "")</f>
        <v/>
      </c>
      <c r="AF48" s="7">
        <f>_xlfn.LET(_xlpm.production_amount, VALUE(prodcom_data[[#This Row],[PRODQNT - FR - 2019 - amount]]), IF(ISNUMBER(_xlpm.production_amount), _xlpm.production_amount, 0))+_xlfn.LET(_xlpm.import_amount, VALUE(prodcom_data[[#This Row],[IMPQNT - FR - 2019 - amount]]), IF(ISNUMBER(_xlpm.import_amount), _xlpm.import_amount, 0))</f>
        <v>98911961</v>
      </c>
      <c r="AG48" s="8" t="str">
        <f>IF(NOT(AND(ISNUMBER(VALUE(prodcom_data[[#This Row],[PRODQNT - FR - 2019 - amount]])), ISNUMBER(VALUE(prodcom_data[[#This Row],[IMPQNT - FR - 2019 - amount]])))), "secrets", "")</f>
        <v/>
      </c>
      <c r="AH48" s="7">
        <f>_xlfn.LET(_xlpm.production_amount, VALUE(prodcom_data[[#This Row],[PRODQNT - FR - 2022 - amount]]), IF(ISNUMBER(_xlpm.production_amount), _xlpm.production_amount, 0))+_xlfn.LET(_xlpm.import_amount, VALUE(prodcom_data[[#This Row],[IMPQNT - FR - 2022 - amount]]), IF(ISNUMBER(_xlpm.import_amount), _xlpm.import_amount, 0))</f>
        <v>32753062</v>
      </c>
      <c r="AI48" s="8" t="str">
        <f>IF(NOT(AND(ISNUMBER(VALUE(prodcom_data[[#This Row],[PRODQNT - FR - 2022 - amount]])), ISNUMBER(VALUE(prodcom_data[[#This Row],[IMPQNT - FR - 2022 - amount]])))), "secrets", "")</f>
        <v>secrets</v>
      </c>
      <c r="AJ4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0.88632047658515611</v>
      </c>
      <c r="AK48" s="10" t="s">
        <v>2642</v>
      </c>
    </row>
    <row r="49" spans="1:37" x14ac:dyDescent="0.3">
      <c r="A49" s="4" t="s">
        <v>3</v>
      </c>
      <c r="B49" s="4" t="s">
        <v>387</v>
      </c>
      <c r="C49" s="4" t="s">
        <v>388</v>
      </c>
      <c r="D49" s="4" t="s">
        <v>389</v>
      </c>
      <c r="E49" s="5" t="s">
        <v>7</v>
      </c>
      <c r="F49" s="4" t="s">
        <v>1774</v>
      </c>
      <c r="G49" s="5" t="s">
        <v>7</v>
      </c>
      <c r="H49" s="4" t="s">
        <v>1775</v>
      </c>
      <c r="I49" s="5" t="s">
        <v>7</v>
      </c>
      <c r="J49" s="4" t="s">
        <v>899</v>
      </c>
      <c r="K49" s="5" t="s">
        <v>7</v>
      </c>
      <c r="L49" s="4" t="s">
        <v>1776</v>
      </c>
      <c r="M49" s="5" t="s">
        <v>7</v>
      </c>
      <c r="N49" s="4" t="s">
        <v>1777</v>
      </c>
      <c r="O49" s="5" t="s">
        <v>7</v>
      </c>
      <c r="P49" s="4" t="s">
        <v>2611</v>
      </c>
      <c r="Q49" s="5" t="s">
        <v>7</v>
      </c>
      <c r="R49" s="4" t="s">
        <v>713</v>
      </c>
      <c r="S49" s="5" t="s">
        <v>7</v>
      </c>
      <c r="T49" s="4" t="s">
        <v>1778</v>
      </c>
      <c r="U49" s="5" t="s">
        <v>7</v>
      </c>
      <c r="V49" s="4" t="s">
        <v>2611</v>
      </c>
      <c r="W49" s="5" t="s">
        <v>7</v>
      </c>
      <c r="X49" s="4" t="s">
        <v>1779</v>
      </c>
      <c r="Y49" s="5" t="s">
        <v>7</v>
      </c>
      <c r="Z49" s="4" t="s">
        <v>1780</v>
      </c>
      <c r="AA49" s="5" t="s">
        <v>7</v>
      </c>
      <c r="AB4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1011227633</v>
      </c>
      <c r="AC49" s="8" t="str">
        <f>IF(NOT(AND(ISNUMBER(VALUE(prodcom_data[[#This Row],[PRODQNT - EU27_2020 - 2019 - amount]])), ISNUMBER(VALUE(prodcom_data[[#This Row],[IMPQNT - EU27_2020 - 2019 - amount]])))), "secrets", "")</f>
        <v/>
      </c>
      <c r="AD4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931200527</v>
      </c>
      <c r="AE49" s="8" t="str">
        <f>IF(NOT(AND(ISNUMBER(VALUE(prodcom_data[[#This Row],[PRODQNT - EU27_2020 - 2022 - amount]])), ISNUMBER(VALUE(prodcom_data[[#This Row],[IMPQNT - EU27_2020 - 2022 - amount]])))), "secrets", "")</f>
        <v/>
      </c>
      <c r="AF49" s="7">
        <f>_xlfn.LET(_xlpm.production_amount, VALUE(prodcom_data[[#This Row],[PRODQNT - FR - 2019 - amount]]), IF(ISNUMBER(_xlpm.production_amount), _xlpm.production_amount, 0))+_xlfn.LET(_xlpm.import_amount, VALUE(prodcom_data[[#This Row],[IMPQNT - FR - 2019 - amount]]), IF(ISNUMBER(_xlpm.import_amount), _xlpm.import_amount, 0))</f>
        <v>23160700</v>
      </c>
      <c r="AG49" s="8" t="str">
        <f>IF(NOT(AND(ISNUMBER(VALUE(prodcom_data[[#This Row],[PRODQNT - FR - 2019 - amount]])), ISNUMBER(VALUE(prodcom_data[[#This Row],[IMPQNT - FR - 2019 - amount]])))), "secrets", "")</f>
        <v>secrets</v>
      </c>
      <c r="AH49" s="7">
        <f>_xlfn.LET(_xlpm.production_amount, VALUE(prodcom_data[[#This Row],[PRODQNT - FR - 2022 - amount]]), IF(ISNUMBER(_xlpm.production_amount), _xlpm.production_amount, 0))+_xlfn.LET(_xlpm.import_amount, VALUE(prodcom_data[[#This Row],[IMPQNT - FR - 2022 - amount]]), IF(ISNUMBER(_xlpm.import_amount), _xlpm.import_amount, 0))</f>
        <v>21502540</v>
      </c>
      <c r="AI49" s="8" t="str">
        <f>IF(NOT(AND(ISNUMBER(VALUE(prodcom_data[[#This Row],[PRODQNT - FR - 2022 - amount]])), ISNUMBER(VALUE(prodcom_data[[#This Row],[IMPQNT - FR - 2022 - amount]])))), "secrets", "")</f>
        <v>secrets</v>
      </c>
      <c r="AJ4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0.97723312392412343</v>
      </c>
      <c r="AK49" s="10" t="s">
        <v>2642</v>
      </c>
    </row>
    <row r="50" spans="1:37" hidden="1" x14ac:dyDescent="0.3">
      <c r="A50" s="4" t="s">
        <v>3</v>
      </c>
      <c r="B50" s="4" t="s">
        <v>649</v>
      </c>
      <c r="C50" s="4" t="s">
        <v>650</v>
      </c>
      <c r="D50" s="4" t="s">
        <v>651</v>
      </c>
      <c r="E50" s="5" t="s">
        <v>7</v>
      </c>
      <c r="F50" s="4" t="s">
        <v>2530</v>
      </c>
      <c r="G50" s="5" t="s">
        <v>7</v>
      </c>
      <c r="H50" s="4" t="s">
        <v>2531</v>
      </c>
      <c r="I50" s="5" t="s">
        <v>7</v>
      </c>
      <c r="J50" s="4" t="s">
        <v>2532</v>
      </c>
      <c r="K50" s="5" t="s">
        <v>7</v>
      </c>
      <c r="L50" s="4" t="s">
        <v>2533</v>
      </c>
      <c r="M50" s="5" t="s">
        <v>7</v>
      </c>
      <c r="N50" s="4" t="s">
        <v>2534</v>
      </c>
      <c r="O50" s="5" t="s">
        <v>7</v>
      </c>
      <c r="P50" s="4" t="s">
        <v>2535</v>
      </c>
      <c r="Q50" s="5" t="s">
        <v>7</v>
      </c>
      <c r="R50" s="4" t="s">
        <v>2536</v>
      </c>
      <c r="S50" s="5" t="s">
        <v>7</v>
      </c>
      <c r="T50" s="4" t="s">
        <v>2537</v>
      </c>
      <c r="U50" s="5" t="s">
        <v>7</v>
      </c>
      <c r="V50" s="4" t="s">
        <v>2611</v>
      </c>
      <c r="W50" s="5" t="s">
        <v>7</v>
      </c>
      <c r="X50" s="4" t="s">
        <v>2538</v>
      </c>
      <c r="Y50" s="5" t="s">
        <v>7</v>
      </c>
      <c r="Z50" s="4" t="s">
        <v>2539</v>
      </c>
      <c r="AA50" s="5" t="s">
        <v>7</v>
      </c>
      <c r="AB5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899877176</v>
      </c>
      <c r="AC50" s="8" t="str">
        <f>IF(NOT(AND(ISNUMBER(VALUE(prodcom_data[[#This Row],[PRODQNT - EU27_2020 - 2019 - amount]])), ISNUMBER(VALUE(prodcom_data[[#This Row],[IMPQNT - EU27_2020 - 2019 - amount]])))), "secrets", "")</f>
        <v/>
      </c>
      <c r="AD5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918838591</v>
      </c>
      <c r="AE50" s="8" t="str">
        <f>IF(NOT(AND(ISNUMBER(VALUE(prodcom_data[[#This Row],[PRODQNT - EU27_2020 - 2022 - amount]])), ISNUMBER(VALUE(prodcom_data[[#This Row],[IMPQNT - EU27_2020 - 2022 - amount]])))), "secrets", "")</f>
        <v/>
      </c>
      <c r="AF50" s="7">
        <f>_xlfn.LET(_xlpm.production_amount, VALUE(prodcom_data[[#This Row],[PRODQNT - FR - 2019 - amount]]), IF(ISNUMBER(_xlpm.production_amount), _xlpm.production_amount, 0))+_xlfn.LET(_xlpm.import_amount, VALUE(prodcom_data[[#This Row],[IMPQNT - FR - 2019 - amount]]), IF(ISNUMBER(_xlpm.import_amount), _xlpm.import_amount, 0))</f>
        <v>76031007</v>
      </c>
      <c r="AG50" s="8" t="str">
        <f>IF(NOT(AND(ISNUMBER(VALUE(prodcom_data[[#This Row],[PRODQNT - FR - 2019 - amount]])), ISNUMBER(VALUE(prodcom_data[[#This Row],[IMPQNT - FR - 2019 - amount]])))), "secrets", "")</f>
        <v/>
      </c>
      <c r="AH50" s="7">
        <f>_xlfn.LET(_xlpm.production_amount, VALUE(prodcom_data[[#This Row],[PRODQNT - FR - 2022 - amount]]), IF(ISNUMBER(_xlpm.production_amount), _xlpm.production_amount, 0))+_xlfn.LET(_xlpm.import_amount, VALUE(prodcom_data[[#This Row],[IMPQNT - FR - 2022 - amount]]), IF(ISNUMBER(_xlpm.import_amount), _xlpm.import_amount, 0))</f>
        <v>40596392</v>
      </c>
      <c r="AI50" s="8" t="str">
        <f>IF(NOT(AND(ISNUMBER(VALUE(prodcom_data[[#This Row],[PRODQNT - FR - 2022 - amount]])), ISNUMBER(VALUE(prodcom_data[[#This Row],[IMPQNT - FR - 2022 - amount]])))), "secrets", "")</f>
        <v>secrets</v>
      </c>
      <c r="AJ5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0.9480517247887339</v>
      </c>
      <c r="AK50" s="10" t="s">
        <v>2641</v>
      </c>
    </row>
    <row r="51" spans="1:37" x14ac:dyDescent="0.3">
      <c r="A51" s="4" t="s">
        <v>3</v>
      </c>
      <c r="B51" s="4" t="s">
        <v>620</v>
      </c>
      <c r="C51" s="4" t="s">
        <v>621</v>
      </c>
      <c r="D51" s="4" t="s">
        <v>622</v>
      </c>
      <c r="E51" s="5" t="s">
        <v>7</v>
      </c>
      <c r="F51" s="4" t="s">
        <v>2438</v>
      </c>
      <c r="G51" s="5" t="s">
        <v>7</v>
      </c>
      <c r="H51" s="4" t="s">
        <v>2439</v>
      </c>
      <c r="I51" s="5" t="s">
        <v>7</v>
      </c>
      <c r="J51" s="4" t="s">
        <v>2440</v>
      </c>
      <c r="K51" s="5" t="s">
        <v>7</v>
      </c>
      <c r="L51" s="4" t="s">
        <v>2441</v>
      </c>
      <c r="M51" s="5" t="s">
        <v>7</v>
      </c>
      <c r="N51" s="4" t="s">
        <v>2442</v>
      </c>
      <c r="O51" s="5" t="s">
        <v>7</v>
      </c>
      <c r="P51" s="4" t="s">
        <v>2611</v>
      </c>
      <c r="Q51" s="5" t="s">
        <v>7</v>
      </c>
      <c r="R51" s="4" t="s">
        <v>2443</v>
      </c>
      <c r="S51" s="5" t="s">
        <v>7</v>
      </c>
      <c r="T51" s="4" t="s">
        <v>2444</v>
      </c>
      <c r="U51" s="5" t="s">
        <v>7</v>
      </c>
      <c r="V51" s="4" t="s">
        <v>2445</v>
      </c>
      <c r="W51" s="5" t="s">
        <v>7</v>
      </c>
      <c r="X51" s="4" t="s">
        <v>2446</v>
      </c>
      <c r="Y51" s="5" t="s">
        <v>7</v>
      </c>
      <c r="Z51" s="4" t="s">
        <v>2447</v>
      </c>
      <c r="AA51" s="5" t="s">
        <v>7</v>
      </c>
      <c r="AB5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1083844066</v>
      </c>
      <c r="AC51" s="8" t="str">
        <f>IF(NOT(AND(ISNUMBER(VALUE(prodcom_data[[#This Row],[PRODQNT - EU27_2020 - 2019 - amount]])), ISNUMBER(VALUE(prodcom_data[[#This Row],[IMPQNT - EU27_2020 - 2019 - amount]])))), "secrets", "")</f>
        <v/>
      </c>
      <c r="AD5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914892768</v>
      </c>
      <c r="AE51" s="8" t="str">
        <f>IF(NOT(AND(ISNUMBER(VALUE(prodcom_data[[#This Row],[PRODQNT - EU27_2020 - 2022 - amount]])), ISNUMBER(VALUE(prodcom_data[[#This Row],[IMPQNT - EU27_2020 - 2022 - amount]])))), "secrets", "")</f>
        <v/>
      </c>
      <c r="AF51" s="7">
        <f>_xlfn.LET(_xlpm.production_amount, VALUE(prodcom_data[[#This Row],[PRODQNT - FR - 2019 - amount]]), IF(ISNUMBER(_xlpm.production_amount), _xlpm.production_amount, 0))+_xlfn.LET(_xlpm.import_amount, VALUE(prodcom_data[[#This Row],[IMPQNT - FR - 2019 - amount]]), IF(ISNUMBER(_xlpm.import_amount), _xlpm.import_amount, 0))</f>
        <v>41270100</v>
      </c>
      <c r="AG51" s="8" t="str">
        <f>IF(NOT(AND(ISNUMBER(VALUE(prodcom_data[[#This Row],[PRODQNT - FR - 2019 - amount]])), ISNUMBER(VALUE(prodcom_data[[#This Row],[IMPQNT - FR - 2019 - amount]])))), "secrets", "")</f>
        <v>secrets</v>
      </c>
      <c r="AH51" s="7">
        <f>_xlfn.LET(_xlpm.production_amount, VALUE(prodcom_data[[#This Row],[PRODQNT - FR - 2022 - amount]]), IF(ISNUMBER(_xlpm.production_amount), _xlpm.production_amount, 0))+_xlfn.LET(_xlpm.import_amount, VALUE(prodcom_data[[#This Row],[IMPQNT - FR - 2022 - amount]]), IF(ISNUMBER(_xlpm.import_amount), _xlpm.import_amount, 0))</f>
        <v>40546506</v>
      </c>
      <c r="AI51" s="8" t="str">
        <f>IF(NOT(AND(ISNUMBER(VALUE(prodcom_data[[#This Row],[PRODQNT - FR - 2022 - amount]])), ISNUMBER(VALUE(prodcom_data[[#This Row],[IMPQNT - FR - 2022 - amount]])))), "secrets", "")</f>
        <v/>
      </c>
      <c r="AJ5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0.98372184312642852</v>
      </c>
      <c r="AK51" s="10" t="s">
        <v>2642</v>
      </c>
    </row>
    <row r="52" spans="1:37" x14ac:dyDescent="0.3">
      <c r="A52" s="4" t="s">
        <v>3</v>
      </c>
      <c r="B52" s="4" t="s">
        <v>205</v>
      </c>
      <c r="C52" s="4" t="s">
        <v>206</v>
      </c>
      <c r="D52" s="4" t="s">
        <v>207</v>
      </c>
      <c r="E52" s="5" t="s">
        <v>7</v>
      </c>
      <c r="F52" s="4" t="s">
        <v>1274</v>
      </c>
      <c r="G52" s="5" t="s">
        <v>7</v>
      </c>
      <c r="H52" s="4" t="s">
        <v>1275</v>
      </c>
      <c r="I52" s="5" t="s">
        <v>7</v>
      </c>
      <c r="J52" s="4" t="s">
        <v>259</v>
      </c>
      <c r="K52" s="5" t="s">
        <v>7</v>
      </c>
      <c r="L52" s="4" t="s">
        <v>1276</v>
      </c>
      <c r="M52" s="5" t="s">
        <v>7</v>
      </c>
      <c r="N52" s="4" t="s">
        <v>1277</v>
      </c>
      <c r="O52" s="5" t="s">
        <v>7</v>
      </c>
      <c r="P52" s="4" t="s">
        <v>2611</v>
      </c>
      <c r="Q52" s="5" t="s">
        <v>7</v>
      </c>
      <c r="R52" s="4" t="s">
        <v>713</v>
      </c>
      <c r="S52" s="5" t="s">
        <v>7</v>
      </c>
      <c r="T52" s="4" t="s">
        <v>1278</v>
      </c>
      <c r="U52" s="5" t="s">
        <v>7</v>
      </c>
      <c r="V52" s="4" t="s">
        <v>2611</v>
      </c>
      <c r="W52" s="5" t="s">
        <v>7</v>
      </c>
      <c r="X52" s="4" t="s">
        <v>1279</v>
      </c>
      <c r="Y52" s="5" t="s">
        <v>7</v>
      </c>
      <c r="Z52" s="4" t="s">
        <v>1280</v>
      </c>
      <c r="AA52" s="5" t="s">
        <v>7</v>
      </c>
      <c r="AB5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1257675114</v>
      </c>
      <c r="AC52" s="8" t="str">
        <f>IF(NOT(AND(ISNUMBER(VALUE(prodcom_data[[#This Row],[PRODQNT - EU27_2020 - 2019 - amount]])), ISNUMBER(VALUE(prodcom_data[[#This Row],[IMPQNT - EU27_2020 - 2019 - amount]])))), "secrets", "")</f>
        <v/>
      </c>
      <c r="AD5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888564975</v>
      </c>
      <c r="AE52" s="8" t="str">
        <f>IF(NOT(AND(ISNUMBER(VALUE(prodcom_data[[#This Row],[PRODQNT - EU27_2020 - 2022 - amount]])), ISNUMBER(VALUE(prodcom_data[[#This Row],[IMPQNT - EU27_2020 - 2022 - amount]])))), "secrets", "")</f>
        <v/>
      </c>
      <c r="AF52" s="7">
        <f>_xlfn.LET(_xlpm.production_amount, VALUE(prodcom_data[[#This Row],[PRODQNT - FR - 2019 - amount]]), IF(ISNUMBER(_xlpm.production_amount), _xlpm.production_amount, 0))+_xlfn.LET(_xlpm.import_amount, VALUE(prodcom_data[[#This Row],[IMPQNT - FR - 2019 - amount]]), IF(ISNUMBER(_xlpm.import_amount), _xlpm.import_amount, 0))</f>
        <v>31583700</v>
      </c>
      <c r="AG52" s="8" t="str">
        <f>IF(NOT(AND(ISNUMBER(VALUE(prodcom_data[[#This Row],[PRODQNT - FR - 2019 - amount]])), ISNUMBER(VALUE(prodcom_data[[#This Row],[IMPQNT - FR - 2019 - amount]])))), "secrets", "")</f>
        <v>secrets</v>
      </c>
      <c r="AH52" s="7">
        <f>_xlfn.LET(_xlpm.production_amount, VALUE(prodcom_data[[#This Row],[PRODQNT - FR - 2022 - amount]]), IF(ISNUMBER(_xlpm.production_amount), _xlpm.production_amount, 0))+_xlfn.LET(_xlpm.import_amount, VALUE(prodcom_data[[#This Row],[IMPQNT - FR - 2022 - amount]]), IF(ISNUMBER(_xlpm.import_amount), _xlpm.import_amount, 0))</f>
        <v>28225550</v>
      </c>
      <c r="AI52" s="8" t="str">
        <f>IF(NOT(AND(ISNUMBER(VALUE(prodcom_data[[#This Row],[PRODQNT - FR - 2022 - amount]])), ISNUMBER(VALUE(prodcom_data[[#This Row],[IMPQNT - FR - 2022 - amount]])))), "secrets", "")</f>
        <v>secrets</v>
      </c>
      <c r="AJ5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0.16881151544376369</v>
      </c>
      <c r="AK52" s="10" t="s">
        <v>2642</v>
      </c>
    </row>
    <row r="53" spans="1:37" x14ac:dyDescent="0.3">
      <c r="A53" s="4" t="s">
        <v>3</v>
      </c>
      <c r="B53" s="4" t="s">
        <v>473</v>
      </c>
      <c r="C53" s="4" t="s">
        <v>474</v>
      </c>
      <c r="D53" s="4" t="s">
        <v>475</v>
      </c>
      <c r="E53" s="5" t="s">
        <v>7</v>
      </c>
      <c r="F53" s="4" t="s">
        <v>1992</v>
      </c>
      <c r="G53" s="5" t="s">
        <v>7</v>
      </c>
      <c r="H53" s="4" t="s">
        <v>1993</v>
      </c>
      <c r="I53" s="5" t="s">
        <v>7</v>
      </c>
      <c r="J53" s="4" t="s">
        <v>1994</v>
      </c>
      <c r="K53" s="5" t="s">
        <v>7</v>
      </c>
      <c r="L53" s="4" t="s">
        <v>1995</v>
      </c>
      <c r="M53" s="5" t="s">
        <v>7</v>
      </c>
      <c r="N53" s="4" t="s">
        <v>1996</v>
      </c>
      <c r="O53" s="5" t="s">
        <v>7</v>
      </c>
      <c r="P53" s="4" t="s">
        <v>2611</v>
      </c>
      <c r="Q53" s="5" t="s">
        <v>7</v>
      </c>
      <c r="R53" s="4" t="s">
        <v>713</v>
      </c>
      <c r="S53" s="5" t="s">
        <v>7</v>
      </c>
      <c r="T53" s="4" t="s">
        <v>1997</v>
      </c>
      <c r="U53" s="5" t="s">
        <v>7</v>
      </c>
      <c r="V53" s="4" t="s">
        <v>2611</v>
      </c>
      <c r="W53" s="5" t="s">
        <v>7</v>
      </c>
      <c r="X53" s="4" t="s">
        <v>713</v>
      </c>
      <c r="Y53" s="5" t="s">
        <v>7</v>
      </c>
      <c r="Z53" s="4" t="s">
        <v>1998</v>
      </c>
      <c r="AA53" s="5" t="s">
        <v>7</v>
      </c>
      <c r="AB5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958122685</v>
      </c>
      <c r="AC53" s="8" t="str">
        <f>IF(NOT(AND(ISNUMBER(VALUE(prodcom_data[[#This Row],[PRODQNT - EU27_2020 - 2019 - amount]])), ISNUMBER(VALUE(prodcom_data[[#This Row],[IMPQNT - EU27_2020 - 2019 - amount]])))), "secrets", "")</f>
        <v/>
      </c>
      <c r="AD5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886759378</v>
      </c>
      <c r="AE53" s="8" t="str">
        <f>IF(NOT(AND(ISNUMBER(VALUE(prodcom_data[[#This Row],[PRODQNT - EU27_2020 - 2022 - amount]])), ISNUMBER(VALUE(prodcom_data[[#This Row],[IMPQNT - EU27_2020 - 2022 - amount]])))), "secrets", "")</f>
        <v/>
      </c>
      <c r="AF53" s="7">
        <f>_xlfn.LET(_xlpm.production_amount, VALUE(prodcom_data[[#This Row],[PRODQNT - FR - 2019 - amount]]), IF(ISNUMBER(_xlpm.production_amount), _xlpm.production_amount, 0))+_xlfn.LET(_xlpm.import_amount, VALUE(prodcom_data[[#This Row],[IMPQNT - FR - 2019 - amount]]), IF(ISNUMBER(_xlpm.import_amount), _xlpm.import_amount, 0))</f>
        <v>26359700</v>
      </c>
      <c r="AG53" s="8" t="str">
        <f>IF(NOT(AND(ISNUMBER(VALUE(prodcom_data[[#This Row],[PRODQNT - FR - 2019 - amount]])), ISNUMBER(VALUE(prodcom_data[[#This Row],[IMPQNT - FR - 2019 - amount]])))), "secrets", "")</f>
        <v>secrets</v>
      </c>
      <c r="AH53" s="7">
        <f>_xlfn.LET(_xlpm.production_amount, VALUE(prodcom_data[[#This Row],[PRODQNT - FR - 2022 - amount]]), IF(ISNUMBER(_xlpm.production_amount), _xlpm.production_amount, 0))+_xlfn.LET(_xlpm.import_amount, VALUE(prodcom_data[[#This Row],[IMPQNT - FR - 2022 - amount]]), IF(ISNUMBER(_xlpm.import_amount), _xlpm.import_amount, 0))</f>
        <v>22713553</v>
      </c>
      <c r="AI53" s="8" t="str">
        <f>IF(NOT(AND(ISNUMBER(VALUE(prodcom_data[[#This Row],[PRODQNT - FR - 2022 - amount]])), ISNUMBER(VALUE(prodcom_data[[#This Row],[IMPQNT - FR - 2022 - amount]])))), "secrets", "")</f>
        <v>secrets</v>
      </c>
      <c r="AJ5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0.9949802605865421</v>
      </c>
      <c r="AK53" s="10" t="s">
        <v>2642</v>
      </c>
    </row>
    <row r="54" spans="1:37" hidden="1" x14ac:dyDescent="0.3">
      <c r="A54" s="4" t="s">
        <v>3</v>
      </c>
      <c r="B54" s="4" t="s">
        <v>510</v>
      </c>
      <c r="C54" s="4" t="s">
        <v>511</v>
      </c>
      <c r="D54" s="4" t="s">
        <v>512</v>
      </c>
      <c r="E54" s="5" t="s">
        <v>7</v>
      </c>
      <c r="F54" s="4" t="s">
        <v>2097</v>
      </c>
      <c r="G54" s="5" t="s">
        <v>7</v>
      </c>
      <c r="H54" s="4" t="s">
        <v>2098</v>
      </c>
      <c r="I54" s="5" t="s">
        <v>7</v>
      </c>
      <c r="J54" s="4" t="s">
        <v>110</v>
      </c>
      <c r="K54" s="5" t="s">
        <v>7</v>
      </c>
      <c r="L54" s="4" t="s">
        <v>2099</v>
      </c>
      <c r="M54" s="5" t="s">
        <v>7</v>
      </c>
      <c r="N54" s="4" t="s">
        <v>2100</v>
      </c>
      <c r="O54" s="5" t="s">
        <v>7</v>
      </c>
      <c r="P54" s="4" t="s">
        <v>2101</v>
      </c>
      <c r="Q54" s="5" t="s">
        <v>7</v>
      </c>
      <c r="R54" s="4" t="s">
        <v>2102</v>
      </c>
      <c r="S54" s="5" t="s">
        <v>7</v>
      </c>
      <c r="T54" s="4" t="s">
        <v>2103</v>
      </c>
      <c r="U54" s="5" t="s">
        <v>7</v>
      </c>
      <c r="V54" s="4" t="s">
        <v>2104</v>
      </c>
      <c r="W54" s="5" t="s">
        <v>7</v>
      </c>
      <c r="X54" s="4" t="s">
        <v>2105</v>
      </c>
      <c r="Y54" s="5" t="s">
        <v>7</v>
      </c>
      <c r="Z54" s="4" t="s">
        <v>2106</v>
      </c>
      <c r="AA54" s="5" t="s">
        <v>7</v>
      </c>
      <c r="AB5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929935809</v>
      </c>
      <c r="AC54" s="8" t="str">
        <f>IF(NOT(AND(ISNUMBER(VALUE(prodcom_data[[#This Row],[PRODQNT - EU27_2020 - 2019 - amount]])), ISNUMBER(VALUE(prodcom_data[[#This Row],[IMPQNT - EU27_2020 - 2019 - amount]])))), "secrets", "")</f>
        <v/>
      </c>
      <c r="AD5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882571210</v>
      </c>
      <c r="AE54" s="8" t="str">
        <f>IF(NOT(AND(ISNUMBER(VALUE(prodcom_data[[#This Row],[PRODQNT - EU27_2020 - 2022 - amount]])), ISNUMBER(VALUE(prodcom_data[[#This Row],[IMPQNT - EU27_2020 - 2022 - amount]])))), "secrets", "")</f>
        <v/>
      </c>
      <c r="AF54" s="7">
        <f>_xlfn.LET(_xlpm.production_amount, VALUE(prodcom_data[[#This Row],[PRODQNT - FR - 2019 - amount]]), IF(ISNUMBER(_xlpm.production_amount), _xlpm.production_amount, 0))+_xlfn.LET(_xlpm.import_amount, VALUE(prodcom_data[[#This Row],[IMPQNT - FR - 2019 - amount]]), IF(ISNUMBER(_xlpm.import_amount), _xlpm.import_amount, 0))</f>
        <v>116559566</v>
      </c>
      <c r="AG54" s="8" t="str">
        <f>IF(NOT(AND(ISNUMBER(VALUE(prodcom_data[[#This Row],[PRODQNT - FR - 2019 - amount]])), ISNUMBER(VALUE(prodcom_data[[#This Row],[IMPQNT - FR - 2019 - amount]])))), "secrets", "")</f>
        <v/>
      </c>
      <c r="AH54" s="7">
        <f>_xlfn.LET(_xlpm.production_amount, VALUE(prodcom_data[[#This Row],[PRODQNT - FR - 2022 - amount]]), IF(ISNUMBER(_xlpm.production_amount), _xlpm.production_amount, 0))+_xlfn.LET(_xlpm.import_amount, VALUE(prodcom_data[[#This Row],[IMPQNT - FR - 2022 - amount]]), IF(ISNUMBER(_xlpm.import_amount), _xlpm.import_amount, 0))</f>
        <v>107487201</v>
      </c>
      <c r="AI54" s="8" t="str">
        <f>IF(NOT(AND(ISNUMBER(VALUE(prodcom_data[[#This Row],[PRODQNT - FR - 2022 - amount]])), ISNUMBER(VALUE(prodcom_data[[#This Row],[IMPQNT - FR - 2022 - amount]])))), "secrets", "")</f>
        <v/>
      </c>
      <c r="AJ5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0.33991591454699727</v>
      </c>
      <c r="AK54" s="10" t="s">
        <v>2649</v>
      </c>
    </row>
    <row r="55" spans="1:37" x14ac:dyDescent="0.3">
      <c r="A55" s="4" t="s">
        <v>3</v>
      </c>
      <c r="B55" s="4" t="s">
        <v>78</v>
      </c>
      <c r="C55" s="4" t="s">
        <v>79</v>
      </c>
      <c r="D55" s="4" t="s">
        <v>80</v>
      </c>
      <c r="E55" s="5" t="s">
        <v>7</v>
      </c>
      <c r="F55" s="4" t="s">
        <v>914</v>
      </c>
      <c r="G55" s="5" t="s">
        <v>7</v>
      </c>
      <c r="H55" s="4" t="s">
        <v>915</v>
      </c>
      <c r="I55" s="5" t="s">
        <v>7</v>
      </c>
      <c r="J55" s="4" t="s">
        <v>824</v>
      </c>
      <c r="K55" s="5" t="s">
        <v>7</v>
      </c>
      <c r="L55" s="4" t="s">
        <v>916</v>
      </c>
      <c r="M55" s="5" t="s">
        <v>7</v>
      </c>
      <c r="N55" s="4" t="s">
        <v>917</v>
      </c>
      <c r="O55" s="5" t="s">
        <v>7</v>
      </c>
      <c r="P55" s="4" t="s">
        <v>2611</v>
      </c>
      <c r="Q55" s="5" t="s">
        <v>7</v>
      </c>
      <c r="R55" s="4" t="s">
        <v>713</v>
      </c>
      <c r="S55" s="5" t="s">
        <v>7</v>
      </c>
      <c r="T55" s="4" t="s">
        <v>918</v>
      </c>
      <c r="U55" s="5" t="s">
        <v>7</v>
      </c>
      <c r="V55" s="4" t="s">
        <v>2611</v>
      </c>
      <c r="W55" s="5" t="s">
        <v>7</v>
      </c>
      <c r="X55" s="4" t="s">
        <v>919</v>
      </c>
      <c r="Y55" s="5" t="s">
        <v>7</v>
      </c>
      <c r="Z55" s="4" t="s">
        <v>920</v>
      </c>
      <c r="AA55" s="5" t="s">
        <v>7</v>
      </c>
      <c r="AB5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914404936</v>
      </c>
      <c r="AC55" s="8" t="str">
        <f>IF(NOT(AND(ISNUMBER(VALUE(prodcom_data[[#This Row],[PRODQNT - EU27_2020 - 2019 - amount]])), ISNUMBER(VALUE(prodcom_data[[#This Row],[IMPQNT - EU27_2020 - 2019 - amount]])))), "secrets", "")</f>
        <v/>
      </c>
      <c r="AD5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882272543</v>
      </c>
      <c r="AE55" s="8" t="str">
        <f>IF(NOT(AND(ISNUMBER(VALUE(prodcom_data[[#This Row],[PRODQNT - EU27_2020 - 2022 - amount]])), ISNUMBER(VALUE(prodcom_data[[#This Row],[IMPQNT - EU27_2020 - 2022 - amount]])))), "secrets", "")</f>
        <v/>
      </c>
      <c r="AF55" s="7">
        <f>_xlfn.LET(_xlpm.production_amount, VALUE(prodcom_data[[#This Row],[PRODQNT - FR - 2019 - amount]]), IF(ISNUMBER(_xlpm.production_amount), _xlpm.production_amount, 0))+_xlfn.LET(_xlpm.import_amount, VALUE(prodcom_data[[#This Row],[IMPQNT - FR - 2019 - amount]]), IF(ISNUMBER(_xlpm.import_amount), _xlpm.import_amount, 0))</f>
        <v>317967700</v>
      </c>
      <c r="AG55" s="8" t="str">
        <f>IF(NOT(AND(ISNUMBER(VALUE(prodcom_data[[#This Row],[PRODQNT - FR - 2019 - amount]])), ISNUMBER(VALUE(prodcom_data[[#This Row],[IMPQNT - FR - 2019 - amount]])))), "secrets", "")</f>
        <v>secrets</v>
      </c>
      <c r="AH55" s="7">
        <f>_xlfn.LET(_xlpm.production_amount, VALUE(prodcom_data[[#This Row],[PRODQNT - FR - 2022 - amount]]), IF(ISNUMBER(_xlpm.production_amount), _xlpm.production_amount, 0))+_xlfn.LET(_xlpm.import_amount, VALUE(prodcom_data[[#This Row],[IMPQNT - FR - 2022 - amount]]), IF(ISNUMBER(_xlpm.import_amount), _xlpm.import_amount, 0))</f>
        <v>324636814</v>
      </c>
      <c r="AI55" s="8" t="str">
        <f>IF(NOT(AND(ISNUMBER(VALUE(prodcom_data[[#This Row],[PRODQNT - FR - 2022 - amount]])), ISNUMBER(VALUE(prodcom_data[[#This Row],[IMPQNT - FR - 2022 - amount]])))), "secrets", "")</f>
        <v>secrets</v>
      </c>
      <c r="AJ5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0.90674928778782138</v>
      </c>
      <c r="AK55" s="10" t="s">
        <v>2642</v>
      </c>
    </row>
    <row r="56" spans="1:37" x14ac:dyDescent="0.3">
      <c r="A56" s="4" t="s">
        <v>3</v>
      </c>
      <c r="B56" s="4" t="s">
        <v>293</v>
      </c>
      <c r="C56" s="4" t="s">
        <v>294</v>
      </c>
      <c r="D56" s="4" t="s">
        <v>295</v>
      </c>
      <c r="E56" s="5" t="s">
        <v>7</v>
      </c>
      <c r="F56" s="4" t="s">
        <v>1506</v>
      </c>
      <c r="G56" s="5" t="s">
        <v>7</v>
      </c>
      <c r="H56" s="4" t="s">
        <v>1507</v>
      </c>
      <c r="I56" s="5" t="s">
        <v>7</v>
      </c>
      <c r="J56" s="4" t="s">
        <v>1508</v>
      </c>
      <c r="K56" s="5" t="s">
        <v>7</v>
      </c>
      <c r="L56" s="4" t="s">
        <v>1509</v>
      </c>
      <c r="M56" s="5" t="s">
        <v>7</v>
      </c>
      <c r="N56" s="4" t="s">
        <v>1510</v>
      </c>
      <c r="O56" s="5" t="s">
        <v>7</v>
      </c>
      <c r="P56" s="4" t="s">
        <v>713</v>
      </c>
      <c r="Q56" s="5" t="s">
        <v>7</v>
      </c>
      <c r="R56" s="4" t="s">
        <v>713</v>
      </c>
      <c r="S56" s="5" t="s">
        <v>7</v>
      </c>
      <c r="T56" s="4" t="s">
        <v>1511</v>
      </c>
      <c r="U56" s="5" t="s">
        <v>7</v>
      </c>
      <c r="V56" s="4" t="s">
        <v>713</v>
      </c>
      <c r="W56" s="5" t="s">
        <v>7</v>
      </c>
      <c r="X56" s="4" t="s">
        <v>1512</v>
      </c>
      <c r="Y56" s="5" t="s">
        <v>7</v>
      </c>
      <c r="Z56" s="4" t="s">
        <v>1513</v>
      </c>
      <c r="AA56" s="5" t="s">
        <v>7</v>
      </c>
      <c r="AB5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935192179</v>
      </c>
      <c r="AC56" s="8" t="str">
        <f>IF(NOT(AND(ISNUMBER(VALUE(prodcom_data[[#This Row],[PRODQNT - EU27_2020 - 2019 - amount]])), ISNUMBER(VALUE(prodcom_data[[#This Row],[IMPQNT - EU27_2020 - 2019 - amount]])))), "secrets", "")</f>
        <v/>
      </c>
      <c r="AD5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881884158</v>
      </c>
      <c r="AE56" s="8" t="str">
        <f>IF(NOT(AND(ISNUMBER(VALUE(prodcom_data[[#This Row],[PRODQNT - EU27_2020 - 2022 - amount]])), ISNUMBER(VALUE(prodcom_data[[#This Row],[IMPQNT - EU27_2020 - 2022 - amount]])))), "secrets", "")</f>
        <v/>
      </c>
      <c r="AF56" s="7">
        <f>_xlfn.LET(_xlpm.production_amount, VALUE(prodcom_data[[#This Row],[PRODQNT - FR - 2019 - amount]]), IF(ISNUMBER(_xlpm.production_amount), _xlpm.production_amount, 0))+_xlfn.LET(_xlpm.import_amount, VALUE(prodcom_data[[#This Row],[IMPQNT - FR - 2019 - amount]]), IF(ISNUMBER(_xlpm.import_amount), _xlpm.import_amount, 0))</f>
        <v>2589600</v>
      </c>
      <c r="AG56" s="8" t="str">
        <f>IF(NOT(AND(ISNUMBER(VALUE(prodcom_data[[#This Row],[PRODQNT - FR - 2019 - amount]])), ISNUMBER(VALUE(prodcom_data[[#This Row],[IMPQNT - FR - 2019 - amount]])))), "secrets", "")</f>
        <v/>
      </c>
      <c r="AH56" s="7">
        <f>_xlfn.LET(_xlpm.production_amount, VALUE(prodcom_data[[#This Row],[PRODQNT - FR - 2022 - amount]]), IF(ISNUMBER(_xlpm.production_amount), _xlpm.production_amount, 0))+_xlfn.LET(_xlpm.import_amount, VALUE(prodcom_data[[#This Row],[IMPQNT - FR - 2022 - amount]]), IF(ISNUMBER(_xlpm.import_amount), _xlpm.import_amount, 0))</f>
        <v>2100585</v>
      </c>
      <c r="AI56" s="8" t="str">
        <f>IF(NOT(AND(ISNUMBER(VALUE(prodcom_data[[#This Row],[PRODQNT - FR - 2022 - amount]])), ISNUMBER(VALUE(prodcom_data[[#This Row],[IMPQNT - FR - 2022 - amount]])))), "secrets", "")</f>
        <v/>
      </c>
      <c r="AJ5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0.54958148029233567</v>
      </c>
      <c r="AK56" s="10" t="s">
        <v>2642</v>
      </c>
    </row>
    <row r="57" spans="1:37" x14ac:dyDescent="0.3">
      <c r="A57" s="4" t="s">
        <v>3</v>
      </c>
      <c r="B57" s="4" t="s">
        <v>602</v>
      </c>
      <c r="C57" s="4" t="s">
        <v>603</v>
      </c>
      <c r="D57" s="4" t="s">
        <v>604</v>
      </c>
      <c r="E57" s="5" t="s">
        <v>7</v>
      </c>
      <c r="F57" s="4" t="s">
        <v>2376</v>
      </c>
      <c r="G57" s="5" t="s">
        <v>7</v>
      </c>
      <c r="H57" s="4" t="s">
        <v>2377</v>
      </c>
      <c r="I57" s="5" t="s">
        <v>7</v>
      </c>
      <c r="J57" s="4" t="s">
        <v>2378</v>
      </c>
      <c r="K57" s="5" t="s">
        <v>7</v>
      </c>
      <c r="L57" s="4" t="s">
        <v>2379</v>
      </c>
      <c r="M57" s="5" t="s">
        <v>7</v>
      </c>
      <c r="N57" s="4" t="s">
        <v>2380</v>
      </c>
      <c r="O57" s="5" t="s">
        <v>7</v>
      </c>
      <c r="P57" s="4" t="s">
        <v>713</v>
      </c>
      <c r="Q57" s="5" t="s">
        <v>7</v>
      </c>
      <c r="R57" s="4" t="s">
        <v>2381</v>
      </c>
      <c r="S57" s="5" t="s">
        <v>7</v>
      </c>
      <c r="T57" s="4" t="s">
        <v>2382</v>
      </c>
      <c r="U57" s="5" t="s">
        <v>7</v>
      </c>
      <c r="V57" s="4" t="s">
        <v>2611</v>
      </c>
      <c r="W57" s="5" t="s">
        <v>7</v>
      </c>
      <c r="X57" s="4" t="s">
        <v>2383</v>
      </c>
      <c r="Y57" s="5" t="s">
        <v>7</v>
      </c>
      <c r="Z57" s="4" t="s">
        <v>2384</v>
      </c>
      <c r="AA57" s="5" t="s">
        <v>7</v>
      </c>
      <c r="AB5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705247106</v>
      </c>
      <c r="AC57" s="8" t="str">
        <f>IF(NOT(AND(ISNUMBER(VALUE(prodcom_data[[#This Row],[PRODQNT - EU27_2020 - 2019 - amount]])), ISNUMBER(VALUE(prodcom_data[[#This Row],[IMPQNT - EU27_2020 - 2019 - amount]])))), "secrets", "")</f>
        <v/>
      </c>
      <c r="AD5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872335906</v>
      </c>
      <c r="AE57" s="8" t="str">
        <f>IF(NOT(AND(ISNUMBER(VALUE(prodcom_data[[#This Row],[PRODQNT - EU27_2020 - 2022 - amount]])), ISNUMBER(VALUE(prodcom_data[[#This Row],[IMPQNT - EU27_2020 - 2022 - amount]])))), "secrets", "")</f>
        <v/>
      </c>
      <c r="AF57" s="7">
        <f>_xlfn.LET(_xlpm.production_amount, VALUE(prodcom_data[[#This Row],[PRODQNT - FR - 2019 - amount]]), IF(ISNUMBER(_xlpm.production_amount), _xlpm.production_amount, 0))+_xlfn.LET(_xlpm.import_amount, VALUE(prodcom_data[[#This Row],[IMPQNT - FR - 2019 - amount]]), IF(ISNUMBER(_xlpm.import_amount), _xlpm.import_amount, 0))</f>
        <v>26523500</v>
      </c>
      <c r="AG57" s="8" t="str">
        <f>IF(NOT(AND(ISNUMBER(VALUE(prodcom_data[[#This Row],[PRODQNT - FR - 2019 - amount]])), ISNUMBER(VALUE(prodcom_data[[#This Row],[IMPQNT - FR - 2019 - amount]])))), "secrets", "")</f>
        <v/>
      </c>
      <c r="AH57" s="7">
        <f>_xlfn.LET(_xlpm.production_amount, VALUE(prodcom_data[[#This Row],[PRODQNT - FR - 2022 - amount]]), IF(ISNUMBER(_xlpm.production_amount), _xlpm.production_amount, 0))+_xlfn.LET(_xlpm.import_amount, VALUE(prodcom_data[[#This Row],[IMPQNT - FR - 2022 - amount]]), IF(ISNUMBER(_xlpm.import_amount), _xlpm.import_amount, 0))</f>
        <v>57927589</v>
      </c>
      <c r="AI57" s="8" t="str">
        <f>IF(NOT(AND(ISNUMBER(VALUE(prodcom_data[[#This Row],[PRODQNT - FR - 2022 - amount]])), ISNUMBER(VALUE(prodcom_data[[#This Row],[IMPQNT - FR - 2022 - amount]])))), "secrets", "")</f>
        <v>secrets</v>
      </c>
      <c r="AJ5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0.50439285712492499</v>
      </c>
      <c r="AK57" s="10" t="s">
        <v>2642</v>
      </c>
    </row>
    <row r="58" spans="1:37" hidden="1" x14ac:dyDescent="0.3">
      <c r="A58" s="4" t="s">
        <v>3</v>
      </c>
      <c r="B58" s="4" t="s">
        <v>655</v>
      </c>
      <c r="C58" s="4" t="s">
        <v>656</v>
      </c>
      <c r="D58" s="4" t="s">
        <v>657</v>
      </c>
      <c r="E58" s="5" t="s">
        <v>7</v>
      </c>
      <c r="F58" s="4" t="s">
        <v>2549</v>
      </c>
      <c r="G58" s="5" t="s">
        <v>7</v>
      </c>
      <c r="H58" s="4" t="s">
        <v>2550</v>
      </c>
      <c r="I58" s="5" t="s">
        <v>7</v>
      </c>
      <c r="J58" s="4" t="s">
        <v>2551</v>
      </c>
      <c r="K58" s="5" t="s">
        <v>7</v>
      </c>
      <c r="L58" s="4" t="s">
        <v>2552</v>
      </c>
      <c r="M58" s="5" t="s">
        <v>7</v>
      </c>
      <c r="N58" s="4" t="s">
        <v>2553</v>
      </c>
      <c r="O58" s="5" t="s">
        <v>7</v>
      </c>
      <c r="P58" s="4" t="s">
        <v>703</v>
      </c>
      <c r="Q58" s="5" t="s">
        <v>703</v>
      </c>
      <c r="R58" s="4" t="s">
        <v>713</v>
      </c>
      <c r="S58" s="5" t="s">
        <v>7</v>
      </c>
      <c r="T58" s="4" t="s">
        <v>2554</v>
      </c>
      <c r="U58" s="5" t="s">
        <v>7</v>
      </c>
      <c r="V58" s="4" t="s">
        <v>703</v>
      </c>
      <c r="W58" s="5" t="s">
        <v>703</v>
      </c>
      <c r="X58" s="4" t="s">
        <v>2555</v>
      </c>
      <c r="Y58" s="5" t="s">
        <v>7</v>
      </c>
      <c r="Z58" s="4" t="s">
        <v>2556</v>
      </c>
      <c r="AA58" s="5" t="s">
        <v>7</v>
      </c>
      <c r="AB5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838930999</v>
      </c>
      <c r="AC58" s="8" t="str">
        <f>IF(NOT(AND(ISNUMBER(VALUE(prodcom_data[[#This Row],[PRODQNT - EU27_2020 - 2019 - amount]])), ISNUMBER(VALUE(prodcom_data[[#This Row],[IMPQNT - EU27_2020 - 2019 - amount]])))), "secrets", "")</f>
        <v/>
      </c>
      <c r="AD5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856908482</v>
      </c>
      <c r="AE58" s="8" t="str">
        <f>IF(NOT(AND(ISNUMBER(VALUE(prodcom_data[[#This Row],[PRODQNT - EU27_2020 - 2022 - amount]])), ISNUMBER(VALUE(prodcom_data[[#This Row],[IMPQNT - EU27_2020 - 2022 - amount]])))), "secrets", "")</f>
        <v/>
      </c>
      <c r="AF58" s="7">
        <f>_xlfn.LET(_xlpm.production_amount, VALUE(prodcom_data[[#This Row],[PRODQNT - FR - 2019 - amount]]), IF(ISNUMBER(_xlpm.production_amount), _xlpm.production_amount, 0))+_xlfn.LET(_xlpm.import_amount, VALUE(prodcom_data[[#This Row],[IMPQNT - FR - 2019 - amount]]), IF(ISNUMBER(_xlpm.import_amount), _xlpm.import_amount, 0))</f>
        <v>44655800</v>
      </c>
      <c r="AG58" s="8" t="str">
        <f>IF(NOT(AND(ISNUMBER(VALUE(prodcom_data[[#This Row],[PRODQNT - FR - 2019 - amount]])), ISNUMBER(VALUE(prodcom_data[[#This Row],[IMPQNT - FR - 2019 - amount]])))), "secrets", "")</f>
        <v>secrets</v>
      </c>
      <c r="AH58" s="7">
        <f>_xlfn.LET(_xlpm.production_amount, VALUE(prodcom_data[[#This Row],[PRODQNT - FR - 2022 - amount]]), IF(ISNUMBER(_xlpm.production_amount), _xlpm.production_amount, 0))+_xlfn.LET(_xlpm.import_amount, VALUE(prodcom_data[[#This Row],[IMPQNT - FR - 2022 - amount]]), IF(ISNUMBER(_xlpm.import_amount), _xlpm.import_amount, 0))</f>
        <v>51333301</v>
      </c>
      <c r="AI58" s="8" t="str">
        <f>IF(NOT(AND(ISNUMBER(VALUE(prodcom_data[[#This Row],[PRODQNT - FR - 2022 - amount]])), ISNUMBER(VALUE(prodcom_data[[#This Row],[IMPQNT - FR - 2022 - amount]])))), "secrets", "")</f>
        <v>secrets</v>
      </c>
      <c r="AJ5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0.75003262250355462</v>
      </c>
      <c r="AK58" s="10" t="s">
        <v>2658</v>
      </c>
    </row>
    <row r="59" spans="1:37" x14ac:dyDescent="0.3">
      <c r="A59" s="4" t="s">
        <v>3</v>
      </c>
      <c r="B59" s="4" t="s">
        <v>135</v>
      </c>
      <c r="C59" s="4" t="s">
        <v>136</v>
      </c>
      <c r="D59" s="4" t="s">
        <v>137</v>
      </c>
      <c r="E59" s="5" t="s">
        <v>7</v>
      </c>
      <c r="F59" s="4" t="s">
        <v>1082</v>
      </c>
      <c r="G59" s="5" t="s">
        <v>7</v>
      </c>
      <c r="H59" s="4" t="s">
        <v>1083</v>
      </c>
      <c r="I59" s="5" t="s">
        <v>7</v>
      </c>
      <c r="J59" s="4" t="s">
        <v>824</v>
      </c>
      <c r="K59" s="5" t="s">
        <v>7</v>
      </c>
      <c r="L59" s="4" t="s">
        <v>1084</v>
      </c>
      <c r="M59" s="5" t="s">
        <v>7</v>
      </c>
      <c r="N59" s="4" t="s">
        <v>1085</v>
      </c>
      <c r="O59" s="5" t="s">
        <v>7</v>
      </c>
      <c r="P59" s="4" t="s">
        <v>703</v>
      </c>
      <c r="Q59" s="5" t="s">
        <v>703</v>
      </c>
      <c r="R59" s="4" t="s">
        <v>1086</v>
      </c>
      <c r="S59" s="5" t="s">
        <v>7</v>
      </c>
      <c r="T59" s="4" t="s">
        <v>1087</v>
      </c>
      <c r="U59" s="5" t="s">
        <v>7</v>
      </c>
      <c r="V59" s="4" t="s">
        <v>703</v>
      </c>
      <c r="W59" s="5" t="s">
        <v>703</v>
      </c>
      <c r="X59" s="4" t="s">
        <v>1088</v>
      </c>
      <c r="Y59" s="5" t="s">
        <v>7</v>
      </c>
      <c r="Z59" s="4" t="s">
        <v>1089</v>
      </c>
      <c r="AA59" s="5" t="s">
        <v>7</v>
      </c>
      <c r="AB5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718906452</v>
      </c>
      <c r="AC59" s="8" t="str">
        <f>IF(NOT(AND(ISNUMBER(VALUE(prodcom_data[[#This Row],[PRODQNT - EU27_2020 - 2019 - amount]])), ISNUMBER(VALUE(prodcom_data[[#This Row],[IMPQNT - EU27_2020 - 2019 - amount]])))), "secrets", "")</f>
        <v/>
      </c>
      <c r="AD5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848026699</v>
      </c>
      <c r="AE59" s="8" t="str">
        <f>IF(NOT(AND(ISNUMBER(VALUE(prodcom_data[[#This Row],[PRODQNT - EU27_2020 - 2022 - amount]])), ISNUMBER(VALUE(prodcom_data[[#This Row],[IMPQNT - EU27_2020 - 2022 - amount]])))), "secrets", "")</f>
        <v/>
      </c>
      <c r="AF59" s="7">
        <f>_xlfn.LET(_xlpm.production_amount, VALUE(prodcom_data[[#This Row],[PRODQNT - FR - 2019 - amount]]), IF(ISNUMBER(_xlpm.production_amount), _xlpm.production_amount, 0))+_xlfn.LET(_xlpm.import_amount, VALUE(prodcom_data[[#This Row],[IMPQNT - FR - 2019 - amount]]), IF(ISNUMBER(_xlpm.import_amount), _xlpm.import_amount, 0))</f>
        <v>96355300</v>
      </c>
      <c r="AG59" s="8" t="str">
        <f>IF(NOT(AND(ISNUMBER(VALUE(prodcom_data[[#This Row],[PRODQNT - FR - 2019 - amount]])), ISNUMBER(VALUE(prodcom_data[[#This Row],[IMPQNT - FR - 2019 - amount]])))), "secrets", "")</f>
        <v>secrets</v>
      </c>
      <c r="AH59" s="7">
        <f>_xlfn.LET(_xlpm.production_amount, VALUE(prodcom_data[[#This Row],[PRODQNT - FR - 2022 - amount]]), IF(ISNUMBER(_xlpm.production_amount), _xlpm.production_amount, 0))+_xlfn.LET(_xlpm.import_amount, VALUE(prodcom_data[[#This Row],[IMPQNT - FR - 2022 - amount]]), IF(ISNUMBER(_xlpm.import_amount), _xlpm.import_amount, 0))</f>
        <v>71053198</v>
      </c>
      <c r="AI59" s="8" t="str">
        <f>IF(NOT(AND(ISNUMBER(VALUE(prodcom_data[[#This Row],[PRODQNT - FR - 2022 - amount]])), ISNUMBER(VALUE(prodcom_data[[#This Row],[IMPQNT - FR - 2022 - amount]])))), "secrets", "")</f>
        <v>secrets</v>
      </c>
      <c r="AJ5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0.94336652483154892</v>
      </c>
      <c r="AK59" s="10" t="s">
        <v>2642</v>
      </c>
    </row>
    <row r="60" spans="1:37" x14ac:dyDescent="0.3">
      <c r="A60" s="4" t="s">
        <v>3</v>
      </c>
      <c r="B60" s="4" t="s">
        <v>557</v>
      </c>
      <c r="C60" s="4" t="s">
        <v>558</v>
      </c>
      <c r="D60" s="4" t="s">
        <v>559</v>
      </c>
      <c r="E60" s="5" t="s">
        <v>7</v>
      </c>
      <c r="F60" s="4" t="s">
        <v>2232</v>
      </c>
      <c r="G60" s="5" t="s">
        <v>7</v>
      </c>
      <c r="H60" s="4" t="s">
        <v>2233</v>
      </c>
      <c r="I60" s="5" t="s">
        <v>7</v>
      </c>
      <c r="J60" s="4" t="s">
        <v>2234</v>
      </c>
      <c r="K60" s="5" t="s">
        <v>7</v>
      </c>
      <c r="L60" s="4" t="s">
        <v>2235</v>
      </c>
      <c r="M60" s="5" t="s">
        <v>7</v>
      </c>
      <c r="N60" s="4" t="s">
        <v>2236</v>
      </c>
      <c r="O60" s="5" t="s">
        <v>7</v>
      </c>
      <c r="P60" s="4" t="s">
        <v>2237</v>
      </c>
      <c r="Q60" s="5" t="s">
        <v>7</v>
      </c>
      <c r="R60" s="4" t="s">
        <v>2238</v>
      </c>
      <c r="S60" s="5" t="s">
        <v>7</v>
      </c>
      <c r="T60" s="4" t="s">
        <v>2239</v>
      </c>
      <c r="U60" s="5" t="s">
        <v>7</v>
      </c>
      <c r="V60" s="4" t="s">
        <v>2611</v>
      </c>
      <c r="W60" s="5" t="s">
        <v>7</v>
      </c>
      <c r="X60" s="4" t="s">
        <v>2240</v>
      </c>
      <c r="Y60" s="5" t="s">
        <v>7</v>
      </c>
      <c r="Z60" s="4" t="s">
        <v>2241</v>
      </c>
      <c r="AA60" s="5" t="s">
        <v>7</v>
      </c>
      <c r="AB6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935915365</v>
      </c>
      <c r="AC60" s="8" t="str">
        <f>IF(NOT(AND(ISNUMBER(VALUE(prodcom_data[[#This Row],[PRODQNT - EU27_2020 - 2019 - amount]])), ISNUMBER(VALUE(prodcom_data[[#This Row],[IMPQNT - EU27_2020 - 2019 - amount]])))), "secrets", "")</f>
        <v/>
      </c>
      <c r="AD6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846217183</v>
      </c>
      <c r="AE60" s="8" t="str">
        <f>IF(NOT(AND(ISNUMBER(VALUE(prodcom_data[[#This Row],[PRODQNT - EU27_2020 - 2022 - amount]])), ISNUMBER(VALUE(prodcom_data[[#This Row],[IMPQNT - EU27_2020 - 2022 - amount]])))), "secrets", "")</f>
        <v/>
      </c>
      <c r="AF60" s="7">
        <f>_xlfn.LET(_xlpm.production_amount, VALUE(prodcom_data[[#This Row],[PRODQNT - FR - 2019 - amount]]), IF(ISNUMBER(_xlpm.production_amount), _xlpm.production_amount, 0))+_xlfn.LET(_xlpm.import_amount, VALUE(prodcom_data[[#This Row],[IMPQNT - FR - 2019 - amount]]), IF(ISNUMBER(_xlpm.import_amount), _xlpm.import_amount, 0))</f>
        <v>36491584</v>
      </c>
      <c r="AG60" s="8" t="str">
        <f>IF(NOT(AND(ISNUMBER(VALUE(prodcom_data[[#This Row],[PRODQNT - FR - 2019 - amount]])), ISNUMBER(VALUE(prodcom_data[[#This Row],[IMPQNT - FR - 2019 - amount]])))), "secrets", "")</f>
        <v/>
      </c>
      <c r="AH60" s="7">
        <f>_xlfn.LET(_xlpm.production_amount, VALUE(prodcom_data[[#This Row],[PRODQNT - FR - 2022 - amount]]), IF(ISNUMBER(_xlpm.production_amount), _xlpm.production_amount, 0))+_xlfn.LET(_xlpm.import_amount, VALUE(prodcom_data[[#This Row],[IMPQNT - FR - 2022 - amount]]), IF(ISNUMBER(_xlpm.import_amount), _xlpm.import_amount, 0))</f>
        <v>37955760</v>
      </c>
      <c r="AI60" s="8" t="str">
        <f>IF(NOT(AND(ISNUMBER(VALUE(prodcom_data[[#This Row],[PRODQNT - FR - 2022 - amount]])), ISNUMBER(VALUE(prodcom_data[[#This Row],[IMPQNT - FR - 2022 - amount]])))), "secrets", "")</f>
        <v>secrets</v>
      </c>
      <c r="AJ6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0.71535186139088358</v>
      </c>
      <c r="AK60" s="10" t="s">
        <v>2642</v>
      </c>
    </row>
    <row r="61" spans="1:37" hidden="1" x14ac:dyDescent="0.3">
      <c r="A61" s="4" t="s">
        <v>3</v>
      </c>
      <c r="B61" s="4" t="s">
        <v>269</v>
      </c>
      <c r="C61" s="4" t="s">
        <v>270</v>
      </c>
      <c r="D61" s="4" t="s">
        <v>271</v>
      </c>
      <c r="E61" s="5" t="s">
        <v>7</v>
      </c>
      <c r="F61" s="4" t="s">
        <v>1432</v>
      </c>
      <c r="G61" s="5" t="s">
        <v>7</v>
      </c>
      <c r="H61" s="4" t="s">
        <v>1433</v>
      </c>
      <c r="I61" s="5" t="s">
        <v>7</v>
      </c>
      <c r="J61" s="4" t="s">
        <v>1434</v>
      </c>
      <c r="K61" s="5" t="s">
        <v>7</v>
      </c>
      <c r="L61" s="4" t="s">
        <v>1435</v>
      </c>
      <c r="M61" s="5" t="s">
        <v>7</v>
      </c>
      <c r="N61" s="4" t="s">
        <v>1436</v>
      </c>
      <c r="O61" s="5" t="s">
        <v>7</v>
      </c>
      <c r="P61" s="4" t="s">
        <v>1437</v>
      </c>
      <c r="Q61" s="5" t="s">
        <v>7</v>
      </c>
      <c r="R61" s="4" t="s">
        <v>1438</v>
      </c>
      <c r="S61" s="5" t="s">
        <v>7</v>
      </c>
      <c r="T61" s="4" t="s">
        <v>1439</v>
      </c>
      <c r="U61" s="5" t="s">
        <v>7</v>
      </c>
      <c r="V61" s="4" t="s">
        <v>1440</v>
      </c>
      <c r="W61" s="5" t="s">
        <v>7</v>
      </c>
      <c r="X61" s="4" t="s">
        <v>1441</v>
      </c>
      <c r="Y61" s="5" t="s">
        <v>7</v>
      </c>
      <c r="Z61" s="4" t="s">
        <v>1442</v>
      </c>
      <c r="AA61" s="5" t="s">
        <v>7</v>
      </c>
      <c r="AB6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701630370</v>
      </c>
      <c r="AC61" s="8" t="str">
        <f>IF(NOT(AND(ISNUMBER(VALUE(prodcom_data[[#This Row],[PRODQNT - EU27_2020 - 2019 - amount]])), ISNUMBER(VALUE(prodcom_data[[#This Row],[IMPQNT - EU27_2020 - 2019 - amount]])))), "secrets", "")</f>
        <v/>
      </c>
      <c r="AD6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837179497</v>
      </c>
      <c r="AE61" s="8" t="str">
        <f>IF(NOT(AND(ISNUMBER(VALUE(prodcom_data[[#This Row],[PRODQNT - EU27_2020 - 2022 - amount]])), ISNUMBER(VALUE(prodcom_data[[#This Row],[IMPQNT - EU27_2020 - 2022 - amount]])))), "secrets", "")</f>
        <v/>
      </c>
      <c r="AF61" s="7">
        <f>_xlfn.LET(_xlpm.production_amount, VALUE(prodcom_data[[#This Row],[PRODQNT - FR - 2019 - amount]]), IF(ISNUMBER(_xlpm.production_amount), _xlpm.production_amount, 0))+_xlfn.LET(_xlpm.import_amount, VALUE(prodcom_data[[#This Row],[IMPQNT - FR - 2019 - amount]]), IF(ISNUMBER(_xlpm.import_amount), _xlpm.import_amount, 0))</f>
        <v>58220111</v>
      </c>
      <c r="AG61" s="8" t="str">
        <f>IF(NOT(AND(ISNUMBER(VALUE(prodcom_data[[#This Row],[PRODQNT - FR - 2019 - amount]])), ISNUMBER(VALUE(prodcom_data[[#This Row],[IMPQNT - FR - 2019 - amount]])))), "secrets", "")</f>
        <v/>
      </c>
      <c r="AH61" s="7">
        <f>_xlfn.LET(_xlpm.production_amount, VALUE(prodcom_data[[#This Row],[PRODQNT - FR - 2022 - amount]]), IF(ISNUMBER(_xlpm.production_amount), _xlpm.production_amount, 0))+_xlfn.LET(_xlpm.import_amount, VALUE(prodcom_data[[#This Row],[IMPQNT - FR - 2022 - amount]]), IF(ISNUMBER(_xlpm.import_amount), _xlpm.import_amount, 0))</f>
        <v>58989867</v>
      </c>
      <c r="AI61" s="8" t="str">
        <f>IF(NOT(AND(ISNUMBER(VALUE(prodcom_data[[#This Row],[PRODQNT - FR - 2022 - amount]])), ISNUMBER(VALUE(prodcom_data[[#This Row],[IMPQNT - FR - 2022 - amount]])))), "secrets", "")</f>
        <v/>
      </c>
      <c r="AJ6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0.59724348457138576</v>
      </c>
      <c r="AK61" s="10" t="s">
        <v>2649</v>
      </c>
    </row>
    <row r="62" spans="1:37" hidden="1" x14ac:dyDescent="0.3">
      <c r="A62" s="4" t="s">
        <v>3</v>
      </c>
      <c r="B62" s="4" t="s">
        <v>643</v>
      </c>
      <c r="C62" s="4" t="s">
        <v>644</v>
      </c>
      <c r="D62" s="4" t="s">
        <v>645</v>
      </c>
      <c r="E62" s="5" t="s">
        <v>7</v>
      </c>
      <c r="F62" s="4" t="s">
        <v>2512</v>
      </c>
      <c r="G62" s="5" t="s">
        <v>7</v>
      </c>
      <c r="H62" s="4" t="s">
        <v>2513</v>
      </c>
      <c r="I62" s="5" t="s">
        <v>7</v>
      </c>
      <c r="J62" s="4" t="s">
        <v>562</v>
      </c>
      <c r="K62" s="5" t="s">
        <v>7</v>
      </c>
      <c r="L62" s="4" t="s">
        <v>2514</v>
      </c>
      <c r="M62" s="5" t="s">
        <v>7</v>
      </c>
      <c r="N62" s="4" t="s">
        <v>2515</v>
      </c>
      <c r="O62" s="5" t="s">
        <v>7</v>
      </c>
      <c r="P62" s="4" t="s">
        <v>2611</v>
      </c>
      <c r="Q62" s="5" t="s">
        <v>7</v>
      </c>
      <c r="R62" s="4" t="s">
        <v>2516</v>
      </c>
      <c r="S62" s="5" t="s">
        <v>7</v>
      </c>
      <c r="T62" s="4" t="s">
        <v>2517</v>
      </c>
      <c r="U62" s="5" t="s">
        <v>7</v>
      </c>
      <c r="V62" s="4" t="s">
        <v>2611</v>
      </c>
      <c r="W62" s="5" t="s">
        <v>7</v>
      </c>
      <c r="X62" s="4" t="s">
        <v>2518</v>
      </c>
      <c r="Y62" s="5" t="s">
        <v>7</v>
      </c>
      <c r="Z62" s="4" t="s">
        <v>2519</v>
      </c>
      <c r="AA62" s="5" t="s">
        <v>7</v>
      </c>
      <c r="AB6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957144805</v>
      </c>
      <c r="AC62" s="8" t="str">
        <f>IF(NOT(AND(ISNUMBER(VALUE(prodcom_data[[#This Row],[PRODQNT - EU27_2020 - 2019 - amount]])), ISNUMBER(VALUE(prodcom_data[[#This Row],[IMPQNT - EU27_2020 - 2019 - amount]])))), "secrets", "")</f>
        <v/>
      </c>
      <c r="AD6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831668427</v>
      </c>
      <c r="AE62" s="8" t="str">
        <f>IF(NOT(AND(ISNUMBER(VALUE(prodcom_data[[#This Row],[PRODQNT - EU27_2020 - 2022 - amount]])), ISNUMBER(VALUE(prodcom_data[[#This Row],[IMPQNT - EU27_2020 - 2022 - amount]])))), "secrets", "")</f>
        <v/>
      </c>
      <c r="AF62" s="7">
        <f>_xlfn.LET(_xlpm.production_amount, VALUE(prodcom_data[[#This Row],[PRODQNT - FR - 2019 - amount]]), IF(ISNUMBER(_xlpm.production_amount), _xlpm.production_amount, 0))+_xlfn.LET(_xlpm.import_amount, VALUE(prodcom_data[[#This Row],[IMPQNT - FR - 2019 - amount]]), IF(ISNUMBER(_xlpm.import_amount), _xlpm.import_amount, 0))</f>
        <v>60792500</v>
      </c>
      <c r="AG62" s="8" t="str">
        <f>IF(NOT(AND(ISNUMBER(VALUE(prodcom_data[[#This Row],[PRODQNT - FR - 2019 - amount]])), ISNUMBER(VALUE(prodcom_data[[#This Row],[IMPQNT - FR - 2019 - amount]])))), "secrets", "")</f>
        <v>secrets</v>
      </c>
      <c r="AH62" s="7">
        <f>_xlfn.LET(_xlpm.production_amount, VALUE(prodcom_data[[#This Row],[PRODQNT - FR - 2022 - amount]]), IF(ISNUMBER(_xlpm.production_amount), _xlpm.production_amount, 0))+_xlfn.LET(_xlpm.import_amount, VALUE(prodcom_data[[#This Row],[IMPQNT - FR - 2022 - amount]]), IF(ISNUMBER(_xlpm.import_amount), _xlpm.import_amount, 0))</f>
        <v>53246550</v>
      </c>
      <c r="AI62" s="8" t="str">
        <f>IF(NOT(AND(ISNUMBER(VALUE(prodcom_data[[#This Row],[PRODQNT - FR - 2022 - amount]])), ISNUMBER(VALUE(prodcom_data[[#This Row],[IMPQNT - FR - 2022 - amount]])))), "secrets", "")</f>
        <v>secrets</v>
      </c>
      <c r="AJ6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0.90180169843095415</v>
      </c>
      <c r="AK62" s="10" t="s">
        <v>2658</v>
      </c>
    </row>
    <row r="63" spans="1:37" x14ac:dyDescent="0.3">
      <c r="A63" s="4" t="s">
        <v>3</v>
      </c>
      <c r="B63" s="4" t="s">
        <v>46</v>
      </c>
      <c r="C63" s="4" t="s">
        <v>47</v>
      </c>
      <c r="D63" s="4" t="s">
        <v>48</v>
      </c>
      <c r="E63" s="5" t="s">
        <v>7</v>
      </c>
      <c r="F63" s="4" t="s">
        <v>822</v>
      </c>
      <c r="G63" s="5" t="s">
        <v>7</v>
      </c>
      <c r="H63" s="4" t="s">
        <v>823</v>
      </c>
      <c r="I63" s="5" t="s">
        <v>7</v>
      </c>
      <c r="J63" s="4" t="s">
        <v>824</v>
      </c>
      <c r="K63" s="5" t="s">
        <v>7</v>
      </c>
      <c r="L63" s="4" t="s">
        <v>825</v>
      </c>
      <c r="M63" s="5" t="s">
        <v>7</v>
      </c>
      <c r="N63" s="4" t="s">
        <v>826</v>
      </c>
      <c r="O63" s="5" t="s">
        <v>7</v>
      </c>
      <c r="P63" s="4" t="s">
        <v>2611</v>
      </c>
      <c r="Q63" s="5" t="s">
        <v>7</v>
      </c>
      <c r="R63" s="4" t="s">
        <v>827</v>
      </c>
      <c r="S63" s="5" t="s">
        <v>7</v>
      </c>
      <c r="T63" s="4" t="s">
        <v>828</v>
      </c>
      <c r="U63" s="5" t="s">
        <v>7</v>
      </c>
      <c r="V63" s="4" t="s">
        <v>2611</v>
      </c>
      <c r="W63" s="5" t="s">
        <v>7</v>
      </c>
      <c r="X63" s="4" t="s">
        <v>829</v>
      </c>
      <c r="Y63" s="5" t="s">
        <v>7</v>
      </c>
      <c r="Z63" s="4" t="s">
        <v>830</v>
      </c>
      <c r="AA63" s="5" t="s">
        <v>7</v>
      </c>
      <c r="AB6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969703945</v>
      </c>
      <c r="AC63" s="8" t="str">
        <f>IF(NOT(AND(ISNUMBER(VALUE(prodcom_data[[#This Row],[PRODQNT - EU27_2020 - 2019 - amount]])), ISNUMBER(VALUE(prodcom_data[[#This Row],[IMPQNT - EU27_2020 - 2019 - amount]])))), "secrets", "")</f>
        <v/>
      </c>
      <c r="AD6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821433537</v>
      </c>
      <c r="AE63" s="8" t="str">
        <f>IF(NOT(AND(ISNUMBER(VALUE(prodcom_data[[#This Row],[PRODQNT - EU27_2020 - 2022 - amount]])), ISNUMBER(VALUE(prodcom_data[[#This Row],[IMPQNT - EU27_2020 - 2022 - amount]])))), "secrets", "")</f>
        <v/>
      </c>
      <c r="AF63" s="7">
        <f>_xlfn.LET(_xlpm.production_amount, VALUE(prodcom_data[[#This Row],[PRODQNT - FR - 2019 - amount]]), IF(ISNUMBER(_xlpm.production_amount), _xlpm.production_amount, 0))+_xlfn.LET(_xlpm.import_amount, VALUE(prodcom_data[[#This Row],[IMPQNT - FR - 2019 - amount]]), IF(ISNUMBER(_xlpm.import_amount), _xlpm.import_amount, 0))</f>
        <v>3666900</v>
      </c>
      <c r="AG63" s="8" t="str">
        <f>IF(NOT(AND(ISNUMBER(VALUE(prodcom_data[[#This Row],[PRODQNT - FR - 2019 - amount]])), ISNUMBER(VALUE(prodcom_data[[#This Row],[IMPQNT - FR - 2019 - amount]])))), "secrets", "")</f>
        <v>secrets</v>
      </c>
      <c r="AH63" s="7">
        <f>_xlfn.LET(_xlpm.production_amount, VALUE(prodcom_data[[#This Row],[PRODQNT - FR - 2022 - amount]]), IF(ISNUMBER(_xlpm.production_amount), _xlpm.production_amount, 0))+_xlfn.LET(_xlpm.import_amount, VALUE(prodcom_data[[#This Row],[IMPQNT - FR - 2022 - amount]]), IF(ISNUMBER(_xlpm.import_amount), _xlpm.import_amount, 0))</f>
        <v>1816486</v>
      </c>
      <c r="AI63" s="8" t="str">
        <f>IF(NOT(AND(ISNUMBER(VALUE(prodcom_data[[#This Row],[PRODQNT - FR - 2022 - amount]])), ISNUMBER(VALUE(prodcom_data[[#This Row],[IMPQNT - FR - 2022 - amount]])))), "secrets", "")</f>
        <v>secrets</v>
      </c>
      <c r="AJ6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0.97390715616715806</v>
      </c>
      <c r="AK63" s="10" t="s">
        <v>2642</v>
      </c>
    </row>
    <row r="64" spans="1:37" hidden="1" x14ac:dyDescent="0.3">
      <c r="A64" s="4" t="s">
        <v>3</v>
      </c>
      <c r="B64" s="4" t="s">
        <v>560</v>
      </c>
      <c r="C64" s="4" t="s">
        <v>561</v>
      </c>
      <c r="D64" s="4" t="s">
        <v>562</v>
      </c>
      <c r="E64" s="5" t="s">
        <v>7</v>
      </c>
      <c r="F64" s="4" t="s">
        <v>2242</v>
      </c>
      <c r="G64" s="5" t="s">
        <v>7</v>
      </c>
      <c r="H64" s="4" t="s">
        <v>2243</v>
      </c>
      <c r="I64" s="5" t="s">
        <v>7</v>
      </c>
      <c r="J64" s="4" t="s">
        <v>2244</v>
      </c>
      <c r="K64" s="5" t="s">
        <v>7</v>
      </c>
      <c r="L64" s="4" t="s">
        <v>2245</v>
      </c>
      <c r="M64" s="5" t="s">
        <v>7</v>
      </c>
      <c r="N64" s="4" t="s">
        <v>2246</v>
      </c>
      <c r="O64" s="5" t="s">
        <v>7</v>
      </c>
      <c r="P64" s="4" t="s">
        <v>2611</v>
      </c>
      <c r="Q64" s="5" t="s">
        <v>7</v>
      </c>
      <c r="R64" s="4" t="s">
        <v>2247</v>
      </c>
      <c r="S64" s="5" t="s">
        <v>7</v>
      </c>
      <c r="T64" s="4" t="s">
        <v>2248</v>
      </c>
      <c r="U64" s="5" t="s">
        <v>7</v>
      </c>
      <c r="V64" s="4" t="s">
        <v>2611</v>
      </c>
      <c r="W64" s="5" t="s">
        <v>7</v>
      </c>
      <c r="X64" s="4" t="s">
        <v>2249</v>
      </c>
      <c r="Y64" s="5" t="s">
        <v>7</v>
      </c>
      <c r="Z64" s="4" t="s">
        <v>2250</v>
      </c>
      <c r="AA64" s="5" t="s">
        <v>7</v>
      </c>
      <c r="AB6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853541438</v>
      </c>
      <c r="AC64" s="8" t="str">
        <f>IF(NOT(AND(ISNUMBER(VALUE(prodcom_data[[#This Row],[PRODQNT - EU27_2020 - 2019 - amount]])), ISNUMBER(VALUE(prodcom_data[[#This Row],[IMPQNT - EU27_2020 - 2019 - amount]])))), "secrets", "")</f>
        <v/>
      </c>
      <c r="AD6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815497328</v>
      </c>
      <c r="AE64" s="8" t="str">
        <f>IF(NOT(AND(ISNUMBER(VALUE(prodcom_data[[#This Row],[PRODQNT - EU27_2020 - 2022 - amount]])), ISNUMBER(VALUE(prodcom_data[[#This Row],[IMPQNT - EU27_2020 - 2022 - amount]])))), "secrets", "")</f>
        <v/>
      </c>
      <c r="AF64" s="7">
        <f>_xlfn.LET(_xlpm.production_amount, VALUE(prodcom_data[[#This Row],[PRODQNT - FR - 2019 - amount]]), IF(ISNUMBER(_xlpm.production_amount), _xlpm.production_amount, 0))+_xlfn.LET(_xlpm.import_amount, VALUE(prodcom_data[[#This Row],[IMPQNT - FR - 2019 - amount]]), IF(ISNUMBER(_xlpm.import_amount), _xlpm.import_amount, 0))</f>
        <v>70868900</v>
      </c>
      <c r="AG64" s="8" t="str">
        <f>IF(NOT(AND(ISNUMBER(VALUE(prodcom_data[[#This Row],[PRODQNT - FR - 2019 - amount]])), ISNUMBER(VALUE(prodcom_data[[#This Row],[IMPQNT - FR - 2019 - amount]])))), "secrets", "")</f>
        <v>secrets</v>
      </c>
      <c r="AH64" s="7">
        <f>_xlfn.LET(_xlpm.production_amount, VALUE(prodcom_data[[#This Row],[PRODQNT - FR - 2022 - amount]]), IF(ISNUMBER(_xlpm.production_amount), _xlpm.production_amount, 0))+_xlfn.LET(_xlpm.import_amount, VALUE(prodcom_data[[#This Row],[IMPQNT - FR - 2022 - amount]]), IF(ISNUMBER(_xlpm.import_amount), _xlpm.import_amount, 0))</f>
        <v>73400705</v>
      </c>
      <c r="AI64" s="8" t="str">
        <f>IF(NOT(AND(ISNUMBER(VALUE(prodcom_data[[#This Row],[PRODQNT - FR - 2022 - amount]])), ISNUMBER(VALUE(prodcom_data[[#This Row],[IMPQNT - FR - 2022 - amount]])))), "secrets", "")</f>
        <v>secrets</v>
      </c>
      <c r="AJ6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0.90107686900967998</v>
      </c>
      <c r="AK64" s="10" t="s">
        <v>2641</v>
      </c>
    </row>
    <row r="65" spans="1:37" x14ac:dyDescent="0.3">
      <c r="A65" s="4" t="s">
        <v>3</v>
      </c>
      <c r="B65" s="4" t="s">
        <v>569</v>
      </c>
      <c r="C65" s="4" t="s">
        <v>570</v>
      </c>
      <c r="D65" s="4" t="s">
        <v>571</v>
      </c>
      <c r="E65" s="5" t="s">
        <v>7</v>
      </c>
      <c r="F65" s="4" t="s">
        <v>2271</v>
      </c>
      <c r="G65" s="5" t="s">
        <v>7</v>
      </c>
      <c r="H65" s="4" t="s">
        <v>2272</v>
      </c>
      <c r="I65" s="5" t="s">
        <v>7</v>
      </c>
      <c r="J65" s="4" t="s">
        <v>2273</v>
      </c>
      <c r="K65" s="5" t="s">
        <v>7</v>
      </c>
      <c r="L65" s="4" t="s">
        <v>2274</v>
      </c>
      <c r="M65" s="5" t="s">
        <v>7</v>
      </c>
      <c r="N65" s="4" t="s">
        <v>2275</v>
      </c>
      <c r="O65" s="5" t="s">
        <v>7</v>
      </c>
      <c r="P65" s="4" t="s">
        <v>2276</v>
      </c>
      <c r="Q65" s="5" t="s">
        <v>7</v>
      </c>
      <c r="R65" s="4" t="s">
        <v>2277</v>
      </c>
      <c r="S65" s="5" t="s">
        <v>7</v>
      </c>
      <c r="T65" s="4" t="s">
        <v>2278</v>
      </c>
      <c r="U65" s="5" t="s">
        <v>7</v>
      </c>
      <c r="V65" s="4" t="s">
        <v>2611</v>
      </c>
      <c r="W65" s="5" t="s">
        <v>7</v>
      </c>
      <c r="X65" s="4" t="s">
        <v>2279</v>
      </c>
      <c r="Y65" s="5" t="s">
        <v>7</v>
      </c>
      <c r="Z65" s="4" t="s">
        <v>2280</v>
      </c>
      <c r="AA65" s="5" t="s">
        <v>7</v>
      </c>
      <c r="AB6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796666774</v>
      </c>
      <c r="AC65" s="8" t="str">
        <f>IF(NOT(AND(ISNUMBER(VALUE(prodcom_data[[#This Row],[PRODQNT - EU27_2020 - 2019 - amount]])), ISNUMBER(VALUE(prodcom_data[[#This Row],[IMPQNT - EU27_2020 - 2019 - amount]])))), "secrets", "")</f>
        <v/>
      </c>
      <c r="AD6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790721030</v>
      </c>
      <c r="AE65" s="8" t="str">
        <f>IF(NOT(AND(ISNUMBER(VALUE(prodcom_data[[#This Row],[PRODQNT - EU27_2020 - 2022 - amount]])), ISNUMBER(VALUE(prodcom_data[[#This Row],[IMPQNT - EU27_2020 - 2022 - amount]])))), "secrets", "")</f>
        <v/>
      </c>
      <c r="AF65" s="7">
        <f>_xlfn.LET(_xlpm.production_amount, VALUE(prodcom_data[[#This Row],[PRODQNT - FR - 2019 - amount]]), IF(ISNUMBER(_xlpm.production_amount), _xlpm.production_amount, 0))+_xlfn.LET(_xlpm.import_amount, VALUE(prodcom_data[[#This Row],[IMPQNT - FR - 2019 - amount]]), IF(ISNUMBER(_xlpm.import_amount), _xlpm.import_amount, 0))</f>
        <v>206746370</v>
      </c>
      <c r="AG65" s="8" t="str">
        <f>IF(NOT(AND(ISNUMBER(VALUE(prodcom_data[[#This Row],[PRODQNT - FR - 2019 - amount]])), ISNUMBER(VALUE(prodcom_data[[#This Row],[IMPQNT - FR - 2019 - amount]])))), "secrets", "")</f>
        <v/>
      </c>
      <c r="AH65" s="7">
        <f>_xlfn.LET(_xlpm.production_amount, VALUE(prodcom_data[[#This Row],[PRODQNT - FR - 2022 - amount]]), IF(ISNUMBER(_xlpm.production_amount), _xlpm.production_amount, 0))+_xlfn.LET(_xlpm.import_amount, VALUE(prodcom_data[[#This Row],[IMPQNT - FR - 2022 - amount]]), IF(ISNUMBER(_xlpm.import_amount), _xlpm.import_amount, 0))</f>
        <v>38165066</v>
      </c>
      <c r="AI65" s="8" t="str">
        <f>IF(NOT(AND(ISNUMBER(VALUE(prodcom_data[[#This Row],[PRODQNT - FR - 2022 - amount]])), ISNUMBER(VALUE(prodcom_data[[#This Row],[IMPQNT - FR - 2022 - amount]])))), "secrets", "")</f>
        <v>secrets</v>
      </c>
      <c r="AJ6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0.93548794446506622</v>
      </c>
      <c r="AK65" s="10" t="s">
        <v>2642</v>
      </c>
    </row>
    <row r="66" spans="1:37" hidden="1" x14ac:dyDescent="0.3">
      <c r="A66" s="4" t="s">
        <v>3</v>
      </c>
      <c r="B66" s="4" t="s">
        <v>58</v>
      </c>
      <c r="C66" s="4" t="s">
        <v>59</v>
      </c>
      <c r="D66" s="4" t="s">
        <v>60</v>
      </c>
      <c r="E66" s="5" t="s">
        <v>7</v>
      </c>
      <c r="F66" s="4" t="s">
        <v>856</v>
      </c>
      <c r="G66" s="5" t="s">
        <v>7</v>
      </c>
      <c r="H66" s="4" t="s">
        <v>857</v>
      </c>
      <c r="I66" s="5" t="s">
        <v>7</v>
      </c>
      <c r="J66" s="4" t="s">
        <v>858</v>
      </c>
      <c r="K66" s="5" t="s">
        <v>7</v>
      </c>
      <c r="L66" s="4" t="s">
        <v>859</v>
      </c>
      <c r="M66" s="5" t="s">
        <v>7</v>
      </c>
      <c r="N66" s="4" t="s">
        <v>860</v>
      </c>
      <c r="O66" s="5" t="s">
        <v>7</v>
      </c>
      <c r="P66" s="4" t="s">
        <v>2611</v>
      </c>
      <c r="Q66" s="5" t="s">
        <v>7</v>
      </c>
      <c r="R66" s="4" t="s">
        <v>713</v>
      </c>
      <c r="S66" s="5" t="s">
        <v>7</v>
      </c>
      <c r="T66" s="4" t="s">
        <v>861</v>
      </c>
      <c r="U66" s="5" t="s">
        <v>7</v>
      </c>
      <c r="V66" s="4" t="s">
        <v>2611</v>
      </c>
      <c r="W66" s="5" t="s">
        <v>7</v>
      </c>
      <c r="X66" s="4" t="s">
        <v>862</v>
      </c>
      <c r="Y66" s="5" t="s">
        <v>7</v>
      </c>
      <c r="Z66" s="4" t="s">
        <v>863</v>
      </c>
      <c r="AA66" s="5" t="s">
        <v>7</v>
      </c>
      <c r="AB6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624648506</v>
      </c>
      <c r="AC66" s="8" t="str">
        <f>IF(NOT(AND(ISNUMBER(VALUE(prodcom_data[[#This Row],[PRODQNT - EU27_2020 - 2019 - amount]])), ISNUMBER(VALUE(prodcom_data[[#This Row],[IMPQNT - EU27_2020 - 2019 - amount]])))), "secrets", "")</f>
        <v/>
      </c>
      <c r="AD6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782958858</v>
      </c>
      <c r="AE66" s="8" t="str">
        <f>IF(NOT(AND(ISNUMBER(VALUE(prodcom_data[[#This Row],[PRODQNT - EU27_2020 - 2022 - amount]])), ISNUMBER(VALUE(prodcom_data[[#This Row],[IMPQNT - EU27_2020 - 2022 - amount]])))), "secrets", "")</f>
        <v/>
      </c>
      <c r="AF66" s="7">
        <f>_xlfn.LET(_xlpm.production_amount, VALUE(prodcom_data[[#This Row],[PRODQNT - FR - 2019 - amount]]), IF(ISNUMBER(_xlpm.production_amount), _xlpm.production_amount, 0))+_xlfn.LET(_xlpm.import_amount, VALUE(prodcom_data[[#This Row],[IMPQNT - FR - 2019 - amount]]), IF(ISNUMBER(_xlpm.import_amount), _xlpm.import_amount, 0))</f>
        <v>28467100</v>
      </c>
      <c r="AG66" s="8" t="str">
        <f>IF(NOT(AND(ISNUMBER(VALUE(prodcom_data[[#This Row],[PRODQNT - FR - 2019 - amount]])), ISNUMBER(VALUE(prodcom_data[[#This Row],[IMPQNT - FR - 2019 - amount]])))), "secrets", "")</f>
        <v>secrets</v>
      </c>
      <c r="AH66" s="7">
        <f>_xlfn.LET(_xlpm.production_amount, VALUE(prodcom_data[[#This Row],[PRODQNT - FR - 2022 - amount]]), IF(ISNUMBER(_xlpm.production_amount), _xlpm.production_amount, 0))+_xlfn.LET(_xlpm.import_amount, VALUE(prodcom_data[[#This Row],[IMPQNT - FR - 2022 - amount]]), IF(ISNUMBER(_xlpm.import_amount), _xlpm.import_amount, 0))</f>
        <v>29042478</v>
      </c>
      <c r="AI66" s="8" t="str">
        <f>IF(NOT(AND(ISNUMBER(VALUE(prodcom_data[[#This Row],[PRODQNT - FR - 2022 - amount]])), ISNUMBER(VALUE(prodcom_data[[#This Row],[IMPQNT - FR - 2022 - amount]])))), "secrets", "")</f>
        <v>secrets</v>
      </c>
      <c r="AJ6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0.96173635728890372</v>
      </c>
      <c r="AK66" s="10" t="s">
        <v>2641</v>
      </c>
    </row>
    <row r="67" spans="1:37" x14ac:dyDescent="0.3">
      <c r="A67" s="4" t="s">
        <v>3</v>
      </c>
      <c r="B67" s="4" t="s">
        <v>55</v>
      </c>
      <c r="C67" s="4" t="s">
        <v>56</v>
      </c>
      <c r="D67" s="4" t="s">
        <v>57</v>
      </c>
      <c r="E67" s="5" t="s">
        <v>7</v>
      </c>
      <c r="F67" s="4" t="s">
        <v>849</v>
      </c>
      <c r="G67" s="5" t="s">
        <v>7</v>
      </c>
      <c r="H67" s="4" t="s">
        <v>850</v>
      </c>
      <c r="I67" s="5" t="s">
        <v>7</v>
      </c>
      <c r="J67" s="4" t="s">
        <v>851</v>
      </c>
      <c r="K67" s="5" t="s">
        <v>7</v>
      </c>
      <c r="L67" s="4" t="s">
        <v>852</v>
      </c>
      <c r="M67" s="5" t="s">
        <v>7</v>
      </c>
      <c r="N67" s="4" t="s">
        <v>853</v>
      </c>
      <c r="O67" s="5" t="s">
        <v>7</v>
      </c>
      <c r="P67" s="4" t="s">
        <v>703</v>
      </c>
      <c r="Q67" s="5" t="s">
        <v>703</v>
      </c>
      <c r="R67" s="4" t="s">
        <v>713</v>
      </c>
      <c r="S67" s="5" t="s">
        <v>7</v>
      </c>
      <c r="T67" s="4" t="s">
        <v>854</v>
      </c>
      <c r="U67" s="5" t="s">
        <v>7</v>
      </c>
      <c r="V67" s="4" t="s">
        <v>703</v>
      </c>
      <c r="W67" s="5" t="s">
        <v>703</v>
      </c>
      <c r="X67" s="4" t="s">
        <v>713</v>
      </c>
      <c r="Y67" s="5" t="s">
        <v>7</v>
      </c>
      <c r="Z67" s="4" t="s">
        <v>855</v>
      </c>
      <c r="AA67" s="5" t="s">
        <v>7</v>
      </c>
      <c r="AB6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1358034437</v>
      </c>
      <c r="AC67" s="8" t="str">
        <f>IF(NOT(AND(ISNUMBER(VALUE(prodcom_data[[#This Row],[PRODQNT - EU27_2020 - 2019 - amount]])), ISNUMBER(VALUE(prodcom_data[[#This Row],[IMPQNT - EU27_2020 - 2019 - amount]])))), "secrets", "")</f>
        <v/>
      </c>
      <c r="AD6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778495527</v>
      </c>
      <c r="AE67" s="8" t="str">
        <f>IF(NOT(AND(ISNUMBER(VALUE(prodcom_data[[#This Row],[PRODQNT - EU27_2020 - 2022 - amount]])), ISNUMBER(VALUE(prodcom_data[[#This Row],[IMPQNT - EU27_2020 - 2022 - amount]])))), "secrets", "")</f>
        <v/>
      </c>
      <c r="AF67" s="7">
        <f>_xlfn.LET(_xlpm.production_amount, VALUE(prodcom_data[[#This Row],[PRODQNT - FR - 2019 - amount]]), IF(ISNUMBER(_xlpm.production_amount), _xlpm.production_amount, 0))+_xlfn.LET(_xlpm.import_amount, VALUE(prodcom_data[[#This Row],[IMPQNT - FR - 2019 - amount]]), IF(ISNUMBER(_xlpm.import_amount), _xlpm.import_amount, 0))</f>
        <v>10901800</v>
      </c>
      <c r="AG67" s="8" t="str">
        <f>IF(NOT(AND(ISNUMBER(VALUE(prodcom_data[[#This Row],[PRODQNT - FR - 2019 - amount]])), ISNUMBER(VALUE(prodcom_data[[#This Row],[IMPQNT - FR - 2019 - amount]])))), "secrets", "")</f>
        <v>secrets</v>
      </c>
      <c r="AH67" s="7">
        <f>_xlfn.LET(_xlpm.production_amount, VALUE(prodcom_data[[#This Row],[PRODQNT - FR - 2022 - amount]]), IF(ISNUMBER(_xlpm.production_amount), _xlpm.production_amount, 0))+_xlfn.LET(_xlpm.import_amount, VALUE(prodcom_data[[#This Row],[IMPQNT - FR - 2022 - amount]]), IF(ISNUMBER(_xlpm.import_amount), _xlpm.import_amount, 0))</f>
        <v>2089702</v>
      </c>
      <c r="AI67" s="8" t="str">
        <f>IF(NOT(AND(ISNUMBER(VALUE(prodcom_data[[#This Row],[PRODQNT - FR - 2022 - amount]])), ISNUMBER(VALUE(prodcom_data[[#This Row],[IMPQNT - FR - 2022 - amount]])))), "secrets", "")</f>
        <v>secrets</v>
      </c>
      <c r="AJ6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0.9345821199560983</v>
      </c>
      <c r="AK67" s="10" t="s">
        <v>2642</v>
      </c>
    </row>
    <row r="68" spans="1:37" hidden="1" x14ac:dyDescent="0.3">
      <c r="A68" s="4" t="s">
        <v>3</v>
      </c>
      <c r="B68" s="4" t="s">
        <v>590</v>
      </c>
      <c r="C68" s="4" t="s">
        <v>591</v>
      </c>
      <c r="D68" s="4" t="s">
        <v>592</v>
      </c>
      <c r="E68" s="5" t="s">
        <v>7</v>
      </c>
      <c r="F68" s="4" t="s">
        <v>2339</v>
      </c>
      <c r="G68" s="5" t="s">
        <v>7</v>
      </c>
      <c r="H68" s="4" t="s">
        <v>2340</v>
      </c>
      <c r="I68" s="5" t="s">
        <v>7</v>
      </c>
      <c r="J68" s="4" t="s">
        <v>2341</v>
      </c>
      <c r="K68" s="5" t="s">
        <v>7</v>
      </c>
      <c r="L68" s="4" t="s">
        <v>2342</v>
      </c>
      <c r="M68" s="5" t="s">
        <v>7</v>
      </c>
      <c r="N68" s="4" t="s">
        <v>2343</v>
      </c>
      <c r="O68" s="5" t="s">
        <v>7</v>
      </c>
      <c r="P68" s="4" t="s">
        <v>2611</v>
      </c>
      <c r="Q68" s="5" t="s">
        <v>7</v>
      </c>
      <c r="R68" s="4" t="s">
        <v>2344</v>
      </c>
      <c r="S68" s="5" t="s">
        <v>7</v>
      </c>
      <c r="T68" s="4" t="s">
        <v>2345</v>
      </c>
      <c r="U68" s="5" t="s">
        <v>7</v>
      </c>
      <c r="V68" s="4" t="s">
        <v>2346</v>
      </c>
      <c r="W68" s="5" t="s">
        <v>7</v>
      </c>
      <c r="X68" s="4" t="s">
        <v>2347</v>
      </c>
      <c r="Y68" s="5" t="s">
        <v>7</v>
      </c>
      <c r="Z68" s="4" t="s">
        <v>2348</v>
      </c>
      <c r="AA68" s="5" t="s">
        <v>7</v>
      </c>
      <c r="AB6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541788715</v>
      </c>
      <c r="AC68" s="8" t="str">
        <f>IF(NOT(AND(ISNUMBER(VALUE(prodcom_data[[#This Row],[PRODQNT - EU27_2020 - 2019 - amount]])), ISNUMBER(VALUE(prodcom_data[[#This Row],[IMPQNT - EU27_2020 - 2019 - amount]])))), "secrets", "")</f>
        <v/>
      </c>
      <c r="AD6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752600801</v>
      </c>
      <c r="AE68" s="8" t="str">
        <f>IF(NOT(AND(ISNUMBER(VALUE(prodcom_data[[#This Row],[PRODQNT - EU27_2020 - 2022 - amount]])), ISNUMBER(VALUE(prodcom_data[[#This Row],[IMPQNT - EU27_2020 - 2022 - amount]])))), "secrets", "")</f>
        <v/>
      </c>
      <c r="AF68" s="7">
        <f>_xlfn.LET(_xlpm.production_amount, VALUE(prodcom_data[[#This Row],[PRODQNT - FR - 2019 - amount]]), IF(ISNUMBER(_xlpm.production_amount), _xlpm.production_amount, 0))+_xlfn.LET(_xlpm.import_amount, VALUE(prodcom_data[[#This Row],[IMPQNT - FR - 2019 - amount]]), IF(ISNUMBER(_xlpm.import_amount), _xlpm.import_amount, 0))</f>
        <v>39056000</v>
      </c>
      <c r="AG68" s="8" t="str">
        <f>IF(NOT(AND(ISNUMBER(VALUE(prodcom_data[[#This Row],[PRODQNT - FR - 2019 - amount]])), ISNUMBER(VALUE(prodcom_data[[#This Row],[IMPQNT - FR - 2019 - amount]])))), "secrets", "")</f>
        <v>secrets</v>
      </c>
      <c r="AH68" s="7">
        <f>_xlfn.LET(_xlpm.production_amount, VALUE(prodcom_data[[#This Row],[PRODQNT - FR - 2022 - amount]]), IF(ISNUMBER(_xlpm.production_amount), _xlpm.production_amount, 0))+_xlfn.LET(_xlpm.import_amount, VALUE(prodcom_data[[#This Row],[IMPQNT - FR - 2022 - amount]]), IF(ISNUMBER(_xlpm.import_amount), _xlpm.import_amount, 0))</f>
        <v>68463349</v>
      </c>
      <c r="AI68" s="8" t="str">
        <f>IF(NOT(AND(ISNUMBER(VALUE(prodcom_data[[#This Row],[PRODQNT - FR - 2022 - amount]])), ISNUMBER(VALUE(prodcom_data[[#This Row],[IMPQNT - FR - 2022 - amount]])))), "secrets", "")</f>
        <v/>
      </c>
      <c r="AJ6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0.79406464516903963</v>
      </c>
      <c r="AK68" s="10" t="s">
        <v>2641</v>
      </c>
    </row>
    <row r="69" spans="1:37" hidden="1" x14ac:dyDescent="0.3">
      <c r="A69" s="4" t="s">
        <v>3</v>
      </c>
      <c r="B69" s="4" t="s">
        <v>141</v>
      </c>
      <c r="C69" s="4" t="s">
        <v>142</v>
      </c>
      <c r="D69" s="4" t="s">
        <v>143</v>
      </c>
      <c r="E69" s="5" t="s">
        <v>7</v>
      </c>
      <c r="F69" s="4" t="s">
        <v>1097</v>
      </c>
      <c r="G69" s="5" t="s">
        <v>7</v>
      </c>
      <c r="H69" s="4" t="s">
        <v>1098</v>
      </c>
      <c r="I69" s="5" t="s">
        <v>7</v>
      </c>
      <c r="J69" s="4" t="s">
        <v>1099</v>
      </c>
      <c r="K69" s="5" t="s">
        <v>7</v>
      </c>
      <c r="L69" s="4" t="s">
        <v>1100</v>
      </c>
      <c r="M69" s="5" t="s">
        <v>7</v>
      </c>
      <c r="N69" s="4" t="s">
        <v>1101</v>
      </c>
      <c r="O69" s="5" t="s">
        <v>7</v>
      </c>
      <c r="P69" s="4" t="s">
        <v>1102</v>
      </c>
      <c r="Q69" s="5" t="s">
        <v>7</v>
      </c>
      <c r="R69" s="4" t="s">
        <v>1103</v>
      </c>
      <c r="S69" s="5" t="s">
        <v>7</v>
      </c>
      <c r="T69" s="4" t="s">
        <v>1104</v>
      </c>
      <c r="U69" s="5" t="s">
        <v>7</v>
      </c>
      <c r="V69" s="4" t="s">
        <v>1105</v>
      </c>
      <c r="W69" s="5" t="s">
        <v>7</v>
      </c>
      <c r="X69" s="4" t="s">
        <v>1106</v>
      </c>
      <c r="Y69" s="5" t="s">
        <v>7</v>
      </c>
      <c r="Z69" s="4" t="s">
        <v>1107</v>
      </c>
      <c r="AA69" s="5" t="s">
        <v>7</v>
      </c>
      <c r="AB6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781728247</v>
      </c>
      <c r="AC69" s="8" t="str">
        <f>IF(NOT(AND(ISNUMBER(VALUE(prodcom_data[[#This Row],[PRODQNT - EU27_2020 - 2019 - amount]])), ISNUMBER(VALUE(prodcom_data[[#This Row],[IMPQNT - EU27_2020 - 2019 - amount]])))), "secrets", "")</f>
        <v/>
      </c>
      <c r="AD6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728615224</v>
      </c>
      <c r="AE69" s="8" t="str">
        <f>IF(NOT(AND(ISNUMBER(VALUE(prodcom_data[[#This Row],[PRODQNT - EU27_2020 - 2022 - amount]])), ISNUMBER(VALUE(prodcom_data[[#This Row],[IMPQNT - EU27_2020 - 2022 - amount]])))), "secrets", "")</f>
        <v/>
      </c>
      <c r="AF69" s="7">
        <f>_xlfn.LET(_xlpm.production_amount, VALUE(prodcom_data[[#This Row],[PRODQNT - FR - 2019 - amount]]), IF(ISNUMBER(_xlpm.production_amount), _xlpm.production_amount, 0))+_xlfn.LET(_xlpm.import_amount, VALUE(prodcom_data[[#This Row],[IMPQNT - FR - 2019 - amount]]), IF(ISNUMBER(_xlpm.import_amount), _xlpm.import_amount, 0))</f>
        <v>36671103</v>
      </c>
      <c r="AG69" s="8" t="str">
        <f>IF(NOT(AND(ISNUMBER(VALUE(prodcom_data[[#This Row],[PRODQNT - FR - 2019 - amount]])), ISNUMBER(VALUE(prodcom_data[[#This Row],[IMPQNT - FR - 2019 - amount]])))), "secrets", "")</f>
        <v/>
      </c>
      <c r="AH69" s="7">
        <f>_xlfn.LET(_xlpm.production_amount, VALUE(prodcom_data[[#This Row],[PRODQNT - FR - 2022 - amount]]), IF(ISNUMBER(_xlpm.production_amount), _xlpm.production_amount, 0))+_xlfn.LET(_xlpm.import_amount, VALUE(prodcom_data[[#This Row],[IMPQNT - FR - 2022 - amount]]), IF(ISNUMBER(_xlpm.import_amount), _xlpm.import_amount, 0))</f>
        <v>41279821</v>
      </c>
      <c r="AI69" s="8" t="str">
        <f>IF(NOT(AND(ISNUMBER(VALUE(prodcom_data[[#This Row],[PRODQNT - FR - 2022 - amount]])), ISNUMBER(VALUE(prodcom_data[[#This Row],[IMPQNT - FR - 2022 - amount]])))), "secrets", "")</f>
        <v/>
      </c>
      <c r="AJ6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0.72590541973084</v>
      </c>
      <c r="AK69" s="10" t="s">
        <v>2641</v>
      </c>
    </row>
    <row r="70" spans="1:37" hidden="1" x14ac:dyDescent="0.3">
      <c r="A70" s="4" t="s">
        <v>3</v>
      </c>
      <c r="B70" s="4" t="s">
        <v>152</v>
      </c>
      <c r="C70" s="4" t="s">
        <v>153</v>
      </c>
      <c r="D70" s="4" t="s">
        <v>154</v>
      </c>
      <c r="E70" s="5" t="s">
        <v>7</v>
      </c>
      <c r="F70" s="4" t="s">
        <v>1124</v>
      </c>
      <c r="G70" s="5" t="s">
        <v>7</v>
      </c>
      <c r="H70" s="4" t="s">
        <v>1125</v>
      </c>
      <c r="I70" s="5" t="s">
        <v>7</v>
      </c>
      <c r="J70" s="4" t="s">
        <v>1126</v>
      </c>
      <c r="K70" s="5" t="s">
        <v>7</v>
      </c>
      <c r="L70" s="4" t="s">
        <v>1127</v>
      </c>
      <c r="M70" s="5" t="s">
        <v>7</v>
      </c>
      <c r="N70" s="4" t="s">
        <v>1128</v>
      </c>
      <c r="O70" s="5" t="s">
        <v>7</v>
      </c>
      <c r="P70" s="4" t="s">
        <v>2611</v>
      </c>
      <c r="Q70" s="5" t="s">
        <v>7</v>
      </c>
      <c r="R70" s="4" t="s">
        <v>1129</v>
      </c>
      <c r="S70" s="5" t="s">
        <v>7</v>
      </c>
      <c r="T70" s="4" t="s">
        <v>1130</v>
      </c>
      <c r="U70" s="5" t="s">
        <v>7</v>
      </c>
      <c r="V70" s="4" t="s">
        <v>2611</v>
      </c>
      <c r="W70" s="5" t="s">
        <v>7</v>
      </c>
      <c r="X70" s="4" t="s">
        <v>1131</v>
      </c>
      <c r="Y70" s="5" t="s">
        <v>7</v>
      </c>
      <c r="Z70" s="4" t="s">
        <v>1132</v>
      </c>
      <c r="AA70" s="5" t="s">
        <v>7</v>
      </c>
      <c r="AB7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653555621</v>
      </c>
      <c r="AC70" s="8" t="str">
        <f>IF(NOT(AND(ISNUMBER(VALUE(prodcom_data[[#This Row],[PRODQNT - EU27_2020 - 2019 - amount]])), ISNUMBER(VALUE(prodcom_data[[#This Row],[IMPQNT - EU27_2020 - 2019 - amount]])))), "secrets", "")</f>
        <v/>
      </c>
      <c r="AD7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720168973</v>
      </c>
      <c r="AE70" s="8" t="str">
        <f>IF(NOT(AND(ISNUMBER(VALUE(prodcom_data[[#This Row],[PRODQNT - EU27_2020 - 2022 - amount]])), ISNUMBER(VALUE(prodcom_data[[#This Row],[IMPQNT - EU27_2020 - 2022 - amount]])))), "secrets", "")</f>
        <v/>
      </c>
      <c r="AF70" s="7">
        <f>_xlfn.LET(_xlpm.production_amount, VALUE(prodcom_data[[#This Row],[PRODQNT - FR - 2019 - amount]]), IF(ISNUMBER(_xlpm.production_amount), _xlpm.production_amount, 0))+_xlfn.LET(_xlpm.import_amount, VALUE(prodcom_data[[#This Row],[IMPQNT - FR - 2019 - amount]]), IF(ISNUMBER(_xlpm.import_amount), _xlpm.import_amount, 0))</f>
        <v>60508800</v>
      </c>
      <c r="AG70" s="8" t="str">
        <f>IF(NOT(AND(ISNUMBER(VALUE(prodcom_data[[#This Row],[PRODQNT - FR - 2019 - amount]])), ISNUMBER(VALUE(prodcom_data[[#This Row],[IMPQNT - FR - 2019 - amount]])))), "secrets", "")</f>
        <v>secrets</v>
      </c>
      <c r="AH70" s="7">
        <f>_xlfn.LET(_xlpm.production_amount, VALUE(prodcom_data[[#This Row],[PRODQNT - FR - 2022 - amount]]), IF(ISNUMBER(_xlpm.production_amount), _xlpm.production_amount, 0))+_xlfn.LET(_xlpm.import_amount, VALUE(prodcom_data[[#This Row],[IMPQNT - FR - 2022 - amount]]), IF(ISNUMBER(_xlpm.import_amount), _xlpm.import_amount, 0))</f>
        <v>64452854</v>
      </c>
      <c r="AI70" s="8" t="str">
        <f>IF(NOT(AND(ISNUMBER(VALUE(prodcom_data[[#This Row],[PRODQNT - FR - 2022 - amount]])), ISNUMBER(VALUE(prodcom_data[[#This Row],[IMPQNT - FR - 2022 - amount]])))), "secrets", "")</f>
        <v>secrets</v>
      </c>
      <c r="AJ7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0.87301153280870381</v>
      </c>
      <c r="AK70" s="10" t="s">
        <v>2649</v>
      </c>
    </row>
    <row r="71" spans="1:37" hidden="1" x14ac:dyDescent="0.3">
      <c r="A71" s="4" t="s">
        <v>3</v>
      </c>
      <c r="B71" s="4" t="s">
        <v>658</v>
      </c>
      <c r="C71" s="4" t="s">
        <v>659</v>
      </c>
      <c r="D71" s="4" t="s">
        <v>660</v>
      </c>
      <c r="E71" s="5" t="s">
        <v>7</v>
      </c>
      <c r="F71" s="4" t="s">
        <v>2557</v>
      </c>
      <c r="G71" s="5" t="s">
        <v>7</v>
      </c>
      <c r="H71" s="4" t="s">
        <v>2558</v>
      </c>
      <c r="I71" s="5" t="s">
        <v>7</v>
      </c>
      <c r="J71" s="4" t="s">
        <v>2378</v>
      </c>
      <c r="K71" s="5" t="s">
        <v>7</v>
      </c>
      <c r="L71" s="4" t="s">
        <v>2559</v>
      </c>
      <c r="M71" s="5" t="s">
        <v>7</v>
      </c>
      <c r="N71" s="4" t="s">
        <v>2560</v>
      </c>
      <c r="O71" s="5" t="s">
        <v>7</v>
      </c>
      <c r="P71" s="4" t="s">
        <v>2561</v>
      </c>
      <c r="Q71" s="5" t="s">
        <v>7</v>
      </c>
      <c r="R71" s="4" t="s">
        <v>2562</v>
      </c>
      <c r="S71" s="5" t="s">
        <v>7</v>
      </c>
      <c r="T71" s="4" t="s">
        <v>2563</v>
      </c>
      <c r="U71" s="5" t="s">
        <v>7</v>
      </c>
      <c r="V71" s="4" t="s">
        <v>2611</v>
      </c>
      <c r="W71" s="5" t="s">
        <v>7</v>
      </c>
      <c r="X71" s="4" t="s">
        <v>2564</v>
      </c>
      <c r="Y71" s="5" t="s">
        <v>7</v>
      </c>
      <c r="Z71" s="4" t="s">
        <v>2565</v>
      </c>
      <c r="AA71" s="5" t="s">
        <v>7</v>
      </c>
      <c r="AB7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770602707</v>
      </c>
      <c r="AC71" s="8" t="str">
        <f>IF(NOT(AND(ISNUMBER(VALUE(prodcom_data[[#This Row],[PRODQNT - EU27_2020 - 2019 - amount]])), ISNUMBER(VALUE(prodcom_data[[#This Row],[IMPQNT - EU27_2020 - 2019 - amount]])))), "secrets", "")</f>
        <v/>
      </c>
      <c r="AD7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718803975</v>
      </c>
      <c r="AE71" s="8" t="str">
        <f>IF(NOT(AND(ISNUMBER(VALUE(prodcom_data[[#This Row],[PRODQNT - EU27_2020 - 2022 - amount]])), ISNUMBER(VALUE(prodcom_data[[#This Row],[IMPQNT - EU27_2020 - 2022 - amount]])))), "secrets", "")</f>
        <v/>
      </c>
      <c r="AF71" s="7">
        <f>_xlfn.LET(_xlpm.production_amount, VALUE(prodcom_data[[#This Row],[PRODQNT - FR - 2019 - amount]]), IF(ISNUMBER(_xlpm.production_amount), _xlpm.production_amount, 0))+_xlfn.LET(_xlpm.import_amount, VALUE(prodcom_data[[#This Row],[IMPQNT - FR - 2019 - amount]]), IF(ISNUMBER(_xlpm.import_amount), _xlpm.import_amount, 0))</f>
        <v>258499827</v>
      </c>
      <c r="AG71" s="8" t="str">
        <f>IF(NOT(AND(ISNUMBER(VALUE(prodcom_data[[#This Row],[PRODQNT - FR - 2019 - amount]])), ISNUMBER(VALUE(prodcom_data[[#This Row],[IMPQNT - FR - 2019 - amount]])))), "secrets", "")</f>
        <v/>
      </c>
      <c r="AH71" s="7">
        <f>_xlfn.LET(_xlpm.production_amount, VALUE(prodcom_data[[#This Row],[PRODQNT - FR - 2022 - amount]]), IF(ISNUMBER(_xlpm.production_amount), _xlpm.production_amount, 0))+_xlfn.LET(_xlpm.import_amount, VALUE(prodcom_data[[#This Row],[IMPQNT - FR - 2022 - amount]]), IF(ISNUMBER(_xlpm.import_amount), _xlpm.import_amount, 0))</f>
        <v>82453364</v>
      </c>
      <c r="AI71" s="8" t="str">
        <f>IF(NOT(AND(ISNUMBER(VALUE(prodcom_data[[#This Row],[PRODQNT - FR - 2022 - amount]])), ISNUMBER(VALUE(prodcom_data[[#This Row],[IMPQNT - FR - 2022 - amount]])))), "secrets", "")</f>
        <v>secrets</v>
      </c>
      <c r="AJ7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0.61212794489624245</v>
      </c>
      <c r="AK71" s="10" t="s">
        <v>2641</v>
      </c>
    </row>
    <row r="72" spans="1:37" hidden="1" x14ac:dyDescent="0.3">
      <c r="A72" s="4" t="s">
        <v>3</v>
      </c>
      <c r="B72" s="4" t="s">
        <v>318</v>
      </c>
      <c r="C72" s="4" t="s">
        <v>319</v>
      </c>
      <c r="D72" s="4" t="s">
        <v>320</v>
      </c>
      <c r="E72" s="5" t="s">
        <v>7</v>
      </c>
      <c r="F72" s="4" t="s">
        <v>1563</v>
      </c>
      <c r="G72" s="5" t="s">
        <v>7</v>
      </c>
      <c r="H72" s="4" t="s">
        <v>1564</v>
      </c>
      <c r="I72" s="5" t="s">
        <v>7</v>
      </c>
      <c r="J72" s="4" t="s">
        <v>268</v>
      </c>
      <c r="K72" s="5" t="s">
        <v>7</v>
      </c>
      <c r="L72" s="4" t="s">
        <v>1565</v>
      </c>
      <c r="M72" s="5" t="s">
        <v>7</v>
      </c>
      <c r="N72" s="4" t="s">
        <v>1566</v>
      </c>
      <c r="O72" s="5" t="s">
        <v>7</v>
      </c>
      <c r="P72" s="4" t="s">
        <v>1567</v>
      </c>
      <c r="Q72" s="5" t="s">
        <v>7</v>
      </c>
      <c r="R72" s="4" t="s">
        <v>1568</v>
      </c>
      <c r="S72" s="5" t="s">
        <v>7</v>
      </c>
      <c r="T72" s="4" t="s">
        <v>1569</v>
      </c>
      <c r="U72" s="5" t="s">
        <v>7</v>
      </c>
      <c r="V72" s="4" t="s">
        <v>1570</v>
      </c>
      <c r="W72" s="5" t="s">
        <v>7</v>
      </c>
      <c r="X72" s="4" t="s">
        <v>1571</v>
      </c>
      <c r="Y72" s="5" t="s">
        <v>7</v>
      </c>
      <c r="Z72" s="4" t="s">
        <v>1572</v>
      </c>
      <c r="AA72" s="5" t="s">
        <v>7</v>
      </c>
      <c r="AB7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585431920</v>
      </c>
      <c r="AC72" s="8" t="str">
        <f>IF(NOT(AND(ISNUMBER(VALUE(prodcom_data[[#This Row],[PRODQNT - EU27_2020 - 2019 - amount]])), ISNUMBER(VALUE(prodcom_data[[#This Row],[IMPQNT - EU27_2020 - 2019 - amount]])))), "secrets", "")</f>
        <v/>
      </c>
      <c r="AD7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707929149</v>
      </c>
      <c r="AE72" s="8" t="str">
        <f>IF(NOT(AND(ISNUMBER(VALUE(prodcom_data[[#This Row],[PRODQNT - EU27_2020 - 2022 - amount]])), ISNUMBER(VALUE(prodcom_data[[#This Row],[IMPQNT - EU27_2020 - 2022 - amount]])))), "secrets", "")</f>
        <v/>
      </c>
      <c r="AF72" s="7">
        <f>_xlfn.LET(_xlpm.production_amount, VALUE(prodcom_data[[#This Row],[PRODQNT - FR - 2019 - amount]]), IF(ISNUMBER(_xlpm.production_amount), _xlpm.production_amount, 0))+_xlfn.LET(_xlpm.import_amount, VALUE(prodcom_data[[#This Row],[IMPQNT - FR - 2019 - amount]]), IF(ISNUMBER(_xlpm.import_amount), _xlpm.import_amount, 0))</f>
        <v>83606775</v>
      </c>
      <c r="AG72" s="8" t="str">
        <f>IF(NOT(AND(ISNUMBER(VALUE(prodcom_data[[#This Row],[PRODQNT - FR - 2019 - amount]])), ISNUMBER(VALUE(prodcom_data[[#This Row],[IMPQNT - FR - 2019 - amount]])))), "secrets", "")</f>
        <v/>
      </c>
      <c r="AH72" s="7">
        <f>_xlfn.LET(_xlpm.production_amount, VALUE(prodcom_data[[#This Row],[PRODQNT - FR - 2022 - amount]]), IF(ISNUMBER(_xlpm.production_amount), _xlpm.production_amount, 0))+_xlfn.LET(_xlpm.import_amount, VALUE(prodcom_data[[#This Row],[IMPQNT - FR - 2022 - amount]]), IF(ISNUMBER(_xlpm.import_amount), _xlpm.import_amount, 0))</f>
        <v>76532636</v>
      </c>
      <c r="AI72" s="8" t="str">
        <f>IF(NOT(AND(ISNUMBER(VALUE(prodcom_data[[#This Row],[PRODQNT - FR - 2022 - amount]])), ISNUMBER(VALUE(prodcom_data[[#This Row],[IMPQNT - FR - 2022 - amount]])))), "secrets", "")</f>
        <v/>
      </c>
      <c r="AJ7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0.45202263595449155</v>
      </c>
      <c r="AK72" s="10" t="s">
        <v>2641</v>
      </c>
    </row>
    <row r="73" spans="1:37" x14ac:dyDescent="0.3">
      <c r="A73" s="4" t="s">
        <v>3</v>
      </c>
      <c r="B73" s="4" t="s">
        <v>332</v>
      </c>
      <c r="C73" s="4" t="s">
        <v>333</v>
      </c>
      <c r="D73" s="4" t="s">
        <v>334</v>
      </c>
      <c r="E73" s="5" t="s">
        <v>7</v>
      </c>
      <c r="F73" s="4" t="s">
        <v>1610</v>
      </c>
      <c r="G73" s="5" t="s">
        <v>7</v>
      </c>
      <c r="H73" s="4" t="s">
        <v>1611</v>
      </c>
      <c r="I73" s="5" t="s">
        <v>7</v>
      </c>
      <c r="J73" s="4" t="s">
        <v>842</v>
      </c>
      <c r="K73" s="5" t="s">
        <v>7</v>
      </c>
      <c r="L73" s="4" t="s">
        <v>1612</v>
      </c>
      <c r="M73" s="5" t="s">
        <v>7</v>
      </c>
      <c r="N73" s="4" t="s">
        <v>1613</v>
      </c>
      <c r="O73" s="5" t="s">
        <v>7</v>
      </c>
      <c r="P73" s="4" t="s">
        <v>2611</v>
      </c>
      <c r="Q73" s="5" t="s">
        <v>7</v>
      </c>
      <c r="R73" s="4" t="s">
        <v>713</v>
      </c>
      <c r="S73" s="5" t="s">
        <v>7</v>
      </c>
      <c r="T73" s="4" t="s">
        <v>1614</v>
      </c>
      <c r="U73" s="5" t="s">
        <v>7</v>
      </c>
      <c r="V73" s="4" t="s">
        <v>713</v>
      </c>
      <c r="W73" s="5" t="s">
        <v>7</v>
      </c>
      <c r="X73" s="4" t="s">
        <v>1615</v>
      </c>
      <c r="Y73" s="5" t="s">
        <v>7</v>
      </c>
      <c r="Z73" s="4" t="s">
        <v>1616</v>
      </c>
      <c r="AA73" s="5" t="s">
        <v>7</v>
      </c>
      <c r="AB7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672193341</v>
      </c>
      <c r="AC73" s="8" t="str">
        <f>IF(NOT(AND(ISNUMBER(VALUE(prodcom_data[[#This Row],[PRODQNT - EU27_2020 - 2019 - amount]])), ISNUMBER(VALUE(prodcom_data[[#This Row],[IMPQNT - EU27_2020 - 2019 - amount]])))), "secrets", "")</f>
        <v/>
      </c>
      <c r="AD7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705069102</v>
      </c>
      <c r="AE73" s="8" t="str">
        <f>IF(NOT(AND(ISNUMBER(VALUE(prodcom_data[[#This Row],[PRODQNT - EU27_2020 - 2022 - amount]])), ISNUMBER(VALUE(prodcom_data[[#This Row],[IMPQNT - EU27_2020 - 2022 - amount]])))), "secrets", "")</f>
        <v/>
      </c>
      <c r="AF73" s="7">
        <f>_xlfn.LET(_xlpm.production_amount, VALUE(prodcom_data[[#This Row],[PRODQNT - FR - 2019 - amount]]), IF(ISNUMBER(_xlpm.production_amount), _xlpm.production_amount, 0))+_xlfn.LET(_xlpm.import_amount, VALUE(prodcom_data[[#This Row],[IMPQNT - FR - 2019 - amount]]), IF(ISNUMBER(_xlpm.import_amount), _xlpm.import_amount, 0))</f>
        <v>91185100</v>
      </c>
      <c r="AG73" s="8" t="str">
        <f>IF(NOT(AND(ISNUMBER(VALUE(prodcom_data[[#This Row],[PRODQNT - FR - 2019 - amount]])), ISNUMBER(VALUE(prodcom_data[[#This Row],[IMPQNT - FR - 2019 - amount]])))), "secrets", "")</f>
        <v>secrets</v>
      </c>
      <c r="AH73" s="7">
        <f>_xlfn.LET(_xlpm.production_amount, VALUE(prodcom_data[[#This Row],[PRODQNT - FR - 2022 - amount]]), IF(ISNUMBER(_xlpm.production_amount), _xlpm.production_amount, 0))+_xlfn.LET(_xlpm.import_amount, VALUE(prodcom_data[[#This Row],[IMPQNT - FR - 2022 - amount]]), IF(ISNUMBER(_xlpm.import_amount), _xlpm.import_amount, 0))</f>
        <v>94319027</v>
      </c>
      <c r="AI73" s="8" t="str">
        <f>IF(NOT(AND(ISNUMBER(VALUE(prodcom_data[[#This Row],[PRODQNT - FR - 2022 - amount]])), ISNUMBER(VALUE(prodcom_data[[#This Row],[IMPQNT - FR - 2022 - amount]])))), "secrets", "")</f>
        <v/>
      </c>
      <c r="AJ7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0.85098041922137724</v>
      </c>
      <c r="AK73" s="10" t="s">
        <v>2642</v>
      </c>
    </row>
    <row r="74" spans="1:37" x14ac:dyDescent="0.3">
      <c r="A74" s="4" t="s">
        <v>3</v>
      </c>
      <c r="B74" s="4" t="s">
        <v>28</v>
      </c>
      <c r="C74" s="4" t="s">
        <v>29</v>
      </c>
      <c r="D74" s="4" t="s">
        <v>30</v>
      </c>
      <c r="E74" s="5" t="s">
        <v>7</v>
      </c>
      <c r="F74" s="4" t="s">
        <v>768</v>
      </c>
      <c r="G74" s="5" t="s">
        <v>7</v>
      </c>
      <c r="H74" s="4" t="s">
        <v>769</v>
      </c>
      <c r="I74" s="5" t="s">
        <v>7</v>
      </c>
      <c r="J74" s="4" t="s">
        <v>512</v>
      </c>
      <c r="K74" s="5" t="s">
        <v>7</v>
      </c>
      <c r="L74" s="4" t="s">
        <v>770</v>
      </c>
      <c r="M74" s="5" t="s">
        <v>7</v>
      </c>
      <c r="N74" s="4" t="s">
        <v>771</v>
      </c>
      <c r="O74" s="5" t="s">
        <v>7</v>
      </c>
      <c r="P74" s="4" t="s">
        <v>2611</v>
      </c>
      <c r="Q74" s="5" t="s">
        <v>7</v>
      </c>
      <c r="R74" s="4" t="s">
        <v>772</v>
      </c>
      <c r="S74" s="5" t="s">
        <v>7</v>
      </c>
      <c r="T74" s="4" t="s">
        <v>773</v>
      </c>
      <c r="U74" s="5" t="s">
        <v>7</v>
      </c>
      <c r="V74" s="4" t="s">
        <v>2611</v>
      </c>
      <c r="W74" s="5" t="s">
        <v>7</v>
      </c>
      <c r="X74" s="4" t="s">
        <v>774</v>
      </c>
      <c r="Y74" s="5" t="s">
        <v>7</v>
      </c>
      <c r="Z74" s="4" t="s">
        <v>775</v>
      </c>
      <c r="AA74" s="5" t="s">
        <v>7</v>
      </c>
      <c r="AB7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1071520507</v>
      </c>
      <c r="AC74" s="8" t="str">
        <f>IF(NOT(AND(ISNUMBER(VALUE(prodcom_data[[#This Row],[PRODQNT - EU27_2020 - 2019 - amount]])), ISNUMBER(VALUE(prodcom_data[[#This Row],[IMPQNT - EU27_2020 - 2019 - amount]])))), "secrets", "")</f>
        <v/>
      </c>
      <c r="AD7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683315016</v>
      </c>
      <c r="AE74" s="8" t="str">
        <f>IF(NOT(AND(ISNUMBER(VALUE(prodcom_data[[#This Row],[PRODQNT - EU27_2020 - 2022 - amount]])), ISNUMBER(VALUE(prodcom_data[[#This Row],[IMPQNT - EU27_2020 - 2022 - amount]])))), "secrets", "")</f>
        <v/>
      </c>
      <c r="AF74" s="7">
        <f>_xlfn.LET(_xlpm.production_amount, VALUE(prodcom_data[[#This Row],[PRODQNT - FR - 2019 - amount]]), IF(ISNUMBER(_xlpm.production_amount), _xlpm.production_amount, 0))+_xlfn.LET(_xlpm.import_amount, VALUE(prodcom_data[[#This Row],[IMPQNT - FR - 2019 - amount]]), IF(ISNUMBER(_xlpm.import_amount), _xlpm.import_amount, 0))</f>
        <v>194859500</v>
      </c>
      <c r="AG74" s="8" t="str">
        <f>IF(NOT(AND(ISNUMBER(VALUE(prodcom_data[[#This Row],[PRODQNT - FR - 2019 - amount]])), ISNUMBER(VALUE(prodcom_data[[#This Row],[IMPQNT - FR - 2019 - amount]])))), "secrets", "")</f>
        <v>secrets</v>
      </c>
      <c r="AH74" s="7">
        <f>_xlfn.LET(_xlpm.production_amount, VALUE(prodcom_data[[#This Row],[PRODQNT - FR - 2022 - amount]]), IF(ISNUMBER(_xlpm.production_amount), _xlpm.production_amount, 0))+_xlfn.LET(_xlpm.import_amount, VALUE(prodcom_data[[#This Row],[IMPQNT - FR - 2022 - amount]]), IF(ISNUMBER(_xlpm.import_amount), _xlpm.import_amount, 0))</f>
        <v>77760638</v>
      </c>
      <c r="AI74" s="8" t="str">
        <f>IF(NOT(AND(ISNUMBER(VALUE(prodcom_data[[#This Row],[PRODQNT - FR - 2022 - amount]])), ISNUMBER(VALUE(prodcom_data[[#This Row],[IMPQNT - FR - 2022 - amount]])))), "secrets", "")</f>
        <v>secrets</v>
      </c>
      <c r="AJ7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0.35122892718634474</v>
      </c>
      <c r="AK74" s="10" t="s">
        <v>2642</v>
      </c>
    </row>
    <row r="75" spans="1:37" x14ac:dyDescent="0.3">
      <c r="A75" s="4" t="s">
        <v>3</v>
      </c>
      <c r="B75" s="4" t="s">
        <v>252</v>
      </c>
      <c r="C75" s="4" t="s">
        <v>253</v>
      </c>
      <c r="D75" s="4" t="s">
        <v>182</v>
      </c>
      <c r="E75" s="5" t="s">
        <v>7</v>
      </c>
      <c r="F75" s="4" t="s">
        <v>1398</v>
      </c>
      <c r="G75" s="5" t="s">
        <v>7</v>
      </c>
      <c r="H75" s="4" t="s">
        <v>1399</v>
      </c>
      <c r="I75" s="5" t="s">
        <v>7</v>
      </c>
      <c r="J75" s="4" t="s">
        <v>1400</v>
      </c>
      <c r="K75" s="5" t="s">
        <v>7</v>
      </c>
      <c r="L75" s="4" t="s">
        <v>1401</v>
      </c>
      <c r="M75" s="5" t="s">
        <v>7</v>
      </c>
      <c r="N75" s="4" t="s">
        <v>1402</v>
      </c>
      <c r="O75" s="5" t="s">
        <v>7</v>
      </c>
      <c r="P75" s="4" t="s">
        <v>703</v>
      </c>
      <c r="Q75" s="5" t="s">
        <v>703</v>
      </c>
      <c r="R75" s="4" t="s">
        <v>713</v>
      </c>
      <c r="S75" s="5" t="s">
        <v>7</v>
      </c>
      <c r="T75" s="4" t="s">
        <v>1403</v>
      </c>
      <c r="U75" s="5" t="s">
        <v>7</v>
      </c>
      <c r="V75" s="4" t="s">
        <v>703</v>
      </c>
      <c r="W75" s="5" t="s">
        <v>703</v>
      </c>
      <c r="X75" s="4" t="s">
        <v>1404</v>
      </c>
      <c r="Y75" s="5" t="s">
        <v>7</v>
      </c>
      <c r="Z75" s="4" t="s">
        <v>1405</v>
      </c>
      <c r="AA75" s="5" t="s">
        <v>7</v>
      </c>
      <c r="AB7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467809488</v>
      </c>
      <c r="AC75" s="8" t="str">
        <f>IF(NOT(AND(ISNUMBER(VALUE(prodcom_data[[#This Row],[PRODQNT - EU27_2020 - 2019 - amount]])), ISNUMBER(VALUE(prodcom_data[[#This Row],[IMPQNT - EU27_2020 - 2019 - amount]])))), "secrets", "")</f>
        <v/>
      </c>
      <c r="AD7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667655569</v>
      </c>
      <c r="AE75" s="8" t="str">
        <f>IF(NOT(AND(ISNUMBER(VALUE(prodcom_data[[#This Row],[PRODQNT - EU27_2020 - 2022 - amount]])), ISNUMBER(VALUE(prodcom_data[[#This Row],[IMPQNT - EU27_2020 - 2022 - amount]])))), "secrets", "")</f>
        <v/>
      </c>
      <c r="AF75" s="7">
        <f>_xlfn.LET(_xlpm.production_amount, VALUE(prodcom_data[[#This Row],[PRODQNT - FR - 2019 - amount]]), IF(ISNUMBER(_xlpm.production_amount), _xlpm.production_amount, 0))+_xlfn.LET(_xlpm.import_amount, VALUE(prodcom_data[[#This Row],[IMPQNT - FR - 2019 - amount]]), IF(ISNUMBER(_xlpm.import_amount), _xlpm.import_amount, 0))</f>
        <v>31223800</v>
      </c>
      <c r="AG75" s="8" t="str">
        <f>IF(NOT(AND(ISNUMBER(VALUE(prodcom_data[[#This Row],[PRODQNT - FR - 2019 - amount]])), ISNUMBER(VALUE(prodcom_data[[#This Row],[IMPQNT - FR - 2019 - amount]])))), "secrets", "")</f>
        <v>secrets</v>
      </c>
      <c r="AH75" s="7">
        <f>_xlfn.LET(_xlpm.production_amount, VALUE(prodcom_data[[#This Row],[PRODQNT - FR - 2022 - amount]]), IF(ISNUMBER(_xlpm.production_amount), _xlpm.production_amount, 0))+_xlfn.LET(_xlpm.import_amount, VALUE(prodcom_data[[#This Row],[IMPQNT - FR - 2022 - amount]]), IF(ISNUMBER(_xlpm.import_amount), _xlpm.import_amount, 0))</f>
        <v>28013386</v>
      </c>
      <c r="AI75" s="8" t="str">
        <f>IF(NOT(AND(ISNUMBER(VALUE(prodcom_data[[#This Row],[PRODQNT - FR - 2022 - amount]])), ISNUMBER(VALUE(prodcom_data[[#This Row],[IMPQNT - FR - 2022 - amount]])))), "secrets", "")</f>
        <v>secrets</v>
      </c>
      <c r="AJ7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0.85514301162071182</v>
      </c>
      <c r="AK75" s="10" t="s">
        <v>2642</v>
      </c>
    </row>
    <row r="76" spans="1:37" hidden="1" x14ac:dyDescent="0.3">
      <c r="A76" s="4" t="s">
        <v>3</v>
      </c>
      <c r="B76" s="4" t="s">
        <v>495</v>
      </c>
      <c r="C76" s="4" t="s">
        <v>496</v>
      </c>
      <c r="D76" s="4" t="s">
        <v>497</v>
      </c>
      <c r="E76" s="5" t="s">
        <v>7</v>
      </c>
      <c r="F76" s="4" t="s">
        <v>2055</v>
      </c>
      <c r="G76" s="5" t="s">
        <v>7</v>
      </c>
      <c r="H76" s="4" t="s">
        <v>2056</v>
      </c>
      <c r="I76" s="5" t="s">
        <v>7</v>
      </c>
      <c r="J76" s="4" t="s">
        <v>2057</v>
      </c>
      <c r="K76" s="5" t="s">
        <v>7</v>
      </c>
      <c r="L76" s="4" t="s">
        <v>2058</v>
      </c>
      <c r="M76" s="5" t="s">
        <v>7</v>
      </c>
      <c r="N76" s="4" t="s">
        <v>2059</v>
      </c>
      <c r="O76" s="5" t="s">
        <v>7</v>
      </c>
      <c r="P76" s="4" t="s">
        <v>2611</v>
      </c>
      <c r="Q76" s="5" t="s">
        <v>7</v>
      </c>
      <c r="R76" s="4" t="s">
        <v>2060</v>
      </c>
      <c r="S76" s="5" t="s">
        <v>7</v>
      </c>
      <c r="T76" s="4" t="s">
        <v>2061</v>
      </c>
      <c r="U76" s="5" t="s">
        <v>7</v>
      </c>
      <c r="V76" s="4" t="s">
        <v>2611</v>
      </c>
      <c r="W76" s="5" t="s">
        <v>7</v>
      </c>
      <c r="X76" s="4" t="s">
        <v>2062</v>
      </c>
      <c r="Y76" s="5" t="s">
        <v>7</v>
      </c>
      <c r="Z76" s="4" t="s">
        <v>2063</v>
      </c>
      <c r="AA76" s="5" t="s">
        <v>7</v>
      </c>
      <c r="AB7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630701041</v>
      </c>
      <c r="AC76" s="8" t="str">
        <f>IF(NOT(AND(ISNUMBER(VALUE(prodcom_data[[#This Row],[PRODQNT - EU27_2020 - 2019 - amount]])), ISNUMBER(VALUE(prodcom_data[[#This Row],[IMPQNT - EU27_2020 - 2019 - amount]])))), "secrets", "")</f>
        <v/>
      </c>
      <c r="AD7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667651873</v>
      </c>
      <c r="AE76" s="8" t="str">
        <f>IF(NOT(AND(ISNUMBER(VALUE(prodcom_data[[#This Row],[PRODQNT - EU27_2020 - 2022 - amount]])), ISNUMBER(VALUE(prodcom_data[[#This Row],[IMPQNT - EU27_2020 - 2022 - amount]])))), "secrets", "")</f>
        <v/>
      </c>
      <c r="AF76" s="7">
        <f>_xlfn.LET(_xlpm.production_amount, VALUE(prodcom_data[[#This Row],[PRODQNT - FR - 2019 - amount]]), IF(ISNUMBER(_xlpm.production_amount), _xlpm.production_amount, 0))+_xlfn.LET(_xlpm.import_amount, VALUE(prodcom_data[[#This Row],[IMPQNT - FR - 2019 - amount]]), IF(ISNUMBER(_xlpm.import_amount), _xlpm.import_amount, 0))</f>
        <v>115018200</v>
      </c>
      <c r="AG76" s="8" t="str">
        <f>IF(NOT(AND(ISNUMBER(VALUE(prodcom_data[[#This Row],[PRODQNT - FR - 2019 - amount]])), ISNUMBER(VALUE(prodcom_data[[#This Row],[IMPQNT - FR - 2019 - amount]])))), "secrets", "")</f>
        <v>secrets</v>
      </c>
      <c r="AH76" s="7">
        <f>_xlfn.LET(_xlpm.production_amount, VALUE(prodcom_data[[#This Row],[PRODQNT - FR - 2022 - amount]]), IF(ISNUMBER(_xlpm.production_amount), _xlpm.production_amount, 0))+_xlfn.LET(_xlpm.import_amount, VALUE(prodcom_data[[#This Row],[IMPQNT - FR - 2022 - amount]]), IF(ISNUMBER(_xlpm.import_amount), _xlpm.import_amount, 0))</f>
        <v>137646195</v>
      </c>
      <c r="AI76" s="8" t="str">
        <f>IF(NOT(AND(ISNUMBER(VALUE(prodcom_data[[#This Row],[PRODQNT - FR - 2022 - amount]])), ISNUMBER(VALUE(prodcom_data[[#This Row],[IMPQNT - FR - 2022 - amount]])))), "secrets", "")</f>
        <v>secrets</v>
      </c>
      <c r="AJ7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0.83315163260239966</v>
      </c>
      <c r="AK76" s="10" t="s">
        <v>2658</v>
      </c>
    </row>
    <row r="77" spans="1:37" x14ac:dyDescent="0.3">
      <c r="A77" s="4" t="s">
        <v>3</v>
      </c>
      <c r="B77" s="4" t="s">
        <v>114</v>
      </c>
      <c r="C77" s="4" t="s">
        <v>115</v>
      </c>
      <c r="D77" s="4" t="s">
        <v>116</v>
      </c>
      <c r="E77" s="5" t="s">
        <v>7</v>
      </c>
      <c r="F77" s="4" t="s">
        <v>1020</v>
      </c>
      <c r="G77" s="5" t="s">
        <v>7</v>
      </c>
      <c r="H77" s="4" t="s">
        <v>1021</v>
      </c>
      <c r="I77" s="5" t="s">
        <v>7</v>
      </c>
      <c r="J77" s="4" t="s">
        <v>1022</v>
      </c>
      <c r="K77" s="5" t="s">
        <v>7</v>
      </c>
      <c r="L77" s="4" t="s">
        <v>1023</v>
      </c>
      <c r="M77" s="5" t="s">
        <v>7</v>
      </c>
      <c r="N77" s="4" t="s">
        <v>1024</v>
      </c>
      <c r="O77" s="5" t="s">
        <v>7</v>
      </c>
      <c r="P77" s="4" t="s">
        <v>1025</v>
      </c>
      <c r="Q77" s="5" t="s">
        <v>7</v>
      </c>
      <c r="R77" s="4" t="s">
        <v>713</v>
      </c>
      <c r="S77" s="5" t="s">
        <v>7</v>
      </c>
      <c r="T77" s="4" t="s">
        <v>1026</v>
      </c>
      <c r="U77" s="5" t="s">
        <v>7</v>
      </c>
      <c r="V77" s="4" t="s">
        <v>2611</v>
      </c>
      <c r="W77" s="5" t="s">
        <v>7</v>
      </c>
      <c r="X77" s="4" t="s">
        <v>1027</v>
      </c>
      <c r="Y77" s="5" t="s">
        <v>7</v>
      </c>
      <c r="Z77" s="4" t="s">
        <v>1028</v>
      </c>
      <c r="AA77" s="5" t="s">
        <v>7</v>
      </c>
      <c r="AB7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439330226</v>
      </c>
      <c r="AC77" s="8" t="str">
        <f>IF(NOT(AND(ISNUMBER(VALUE(prodcom_data[[#This Row],[PRODQNT - EU27_2020 - 2019 - amount]])), ISNUMBER(VALUE(prodcom_data[[#This Row],[IMPQNT - EU27_2020 - 2019 - amount]])))), "secrets", "")</f>
        <v/>
      </c>
      <c r="AD7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667347651</v>
      </c>
      <c r="AE77" s="8" t="str">
        <f>IF(NOT(AND(ISNUMBER(VALUE(prodcom_data[[#This Row],[PRODQNT - EU27_2020 - 2022 - amount]])), ISNUMBER(VALUE(prodcom_data[[#This Row],[IMPQNT - EU27_2020 - 2022 - amount]])))), "secrets", "")</f>
        <v/>
      </c>
      <c r="AF77" s="7">
        <f>_xlfn.LET(_xlpm.production_amount, VALUE(prodcom_data[[#This Row],[PRODQNT - FR - 2019 - amount]]), IF(ISNUMBER(_xlpm.production_amount), _xlpm.production_amount, 0))+_xlfn.LET(_xlpm.import_amount, VALUE(prodcom_data[[#This Row],[IMPQNT - FR - 2019 - amount]]), IF(ISNUMBER(_xlpm.import_amount), _xlpm.import_amount, 0))</f>
        <v>104404647</v>
      </c>
      <c r="AG77" s="8" t="str">
        <f>IF(NOT(AND(ISNUMBER(VALUE(prodcom_data[[#This Row],[PRODQNT - FR - 2019 - amount]])), ISNUMBER(VALUE(prodcom_data[[#This Row],[IMPQNT - FR - 2019 - amount]])))), "secrets", "")</f>
        <v/>
      </c>
      <c r="AH77" s="7">
        <f>_xlfn.LET(_xlpm.production_amount, VALUE(prodcom_data[[#This Row],[PRODQNT - FR - 2022 - amount]]), IF(ISNUMBER(_xlpm.production_amount), _xlpm.production_amount, 0))+_xlfn.LET(_xlpm.import_amount, VALUE(prodcom_data[[#This Row],[IMPQNT - FR - 2022 - amount]]), IF(ISNUMBER(_xlpm.import_amount), _xlpm.import_amount, 0))</f>
        <v>18576637</v>
      </c>
      <c r="AI77" s="8" t="str">
        <f>IF(NOT(AND(ISNUMBER(VALUE(prodcom_data[[#This Row],[PRODQNT - FR - 2022 - amount]])), ISNUMBER(VALUE(prodcom_data[[#This Row],[IMPQNT - FR - 2022 - amount]])))), "secrets", "")</f>
        <v>secrets</v>
      </c>
      <c r="AJ7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0.80917344833809868</v>
      </c>
      <c r="AK77" s="10" t="s">
        <v>2642</v>
      </c>
    </row>
    <row r="78" spans="1:37" hidden="1" x14ac:dyDescent="0.3">
      <c r="A78" s="4" t="s">
        <v>3</v>
      </c>
      <c r="B78" s="4" t="s">
        <v>417</v>
      </c>
      <c r="C78" s="4" t="s">
        <v>418</v>
      </c>
      <c r="D78" s="4" t="s">
        <v>419</v>
      </c>
      <c r="E78" s="5" t="s">
        <v>7</v>
      </c>
      <c r="F78" s="4" t="s">
        <v>1832</v>
      </c>
      <c r="G78" s="5" t="s">
        <v>7</v>
      </c>
      <c r="H78" s="4" t="s">
        <v>1833</v>
      </c>
      <c r="I78" s="5" t="s">
        <v>7</v>
      </c>
      <c r="J78" s="4" t="s">
        <v>1834</v>
      </c>
      <c r="K78" s="5" t="s">
        <v>7</v>
      </c>
      <c r="L78" s="4" t="s">
        <v>1835</v>
      </c>
      <c r="M78" s="5" t="s">
        <v>7</v>
      </c>
      <c r="N78" s="4" t="s">
        <v>1836</v>
      </c>
      <c r="O78" s="5" t="s">
        <v>7</v>
      </c>
      <c r="P78" s="4" t="s">
        <v>2611</v>
      </c>
      <c r="Q78" s="5" t="s">
        <v>7</v>
      </c>
      <c r="R78" s="4" t="s">
        <v>1837</v>
      </c>
      <c r="S78" s="5" t="s">
        <v>7</v>
      </c>
      <c r="T78" s="4" t="s">
        <v>1838</v>
      </c>
      <c r="U78" s="5" t="s">
        <v>7</v>
      </c>
      <c r="V78" s="4" t="s">
        <v>2611</v>
      </c>
      <c r="W78" s="5" t="s">
        <v>7</v>
      </c>
      <c r="X78" s="4" t="s">
        <v>1839</v>
      </c>
      <c r="Y78" s="5" t="s">
        <v>7</v>
      </c>
      <c r="Z78" s="4" t="s">
        <v>1840</v>
      </c>
      <c r="AA78" s="5" t="s">
        <v>7</v>
      </c>
      <c r="AB7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808211418</v>
      </c>
      <c r="AC78" s="8" t="str">
        <f>IF(NOT(AND(ISNUMBER(VALUE(prodcom_data[[#This Row],[PRODQNT - EU27_2020 - 2019 - amount]])), ISNUMBER(VALUE(prodcom_data[[#This Row],[IMPQNT - EU27_2020 - 2019 - amount]])))), "secrets", "")</f>
        <v/>
      </c>
      <c r="AD7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652554432</v>
      </c>
      <c r="AE78" s="8" t="str">
        <f>IF(NOT(AND(ISNUMBER(VALUE(prodcom_data[[#This Row],[PRODQNT - EU27_2020 - 2022 - amount]])), ISNUMBER(VALUE(prodcom_data[[#This Row],[IMPQNT - EU27_2020 - 2022 - amount]])))), "secrets", "")</f>
        <v/>
      </c>
      <c r="AF78" s="7">
        <f>_xlfn.LET(_xlpm.production_amount, VALUE(prodcom_data[[#This Row],[PRODQNT - FR - 2019 - amount]]), IF(ISNUMBER(_xlpm.production_amount), _xlpm.production_amount, 0))+_xlfn.LET(_xlpm.import_amount, VALUE(prodcom_data[[#This Row],[IMPQNT - FR - 2019 - amount]]), IF(ISNUMBER(_xlpm.import_amount), _xlpm.import_amount, 0))</f>
        <v>8780800</v>
      </c>
      <c r="AG78" s="8" t="str">
        <f>IF(NOT(AND(ISNUMBER(VALUE(prodcom_data[[#This Row],[PRODQNT - FR - 2019 - amount]])), ISNUMBER(VALUE(prodcom_data[[#This Row],[IMPQNT - FR - 2019 - amount]])))), "secrets", "")</f>
        <v>secrets</v>
      </c>
      <c r="AH78" s="7">
        <f>_xlfn.LET(_xlpm.production_amount, VALUE(prodcom_data[[#This Row],[PRODQNT - FR - 2022 - amount]]), IF(ISNUMBER(_xlpm.production_amount), _xlpm.production_amount, 0))+_xlfn.LET(_xlpm.import_amount, VALUE(prodcom_data[[#This Row],[IMPQNT - FR - 2022 - amount]]), IF(ISNUMBER(_xlpm.import_amount), _xlpm.import_amount, 0))</f>
        <v>6375430</v>
      </c>
      <c r="AI78" s="8" t="str">
        <f>IF(NOT(AND(ISNUMBER(VALUE(prodcom_data[[#This Row],[PRODQNT - FR - 2022 - amount]])), ISNUMBER(VALUE(prodcom_data[[#This Row],[IMPQNT - FR - 2022 - amount]])))), "secrets", "")</f>
        <v>secrets</v>
      </c>
      <c r="AJ7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0.93588516459574056</v>
      </c>
      <c r="AK78" s="10" t="s">
        <v>2641</v>
      </c>
    </row>
    <row r="79" spans="1:37" hidden="1" x14ac:dyDescent="0.3">
      <c r="A79" s="4" t="s">
        <v>3</v>
      </c>
      <c r="B79" s="4" t="s">
        <v>272</v>
      </c>
      <c r="C79" s="4" t="s">
        <v>273</v>
      </c>
      <c r="D79" s="4" t="s">
        <v>274</v>
      </c>
      <c r="E79" s="5" t="s">
        <v>7</v>
      </c>
      <c r="F79" s="4" t="s">
        <v>1443</v>
      </c>
      <c r="G79" s="5" t="s">
        <v>7</v>
      </c>
      <c r="H79" s="4" t="s">
        <v>1444</v>
      </c>
      <c r="I79" s="5" t="s">
        <v>7</v>
      </c>
      <c r="J79" s="4" t="s">
        <v>1445</v>
      </c>
      <c r="K79" s="5" t="s">
        <v>7</v>
      </c>
      <c r="L79" s="4" t="s">
        <v>1446</v>
      </c>
      <c r="M79" s="5" t="s">
        <v>7</v>
      </c>
      <c r="N79" s="4" t="s">
        <v>1447</v>
      </c>
      <c r="O79" s="5" t="s">
        <v>7</v>
      </c>
      <c r="P79" s="4" t="s">
        <v>2611</v>
      </c>
      <c r="Q79" s="5" t="s">
        <v>7</v>
      </c>
      <c r="R79" s="4" t="s">
        <v>1448</v>
      </c>
      <c r="S79" s="5" t="s">
        <v>7</v>
      </c>
      <c r="T79" s="4" t="s">
        <v>1449</v>
      </c>
      <c r="U79" s="5" t="s">
        <v>7</v>
      </c>
      <c r="V79" s="4" t="s">
        <v>2611</v>
      </c>
      <c r="W79" s="5" t="s">
        <v>7</v>
      </c>
      <c r="X79" s="4" t="s">
        <v>1450</v>
      </c>
      <c r="Y79" s="5" t="s">
        <v>7</v>
      </c>
      <c r="Z79" s="4" t="s">
        <v>1451</v>
      </c>
      <c r="AA79" s="5" t="s">
        <v>7</v>
      </c>
      <c r="AB7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579762087</v>
      </c>
      <c r="AC79" s="8" t="str">
        <f>IF(NOT(AND(ISNUMBER(VALUE(prodcom_data[[#This Row],[PRODQNT - EU27_2020 - 2019 - amount]])), ISNUMBER(VALUE(prodcom_data[[#This Row],[IMPQNT - EU27_2020 - 2019 - amount]])))), "secrets", "")</f>
        <v/>
      </c>
      <c r="AD7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642698480</v>
      </c>
      <c r="AE79" s="8" t="str">
        <f>IF(NOT(AND(ISNUMBER(VALUE(prodcom_data[[#This Row],[PRODQNT - EU27_2020 - 2022 - amount]])), ISNUMBER(VALUE(prodcom_data[[#This Row],[IMPQNT - EU27_2020 - 2022 - amount]])))), "secrets", "")</f>
        <v/>
      </c>
      <c r="AF79" s="7">
        <f>_xlfn.LET(_xlpm.production_amount, VALUE(prodcom_data[[#This Row],[PRODQNT - FR - 2019 - amount]]), IF(ISNUMBER(_xlpm.production_amount), _xlpm.production_amount, 0))+_xlfn.LET(_xlpm.import_amount, VALUE(prodcom_data[[#This Row],[IMPQNT - FR - 2019 - amount]]), IF(ISNUMBER(_xlpm.import_amount), _xlpm.import_amount, 0))</f>
        <v>46071600</v>
      </c>
      <c r="AG79" s="8" t="str">
        <f>IF(NOT(AND(ISNUMBER(VALUE(prodcom_data[[#This Row],[PRODQNT - FR - 2019 - amount]])), ISNUMBER(VALUE(prodcom_data[[#This Row],[IMPQNT - FR - 2019 - amount]])))), "secrets", "")</f>
        <v>secrets</v>
      </c>
      <c r="AH79" s="7">
        <f>_xlfn.LET(_xlpm.production_amount, VALUE(prodcom_data[[#This Row],[PRODQNT - FR - 2022 - amount]]), IF(ISNUMBER(_xlpm.production_amount), _xlpm.production_amount, 0))+_xlfn.LET(_xlpm.import_amount, VALUE(prodcom_data[[#This Row],[IMPQNT - FR - 2022 - amount]]), IF(ISNUMBER(_xlpm.import_amount), _xlpm.import_amount, 0))</f>
        <v>51763425</v>
      </c>
      <c r="AI79" s="8" t="str">
        <f>IF(NOT(AND(ISNUMBER(VALUE(prodcom_data[[#This Row],[PRODQNT - FR - 2022 - amount]])), ISNUMBER(VALUE(prodcom_data[[#This Row],[IMPQNT - FR - 2022 - amount]])))), "secrets", "")</f>
        <v>secrets</v>
      </c>
      <c r="AJ7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0.70017280887298816</v>
      </c>
      <c r="AK79" s="10" t="s">
        <v>2641</v>
      </c>
    </row>
    <row r="80" spans="1:37" x14ac:dyDescent="0.3">
      <c r="A80" s="4" t="s">
        <v>3</v>
      </c>
      <c r="B80" s="4" t="s">
        <v>52</v>
      </c>
      <c r="C80" s="4" t="s">
        <v>53</v>
      </c>
      <c r="D80" s="4" t="s">
        <v>54</v>
      </c>
      <c r="E80" s="5" t="s">
        <v>7</v>
      </c>
      <c r="F80" s="4" t="s">
        <v>840</v>
      </c>
      <c r="G80" s="5" t="s">
        <v>7</v>
      </c>
      <c r="H80" s="4" t="s">
        <v>841</v>
      </c>
      <c r="I80" s="5" t="s">
        <v>7</v>
      </c>
      <c r="J80" s="4" t="s">
        <v>842</v>
      </c>
      <c r="K80" s="5" t="s">
        <v>7</v>
      </c>
      <c r="L80" s="4" t="s">
        <v>843</v>
      </c>
      <c r="M80" s="5" t="s">
        <v>7</v>
      </c>
      <c r="N80" s="4" t="s">
        <v>844</v>
      </c>
      <c r="O80" s="5" t="s">
        <v>7</v>
      </c>
      <c r="P80" s="4" t="s">
        <v>2611</v>
      </c>
      <c r="Q80" s="5" t="s">
        <v>7</v>
      </c>
      <c r="R80" s="4" t="s">
        <v>845</v>
      </c>
      <c r="S80" s="5" t="s">
        <v>7</v>
      </c>
      <c r="T80" s="4" t="s">
        <v>846</v>
      </c>
      <c r="U80" s="5" t="s">
        <v>7</v>
      </c>
      <c r="V80" s="4" t="s">
        <v>2611</v>
      </c>
      <c r="W80" s="5" t="s">
        <v>7</v>
      </c>
      <c r="X80" s="4" t="s">
        <v>847</v>
      </c>
      <c r="Y80" s="5" t="s">
        <v>7</v>
      </c>
      <c r="Z80" s="4" t="s">
        <v>848</v>
      </c>
      <c r="AA80" s="5" t="s">
        <v>7</v>
      </c>
      <c r="AB8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739663058</v>
      </c>
      <c r="AC80" s="8" t="str">
        <f>IF(NOT(AND(ISNUMBER(VALUE(prodcom_data[[#This Row],[PRODQNT - EU27_2020 - 2019 - amount]])), ISNUMBER(VALUE(prodcom_data[[#This Row],[IMPQNT - EU27_2020 - 2019 - amount]])))), "secrets", "")</f>
        <v/>
      </c>
      <c r="AD8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642497260</v>
      </c>
      <c r="AE80" s="8" t="str">
        <f>IF(NOT(AND(ISNUMBER(VALUE(prodcom_data[[#This Row],[PRODQNT - EU27_2020 - 2022 - amount]])), ISNUMBER(VALUE(prodcom_data[[#This Row],[IMPQNT - EU27_2020 - 2022 - amount]])))), "secrets", "")</f>
        <v/>
      </c>
      <c r="AF80" s="7">
        <f>_xlfn.LET(_xlpm.production_amount, VALUE(prodcom_data[[#This Row],[PRODQNT - FR - 2019 - amount]]), IF(ISNUMBER(_xlpm.production_amount), _xlpm.production_amount, 0))+_xlfn.LET(_xlpm.import_amount, VALUE(prodcom_data[[#This Row],[IMPQNT - FR - 2019 - amount]]), IF(ISNUMBER(_xlpm.import_amount), _xlpm.import_amount, 0))</f>
        <v>25339100</v>
      </c>
      <c r="AG80" s="8" t="str">
        <f>IF(NOT(AND(ISNUMBER(VALUE(prodcom_data[[#This Row],[PRODQNT - FR - 2019 - amount]])), ISNUMBER(VALUE(prodcom_data[[#This Row],[IMPQNT - FR - 2019 - amount]])))), "secrets", "")</f>
        <v>secrets</v>
      </c>
      <c r="AH80" s="7">
        <f>_xlfn.LET(_xlpm.production_amount, VALUE(prodcom_data[[#This Row],[PRODQNT - FR - 2022 - amount]]), IF(ISNUMBER(_xlpm.production_amount), _xlpm.production_amount, 0))+_xlfn.LET(_xlpm.import_amount, VALUE(prodcom_data[[#This Row],[IMPQNT - FR - 2022 - amount]]), IF(ISNUMBER(_xlpm.import_amount), _xlpm.import_amount, 0))</f>
        <v>4206123</v>
      </c>
      <c r="AI80" s="8" t="str">
        <f>IF(NOT(AND(ISNUMBER(VALUE(prodcom_data[[#This Row],[PRODQNT - FR - 2022 - amount]])), ISNUMBER(VALUE(prodcom_data[[#This Row],[IMPQNT - FR - 2022 - amount]])))), "secrets", "")</f>
        <v>secrets</v>
      </c>
      <c r="AJ8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0.93385612259264728</v>
      </c>
      <c r="AK80" s="10" t="s">
        <v>2642</v>
      </c>
    </row>
    <row r="81" spans="1:37" hidden="1" x14ac:dyDescent="0.3">
      <c r="A81" s="4" t="s">
        <v>3</v>
      </c>
      <c r="B81" s="4" t="s">
        <v>498</v>
      </c>
      <c r="C81" s="4" t="s">
        <v>499</v>
      </c>
      <c r="D81" s="4" t="s">
        <v>500</v>
      </c>
      <c r="E81" s="5" t="s">
        <v>7</v>
      </c>
      <c r="F81" s="4" t="s">
        <v>2064</v>
      </c>
      <c r="G81" s="5" t="s">
        <v>7</v>
      </c>
      <c r="H81" s="4" t="s">
        <v>2065</v>
      </c>
      <c r="I81" s="5" t="s">
        <v>7</v>
      </c>
      <c r="J81" s="4" t="s">
        <v>1434</v>
      </c>
      <c r="K81" s="5" t="s">
        <v>7</v>
      </c>
      <c r="L81" s="4" t="s">
        <v>2066</v>
      </c>
      <c r="M81" s="5" t="s">
        <v>7</v>
      </c>
      <c r="N81" s="4" t="s">
        <v>2067</v>
      </c>
      <c r="O81" s="5" t="s">
        <v>7</v>
      </c>
      <c r="P81" s="4" t="s">
        <v>2611</v>
      </c>
      <c r="Q81" s="5" t="s">
        <v>7</v>
      </c>
      <c r="R81" s="4" t="s">
        <v>713</v>
      </c>
      <c r="S81" s="5" t="s">
        <v>7</v>
      </c>
      <c r="T81" s="4" t="s">
        <v>2068</v>
      </c>
      <c r="U81" s="5" t="s">
        <v>7</v>
      </c>
      <c r="V81" s="4" t="s">
        <v>2069</v>
      </c>
      <c r="W81" s="5" t="s">
        <v>7</v>
      </c>
      <c r="X81" s="4" t="s">
        <v>2070</v>
      </c>
      <c r="Y81" s="5" t="s">
        <v>7</v>
      </c>
      <c r="Z81" s="4" t="s">
        <v>2071</v>
      </c>
      <c r="AA81" s="5" t="s">
        <v>7</v>
      </c>
      <c r="AB8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579268626</v>
      </c>
      <c r="AC81" s="8" t="str">
        <f>IF(NOT(AND(ISNUMBER(VALUE(prodcom_data[[#This Row],[PRODQNT - EU27_2020 - 2019 - amount]])), ISNUMBER(VALUE(prodcom_data[[#This Row],[IMPQNT - EU27_2020 - 2019 - amount]])))), "secrets", "")</f>
        <v/>
      </c>
      <c r="AD8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628682560</v>
      </c>
      <c r="AE81" s="8" t="str">
        <f>IF(NOT(AND(ISNUMBER(VALUE(prodcom_data[[#This Row],[PRODQNT - EU27_2020 - 2022 - amount]])), ISNUMBER(VALUE(prodcom_data[[#This Row],[IMPQNT - EU27_2020 - 2022 - amount]])))), "secrets", "")</f>
        <v/>
      </c>
      <c r="AF81" s="7">
        <f>_xlfn.LET(_xlpm.production_amount, VALUE(prodcom_data[[#This Row],[PRODQNT - FR - 2019 - amount]]), IF(ISNUMBER(_xlpm.production_amount), _xlpm.production_amount, 0))+_xlfn.LET(_xlpm.import_amount, VALUE(prodcom_data[[#This Row],[IMPQNT - FR - 2019 - amount]]), IF(ISNUMBER(_xlpm.import_amount), _xlpm.import_amount, 0))</f>
        <v>20053100</v>
      </c>
      <c r="AG81" s="8" t="str">
        <f>IF(NOT(AND(ISNUMBER(VALUE(prodcom_data[[#This Row],[PRODQNT - FR - 2019 - amount]])), ISNUMBER(VALUE(prodcom_data[[#This Row],[IMPQNT - FR - 2019 - amount]])))), "secrets", "")</f>
        <v>secrets</v>
      </c>
      <c r="AH81" s="7">
        <f>_xlfn.LET(_xlpm.production_amount, VALUE(prodcom_data[[#This Row],[PRODQNT - FR - 2022 - amount]]), IF(ISNUMBER(_xlpm.production_amount), _xlpm.production_amount, 0))+_xlfn.LET(_xlpm.import_amount, VALUE(prodcom_data[[#This Row],[IMPQNT - FR - 2022 - amount]]), IF(ISNUMBER(_xlpm.import_amount), _xlpm.import_amount, 0))</f>
        <v>75937636</v>
      </c>
      <c r="AI81" s="8" t="str">
        <f>IF(NOT(AND(ISNUMBER(VALUE(prodcom_data[[#This Row],[PRODQNT - FR - 2022 - amount]])), ISNUMBER(VALUE(prodcom_data[[#This Row],[IMPQNT - FR - 2022 - amount]])))), "secrets", "")</f>
        <v/>
      </c>
      <c r="AJ8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0.7953139339510229</v>
      </c>
      <c r="AK81" s="10" t="s">
        <v>2649</v>
      </c>
    </row>
    <row r="82" spans="1:37" hidden="1" x14ac:dyDescent="0.3">
      <c r="A82" s="4" t="s">
        <v>3</v>
      </c>
      <c r="B82" s="4" t="s">
        <v>214</v>
      </c>
      <c r="C82" s="4" t="s">
        <v>215</v>
      </c>
      <c r="D82" s="4" t="s">
        <v>216</v>
      </c>
      <c r="E82" s="5" t="s">
        <v>7</v>
      </c>
      <c r="F82" s="4" t="s">
        <v>1297</v>
      </c>
      <c r="G82" s="5" t="s">
        <v>7</v>
      </c>
      <c r="H82" s="4" t="s">
        <v>1298</v>
      </c>
      <c r="I82" s="5" t="s">
        <v>7</v>
      </c>
      <c r="J82" s="4" t="s">
        <v>128</v>
      </c>
      <c r="K82" s="5" t="s">
        <v>7</v>
      </c>
      <c r="L82" s="4" t="s">
        <v>1299</v>
      </c>
      <c r="M82" s="5" t="s">
        <v>7</v>
      </c>
      <c r="N82" s="4" t="s">
        <v>1300</v>
      </c>
      <c r="O82" s="5" t="s">
        <v>7</v>
      </c>
      <c r="P82" s="4" t="s">
        <v>1301</v>
      </c>
      <c r="Q82" s="5" t="s">
        <v>7</v>
      </c>
      <c r="R82" s="4" t="s">
        <v>713</v>
      </c>
      <c r="S82" s="5" t="s">
        <v>7</v>
      </c>
      <c r="T82" s="4" t="s">
        <v>1302</v>
      </c>
      <c r="U82" s="5" t="s">
        <v>7</v>
      </c>
      <c r="V82" s="4" t="s">
        <v>2611</v>
      </c>
      <c r="W82" s="5" t="s">
        <v>7</v>
      </c>
      <c r="X82" s="4" t="s">
        <v>1303</v>
      </c>
      <c r="Y82" s="5" t="s">
        <v>7</v>
      </c>
      <c r="Z82" s="4" t="s">
        <v>1304</v>
      </c>
      <c r="AA82" s="5" t="s">
        <v>7</v>
      </c>
      <c r="AB8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516024738</v>
      </c>
      <c r="AC82" s="8" t="str">
        <f>IF(NOT(AND(ISNUMBER(VALUE(prodcom_data[[#This Row],[PRODQNT - EU27_2020 - 2019 - amount]])), ISNUMBER(VALUE(prodcom_data[[#This Row],[IMPQNT - EU27_2020 - 2019 - amount]])))), "secrets", "")</f>
        <v/>
      </c>
      <c r="AD8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627653013</v>
      </c>
      <c r="AE82" s="8" t="str">
        <f>IF(NOT(AND(ISNUMBER(VALUE(prodcom_data[[#This Row],[PRODQNT - EU27_2020 - 2022 - amount]])), ISNUMBER(VALUE(prodcom_data[[#This Row],[IMPQNT - EU27_2020 - 2022 - amount]])))), "secrets", "")</f>
        <v/>
      </c>
      <c r="AF82" s="7">
        <f>_xlfn.LET(_xlpm.production_amount, VALUE(prodcom_data[[#This Row],[PRODQNT - FR - 2019 - amount]]), IF(ISNUMBER(_xlpm.production_amount), _xlpm.production_amount, 0))+_xlfn.LET(_xlpm.import_amount, VALUE(prodcom_data[[#This Row],[IMPQNT - FR - 2019 - amount]]), IF(ISNUMBER(_xlpm.import_amount), _xlpm.import_amount, 0))</f>
        <v>36904459</v>
      </c>
      <c r="AG82" s="8" t="str">
        <f>IF(NOT(AND(ISNUMBER(VALUE(prodcom_data[[#This Row],[PRODQNT - FR - 2019 - amount]])), ISNUMBER(VALUE(prodcom_data[[#This Row],[IMPQNT - FR - 2019 - amount]])))), "secrets", "")</f>
        <v/>
      </c>
      <c r="AH82" s="7">
        <f>_xlfn.LET(_xlpm.production_amount, VALUE(prodcom_data[[#This Row],[PRODQNT - FR - 2022 - amount]]), IF(ISNUMBER(_xlpm.production_amount), _xlpm.production_amount, 0))+_xlfn.LET(_xlpm.import_amount, VALUE(prodcom_data[[#This Row],[IMPQNT - FR - 2022 - amount]]), IF(ISNUMBER(_xlpm.import_amount), _xlpm.import_amount, 0))</f>
        <v>25992278</v>
      </c>
      <c r="AI82" s="8" t="str">
        <f>IF(NOT(AND(ISNUMBER(VALUE(prodcom_data[[#This Row],[PRODQNT - FR - 2022 - amount]])), ISNUMBER(VALUE(prodcom_data[[#This Row],[IMPQNT - FR - 2022 - amount]])))), "secrets", "")</f>
        <v>secrets</v>
      </c>
      <c r="AJ8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0.57356531800796118</v>
      </c>
      <c r="AK82" s="10" t="s">
        <v>2649</v>
      </c>
    </row>
    <row r="83" spans="1:37" x14ac:dyDescent="0.3">
      <c r="A83" s="4" t="s">
        <v>3</v>
      </c>
      <c r="B83" s="4" t="s">
        <v>220</v>
      </c>
      <c r="C83" s="4" t="s">
        <v>221</v>
      </c>
      <c r="D83" s="4" t="s">
        <v>222</v>
      </c>
      <c r="E83" s="5" t="s">
        <v>7</v>
      </c>
      <c r="F83" s="4" t="s">
        <v>1313</v>
      </c>
      <c r="G83" s="5" t="s">
        <v>7</v>
      </c>
      <c r="H83" s="4" t="s">
        <v>1314</v>
      </c>
      <c r="I83" s="5" t="s">
        <v>7</v>
      </c>
      <c r="J83" s="4" t="s">
        <v>182</v>
      </c>
      <c r="K83" s="5" t="s">
        <v>7</v>
      </c>
      <c r="L83" s="4" t="s">
        <v>1315</v>
      </c>
      <c r="M83" s="5" t="s">
        <v>7</v>
      </c>
      <c r="N83" s="4" t="s">
        <v>1316</v>
      </c>
      <c r="O83" s="5" t="s">
        <v>7</v>
      </c>
      <c r="P83" s="4" t="s">
        <v>2611</v>
      </c>
      <c r="Q83" s="5" t="s">
        <v>7</v>
      </c>
      <c r="R83" s="4" t="s">
        <v>713</v>
      </c>
      <c r="S83" s="5" t="s">
        <v>7</v>
      </c>
      <c r="T83" s="4" t="s">
        <v>1317</v>
      </c>
      <c r="U83" s="5" t="s">
        <v>7</v>
      </c>
      <c r="V83" s="4" t="s">
        <v>2611</v>
      </c>
      <c r="W83" s="5" t="s">
        <v>7</v>
      </c>
      <c r="X83" s="4" t="s">
        <v>1318</v>
      </c>
      <c r="Y83" s="5" t="s">
        <v>7</v>
      </c>
      <c r="Z83" s="4" t="s">
        <v>1319</v>
      </c>
      <c r="AA83" s="5" t="s">
        <v>7</v>
      </c>
      <c r="AB8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778454260</v>
      </c>
      <c r="AC83" s="8" t="str">
        <f>IF(NOT(AND(ISNUMBER(VALUE(prodcom_data[[#This Row],[PRODQNT - EU27_2020 - 2019 - amount]])), ISNUMBER(VALUE(prodcom_data[[#This Row],[IMPQNT - EU27_2020 - 2019 - amount]])))), "secrets", "")</f>
        <v/>
      </c>
      <c r="AD8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604861873</v>
      </c>
      <c r="AE83" s="8" t="str">
        <f>IF(NOT(AND(ISNUMBER(VALUE(prodcom_data[[#This Row],[PRODQNT - EU27_2020 - 2022 - amount]])), ISNUMBER(VALUE(prodcom_data[[#This Row],[IMPQNT - EU27_2020 - 2022 - amount]])))), "secrets", "")</f>
        <v/>
      </c>
      <c r="AF83" s="7">
        <f>_xlfn.LET(_xlpm.production_amount, VALUE(prodcom_data[[#This Row],[PRODQNT - FR - 2019 - amount]]), IF(ISNUMBER(_xlpm.production_amount), _xlpm.production_amount, 0))+_xlfn.LET(_xlpm.import_amount, VALUE(prodcom_data[[#This Row],[IMPQNT - FR - 2019 - amount]]), IF(ISNUMBER(_xlpm.import_amount), _xlpm.import_amount, 0))</f>
        <v>62096300</v>
      </c>
      <c r="AG83" s="8" t="str">
        <f>IF(NOT(AND(ISNUMBER(VALUE(prodcom_data[[#This Row],[PRODQNT - FR - 2019 - amount]])), ISNUMBER(VALUE(prodcom_data[[#This Row],[IMPQNT - FR - 2019 - amount]])))), "secrets", "")</f>
        <v>secrets</v>
      </c>
      <c r="AH83" s="7">
        <f>_xlfn.LET(_xlpm.production_amount, VALUE(prodcom_data[[#This Row],[PRODQNT - FR - 2022 - amount]]), IF(ISNUMBER(_xlpm.production_amount), _xlpm.production_amount, 0))+_xlfn.LET(_xlpm.import_amount, VALUE(prodcom_data[[#This Row],[IMPQNT - FR - 2022 - amount]]), IF(ISNUMBER(_xlpm.import_amount), _xlpm.import_amount, 0))</f>
        <v>64262399</v>
      </c>
      <c r="AI83" s="8" t="str">
        <f>IF(NOT(AND(ISNUMBER(VALUE(prodcom_data[[#This Row],[PRODQNT - FR - 2022 - amount]])), ISNUMBER(VALUE(prodcom_data[[#This Row],[IMPQNT - FR - 2022 - amount]])))), "secrets", "")</f>
        <v>secrets</v>
      </c>
      <c r="AJ8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0.66130800742337414</v>
      </c>
      <c r="AK83" s="10" t="s">
        <v>2642</v>
      </c>
    </row>
    <row r="84" spans="1:37" hidden="1" x14ac:dyDescent="0.3">
      <c r="A84" s="4" t="s">
        <v>3</v>
      </c>
      <c r="B84" s="4" t="s">
        <v>605</v>
      </c>
      <c r="C84" s="4" t="s">
        <v>606</v>
      </c>
      <c r="D84" s="4" t="s">
        <v>607</v>
      </c>
      <c r="E84" s="5" t="s">
        <v>7</v>
      </c>
      <c r="F84" s="4" t="s">
        <v>2385</v>
      </c>
      <c r="G84" s="5" t="s">
        <v>7</v>
      </c>
      <c r="H84" s="4" t="s">
        <v>2386</v>
      </c>
      <c r="I84" s="5" t="s">
        <v>7</v>
      </c>
      <c r="J84" s="4" t="s">
        <v>2387</v>
      </c>
      <c r="K84" s="5" t="s">
        <v>7</v>
      </c>
      <c r="L84" s="4" t="s">
        <v>2388</v>
      </c>
      <c r="M84" s="5" t="s">
        <v>7</v>
      </c>
      <c r="N84" s="4" t="s">
        <v>2389</v>
      </c>
      <c r="O84" s="5" t="s">
        <v>7</v>
      </c>
      <c r="P84" s="4" t="s">
        <v>2390</v>
      </c>
      <c r="Q84" s="5" t="s">
        <v>7</v>
      </c>
      <c r="R84" s="4" t="s">
        <v>2391</v>
      </c>
      <c r="S84" s="5" t="s">
        <v>7</v>
      </c>
      <c r="T84" s="4" t="s">
        <v>2392</v>
      </c>
      <c r="U84" s="5" t="s">
        <v>7</v>
      </c>
      <c r="V84" s="4" t="s">
        <v>2611</v>
      </c>
      <c r="W84" s="5" t="s">
        <v>7</v>
      </c>
      <c r="X84" s="4" t="s">
        <v>2393</v>
      </c>
      <c r="Y84" s="5" t="s">
        <v>7</v>
      </c>
      <c r="Z84" s="4" t="s">
        <v>2394</v>
      </c>
      <c r="AA84" s="5" t="s">
        <v>7</v>
      </c>
      <c r="AB8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615150131</v>
      </c>
      <c r="AC84" s="8" t="str">
        <f>IF(NOT(AND(ISNUMBER(VALUE(prodcom_data[[#This Row],[PRODQNT - EU27_2020 - 2019 - amount]])), ISNUMBER(VALUE(prodcom_data[[#This Row],[IMPQNT - EU27_2020 - 2019 - amount]])))), "secrets", "")</f>
        <v/>
      </c>
      <c r="AD8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596328351</v>
      </c>
      <c r="AE84" s="8" t="str">
        <f>IF(NOT(AND(ISNUMBER(VALUE(prodcom_data[[#This Row],[PRODQNT - EU27_2020 - 2022 - amount]])), ISNUMBER(VALUE(prodcom_data[[#This Row],[IMPQNT - EU27_2020 - 2022 - amount]])))), "secrets", "")</f>
        <v/>
      </c>
      <c r="AF84" s="7">
        <f>_xlfn.LET(_xlpm.production_amount, VALUE(prodcom_data[[#This Row],[PRODQNT - FR - 2019 - amount]]), IF(ISNUMBER(_xlpm.production_amount), _xlpm.production_amount, 0))+_xlfn.LET(_xlpm.import_amount, VALUE(prodcom_data[[#This Row],[IMPQNT - FR - 2019 - amount]]), IF(ISNUMBER(_xlpm.import_amount), _xlpm.import_amount, 0))</f>
        <v>196367011</v>
      </c>
      <c r="AG84" s="8" t="str">
        <f>IF(NOT(AND(ISNUMBER(VALUE(prodcom_data[[#This Row],[PRODQNT - FR - 2019 - amount]])), ISNUMBER(VALUE(prodcom_data[[#This Row],[IMPQNT - FR - 2019 - amount]])))), "secrets", "")</f>
        <v/>
      </c>
      <c r="AH84" s="7">
        <f>_xlfn.LET(_xlpm.production_amount, VALUE(prodcom_data[[#This Row],[PRODQNT - FR - 2022 - amount]]), IF(ISNUMBER(_xlpm.production_amount), _xlpm.production_amount, 0))+_xlfn.LET(_xlpm.import_amount, VALUE(prodcom_data[[#This Row],[IMPQNT - FR - 2022 - amount]]), IF(ISNUMBER(_xlpm.import_amount), _xlpm.import_amount, 0))</f>
        <v>35197806</v>
      </c>
      <c r="AI84" s="8" t="str">
        <f>IF(NOT(AND(ISNUMBER(VALUE(prodcom_data[[#This Row],[PRODQNT - FR - 2022 - amount]])), ISNUMBER(VALUE(prodcom_data[[#This Row],[IMPQNT - FR - 2022 - amount]])))), "secrets", "")</f>
        <v>secrets</v>
      </c>
      <c r="AJ8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0.80492567424485906</v>
      </c>
      <c r="AK84" s="10" t="s">
        <v>2641</v>
      </c>
    </row>
    <row r="85" spans="1:37" x14ac:dyDescent="0.3">
      <c r="A85" s="4" t="s">
        <v>3</v>
      </c>
      <c r="B85" s="4" t="s">
        <v>542</v>
      </c>
      <c r="C85" s="4" t="s">
        <v>543</v>
      </c>
      <c r="D85" s="4" t="s">
        <v>544</v>
      </c>
      <c r="E85" s="5" t="s">
        <v>7</v>
      </c>
      <c r="F85" s="4" t="s">
        <v>2183</v>
      </c>
      <c r="G85" s="5" t="s">
        <v>7</v>
      </c>
      <c r="H85" s="4" t="s">
        <v>2184</v>
      </c>
      <c r="I85" s="5" t="s">
        <v>7</v>
      </c>
      <c r="J85" s="4" t="s">
        <v>1434</v>
      </c>
      <c r="K85" s="5" t="s">
        <v>7</v>
      </c>
      <c r="L85" s="4" t="s">
        <v>2185</v>
      </c>
      <c r="M85" s="5" t="s">
        <v>7</v>
      </c>
      <c r="N85" s="4" t="s">
        <v>2186</v>
      </c>
      <c r="O85" s="5" t="s">
        <v>7</v>
      </c>
      <c r="P85" s="4" t="s">
        <v>2187</v>
      </c>
      <c r="Q85" s="5" t="s">
        <v>7</v>
      </c>
      <c r="R85" s="4" t="s">
        <v>2188</v>
      </c>
      <c r="S85" s="5" t="s">
        <v>7</v>
      </c>
      <c r="T85" s="4" t="s">
        <v>2189</v>
      </c>
      <c r="U85" s="5" t="s">
        <v>7</v>
      </c>
      <c r="V85" s="4" t="s">
        <v>2611</v>
      </c>
      <c r="W85" s="5" t="s">
        <v>7</v>
      </c>
      <c r="X85" s="4" t="s">
        <v>2190</v>
      </c>
      <c r="Y85" s="5" t="s">
        <v>7</v>
      </c>
      <c r="Z85" s="4" t="s">
        <v>2191</v>
      </c>
      <c r="AA85" s="5" t="s">
        <v>7</v>
      </c>
      <c r="AB8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683098155</v>
      </c>
      <c r="AC85" s="8" t="str">
        <f>IF(NOT(AND(ISNUMBER(VALUE(prodcom_data[[#This Row],[PRODQNT - EU27_2020 - 2019 - amount]])), ISNUMBER(VALUE(prodcom_data[[#This Row],[IMPQNT - EU27_2020 - 2019 - amount]])))), "secrets", "")</f>
        <v/>
      </c>
      <c r="AD8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593659673</v>
      </c>
      <c r="AE85" s="8" t="str">
        <f>IF(NOT(AND(ISNUMBER(VALUE(prodcom_data[[#This Row],[PRODQNT - EU27_2020 - 2022 - amount]])), ISNUMBER(VALUE(prodcom_data[[#This Row],[IMPQNT - EU27_2020 - 2022 - amount]])))), "secrets", "")</f>
        <v/>
      </c>
      <c r="AF85" s="7">
        <f>_xlfn.LET(_xlpm.production_amount, VALUE(prodcom_data[[#This Row],[PRODQNT - FR - 2019 - amount]]), IF(ISNUMBER(_xlpm.production_amount), _xlpm.production_amount, 0))+_xlfn.LET(_xlpm.import_amount, VALUE(prodcom_data[[#This Row],[IMPQNT - FR - 2019 - amount]]), IF(ISNUMBER(_xlpm.import_amount), _xlpm.import_amount, 0))</f>
        <v>107569430</v>
      </c>
      <c r="AG85" s="8" t="str">
        <f>IF(NOT(AND(ISNUMBER(VALUE(prodcom_data[[#This Row],[PRODQNT - FR - 2019 - amount]])), ISNUMBER(VALUE(prodcom_data[[#This Row],[IMPQNT - FR - 2019 - amount]])))), "secrets", "")</f>
        <v/>
      </c>
      <c r="AH85" s="7">
        <f>_xlfn.LET(_xlpm.production_amount, VALUE(prodcom_data[[#This Row],[PRODQNT - FR - 2022 - amount]]), IF(ISNUMBER(_xlpm.production_amount), _xlpm.production_amount, 0))+_xlfn.LET(_xlpm.import_amount, VALUE(prodcom_data[[#This Row],[IMPQNT - FR - 2022 - amount]]), IF(ISNUMBER(_xlpm.import_amount), _xlpm.import_amount, 0))</f>
        <v>41473560</v>
      </c>
      <c r="AI85" s="8" t="str">
        <f>IF(NOT(AND(ISNUMBER(VALUE(prodcom_data[[#This Row],[PRODQNT - FR - 2022 - amount]])), ISNUMBER(VALUE(prodcom_data[[#This Row],[IMPQNT - FR - 2022 - amount]])))), "secrets", "")</f>
        <v>secrets</v>
      </c>
      <c r="AJ8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0.84223339185782964</v>
      </c>
      <c r="AK85" s="10" t="s">
        <v>2642</v>
      </c>
    </row>
    <row r="86" spans="1:37" hidden="1" x14ac:dyDescent="0.3">
      <c r="A86" s="4" t="s">
        <v>3</v>
      </c>
      <c r="B86" s="4" t="s">
        <v>266</v>
      </c>
      <c r="C86" s="4" t="s">
        <v>267</v>
      </c>
      <c r="D86" s="4" t="s">
        <v>268</v>
      </c>
      <c r="E86" s="5" t="s">
        <v>7</v>
      </c>
      <c r="F86" s="4" t="s">
        <v>1423</v>
      </c>
      <c r="G86" s="5" t="s">
        <v>7</v>
      </c>
      <c r="H86" s="4" t="s">
        <v>1424</v>
      </c>
      <c r="I86" s="5" t="s">
        <v>7</v>
      </c>
      <c r="J86" s="4" t="s">
        <v>1425</v>
      </c>
      <c r="K86" s="5" t="s">
        <v>7</v>
      </c>
      <c r="L86" s="4" t="s">
        <v>1426</v>
      </c>
      <c r="M86" s="5" t="s">
        <v>7</v>
      </c>
      <c r="N86" s="4" t="s">
        <v>1427</v>
      </c>
      <c r="O86" s="5" t="s">
        <v>7</v>
      </c>
      <c r="P86" s="4" t="s">
        <v>2611</v>
      </c>
      <c r="Q86" s="5" t="s">
        <v>7</v>
      </c>
      <c r="R86" s="4" t="s">
        <v>1428</v>
      </c>
      <c r="S86" s="5" t="s">
        <v>7</v>
      </c>
      <c r="T86" s="4" t="s">
        <v>1429</v>
      </c>
      <c r="U86" s="5" t="s">
        <v>7</v>
      </c>
      <c r="V86" s="4" t="s">
        <v>2611</v>
      </c>
      <c r="W86" s="5" t="s">
        <v>7</v>
      </c>
      <c r="X86" s="4" t="s">
        <v>1430</v>
      </c>
      <c r="Y86" s="5" t="s">
        <v>7</v>
      </c>
      <c r="Z86" s="4" t="s">
        <v>1431</v>
      </c>
      <c r="AA86" s="5" t="s">
        <v>7</v>
      </c>
      <c r="AB8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512839291</v>
      </c>
      <c r="AC86" s="8" t="str">
        <f>IF(NOT(AND(ISNUMBER(VALUE(prodcom_data[[#This Row],[PRODQNT - EU27_2020 - 2019 - amount]])), ISNUMBER(VALUE(prodcom_data[[#This Row],[IMPQNT - EU27_2020 - 2019 - amount]])))), "secrets", "")</f>
        <v/>
      </c>
      <c r="AD8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588964679</v>
      </c>
      <c r="AE86" s="8" t="str">
        <f>IF(NOT(AND(ISNUMBER(VALUE(prodcom_data[[#This Row],[PRODQNT - EU27_2020 - 2022 - amount]])), ISNUMBER(VALUE(prodcom_data[[#This Row],[IMPQNT - EU27_2020 - 2022 - amount]])))), "secrets", "")</f>
        <v/>
      </c>
      <c r="AF86" s="7">
        <f>_xlfn.LET(_xlpm.production_amount, VALUE(prodcom_data[[#This Row],[PRODQNT - FR - 2019 - amount]]), IF(ISNUMBER(_xlpm.production_amount), _xlpm.production_amount, 0))+_xlfn.LET(_xlpm.import_amount, VALUE(prodcom_data[[#This Row],[IMPQNT - FR - 2019 - amount]]), IF(ISNUMBER(_xlpm.import_amount), _xlpm.import_amount, 0))</f>
        <v>31697900</v>
      </c>
      <c r="AG86" s="8" t="str">
        <f>IF(NOT(AND(ISNUMBER(VALUE(prodcom_data[[#This Row],[PRODQNT - FR - 2019 - amount]])), ISNUMBER(VALUE(prodcom_data[[#This Row],[IMPQNT - FR - 2019 - amount]])))), "secrets", "")</f>
        <v>secrets</v>
      </c>
      <c r="AH86" s="7">
        <f>_xlfn.LET(_xlpm.production_amount, VALUE(prodcom_data[[#This Row],[PRODQNT - FR - 2022 - amount]]), IF(ISNUMBER(_xlpm.production_amount), _xlpm.production_amount, 0))+_xlfn.LET(_xlpm.import_amount, VALUE(prodcom_data[[#This Row],[IMPQNT - FR - 2022 - amount]]), IF(ISNUMBER(_xlpm.import_amount), _xlpm.import_amount, 0))</f>
        <v>35307086</v>
      </c>
      <c r="AI86" s="8" t="str">
        <f>IF(NOT(AND(ISNUMBER(VALUE(prodcom_data[[#This Row],[PRODQNT - FR - 2022 - amount]])), ISNUMBER(VALUE(prodcom_data[[#This Row],[IMPQNT - FR - 2022 - amount]])))), "secrets", "")</f>
        <v>secrets</v>
      </c>
      <c r="AJ8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0.61457642182308181</v>
      </c>
      <c r="AK86" s="10" t="s">
        <v>2641</v>
      </c>
    </row>
    <row r="87" spans="1:37" hidden="1" x14ac:dyDescent="0.3">
      <c r="A87" s="4" t="s">
        <v>3</v>
      </c>
      <c r="B87" s="4" t="s">
        <v>375</v>
      </c>
      <c r="C87" s="4" t="s">
        <v>376</v>
      </c>
      <c r="D87" s="4" t="s">
        <v>377</v>
      </c>
      <c r="E87" s="5" t="s">
        <v>7</v>
      </c>
      <c r="F87" s="4" t="s">
        <v>1734</v>
      </c>
      <c r="G87" s="5" t="s">
        <v>7</v>
      </c>
      <c r="H87" s="4" t="s">
        <v>1735</v>
      </c>
      <c r="I87" s="5" t="s">
        <v>7</v>
      </c>
      <c r="J87" s="4" t="s">
        <v>1736</v>
      </c>
      <c r="K87" s="5" t="s">
        <v>7</v>
      </c>
      <c r="L87" s="4" t="s">
        <v>1737</v>
      </c>
      <c r="M87" s="5" t="s">
        <v>7</v>
      </c>
      <c r="N87" s="4" t="s">
        <v>1738</v>
      </c>
      <c r="O87" s="5" t="s">
        <v>7</v>
      </c>
      <c r="P87" s="4" t="s">
        <v>1739</v>
      </c>
      <c r="Q87" s="5" t="s">
        <v>7</v>
      </c>
      <c r="R87" s="4" t="s">
        <v>1740</v>
      </c>
      <c r="S87" s="5" t="s">
        <v>7</v>
      </c>
      <c r="T87" s="4" t="s">
        <v>1741</v>
      </c>
      <c r="U87" s="5" t="s">
        <v>7</v>
      </c>
      <c r="V87" s="4" t="s">
        <v>1742</v>
      </c>
      <c r="W87" s="5" t="s">
        <v>7</v>
      </c>
      <c r="X87" s="4" t="s">
        <v>1743</v>
      </c>
      <c r="Y87" s="5" t="s">
        <v>7</v>
      </c>
      <c r="Z87" s="4" t="s">
        <v>1744</v>
      </c>
      <c r="AA87" s="5" t="s">
        <v>7</v>
      </c>
      <c r="AB8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869757258</v>
      </c>
      <c r="AC87" s="8" t="str">
        <f>IF(NOT(AND(ISNUMBER(VALUE(prodcom_data[[#This Row],[PRODQNT - EU27_2020 - 2019 - amount]])), ISNUMBER(VALUE(prodcom_data[[#This Row],[IMPQNT - EU27_2020 - 2019 - amount]])))), "secrets", "")</f>
        <v/>
      </c>
      <c r="AD8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577161088</v>
      </c>
      <c r="AE87" s="8" t="str">
        <f>IF(NOT(AND(ISNUMBER(VALUE(prodcom_data[[#This Row],[PRODQNT - EU27_2020 - 2022 - amount]])), ISNUMBER(VALUE(prodcom_data[[#This Row],[IMPQNT - EU27_2020 - 2022 - amount]])))), "secrets", "")</f>
        <v/>
      </c>
      <c r="AF87" s="7">
        <f>_xlfn.LET(_xlpm.production_amount, VALUE(prodcom_data[[#This Row],[PRODQNT - FR - 2019 - amount]]), IF(ISNUMBER(_xlpm.production_amount), _xlpm.production_amount, 0))+_xlfn.LET(_xlpm.import_amount, VALUE(prodcom_data[[#This Row],[IMPQNT - FR - 2019 - amount]]), IF(ISNUMBER(_xlpm.import_amount), _xlpm.import_amount, 0))</f>
        <v>54351221</v>
      </c>
      <c r="AG87" s="8" t="str">
        <f>IF(NOT(AND(ISNUMBER(VALUE(prodcom_data[[#This Row],[PRODQNT - FR - 2019 - amount]])), ISNUMBER(VALUE(prodcom_data[[#This Row],[IMPQNT - FR - 2019 - amount]])))), "secrets", "")</f>
        <v/>
      </c>
      <c r="AH87" s="7">
        <f>_xlfn.LET(_xlpm.production_amount, VALUE(prodcom_data[[#This Row],[PRODQNT - FR - 2022 - amount]]), IF(ISNUMBER(_xlpm.production_amount), _xlpm.production_amount, 0))+_xlfn.LET(_xlpm.import_amount, VALUE(prodcom_data[[#This Row],[IMPQNT - FR - 2022 - amount]]), IF(ISNUMBER(_xlpm.import_amount), _xlpm.import_amount, 0))</f>
        <v>56177544</v>
      </c>
      <c r="AI87" s="8" t="str">
        <f>IF(NOT(AND(ISNUMBER(VALUE(prodcom_data[[#This Row],[PRODQNT - FR - 2022 - amount]])), ISNUMBER(VALUE(prodcom_data[[#This Row],[IMPQNT - FR - 2022 - amount]])))), "secrets", "")</f>
        <v/>
      </c>
      <c r="AJ8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0.80560138177575824</v>
      </c>
      <c r="AK87" s="10" t="s">
        <v>2658</v>
      </c>
    </row>
    <row r="88" spans="1:37" hidden="1" x14ac:dyDescent="0.3">
      <c r="A88" s="4" t="s">
        <v>3</v>
      </c>
      <c r="B88" s="4" t="s">
        <v>108</v>
      </c>
      <c r="C88" s="4" t="s">
        <v>109</v>
      </c>
      <c r="D88" s="4" t="s">
        <v>110</v>
      </c>
      <c r="E88" s="5" t="s">
        <v>7</v>
      </c>
      <c r="F88" s="4" t="s">
        <v>1002</v>
      </c>
      <c r="G88" s="5" t="s">
        <v>7</v>
      </c>
      <c r="H88" s="4" t="s">
        <v>1003</v>
      </c>
      <c r="I88" s="5" t="s">
        <v>7</v>
      </c>
      <c r="J88" s="4" t="s">
        <v>1004</v>
      </c>
      <c r="K88" s="5" t="s">
        <v>7</v>
      </c>
      <c r="L88" s="4" t="s">
        <v>1005</v>
      </c>
      <c r="M88" s="5" t="s">
        <v>7</v>
      </c>
      <c r="N88" s="4" t="s">
        <v>1006</v>
      </c>
      <c r="O88" s="5" t="s">
        <v>7</v>
      </c>
      <c r="P88" s="4" t="s">
        <v>703</v>
      </c>
      <c r="Q88" s="5" t="s">
        <v>703</v>
      </c>
      <c r="R88" s="4" t="s">
        <v>1007</v>
      </c>
      <c r="S88" s="5" t="s">
        <v>7</v>
      </c>
      <c r="T88" s="4" t="s">
        <v>1008</v>
      </c>
      <c r="U88" s="5" t="s">
        <v>7</v>
      </c>
      <c r="V88" s="4" t="s">
        <v>703</v>
      </c>
      <c r="W88" s="5" t="s">
        <v>703</v>
      </c>
      <c r="X88" s="4" t="s">
        <v>1009</v>
      </c>
      <c r="Y88" s="5" t="s">
        <v>7</v>
      </c>
      <c r="Z88" s="4" t="s">
        <v>1010</v>
      </c>
      <c r="AA88" s="5" t="s">
        <v>7</v>
      </c>
      <c r="AB8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545081813</v>
      </c>
      <c r="AC88" s="8" t="str">
        <f>IF(NOT(AND(ISNUMBER(VALUE(prodcom_data[[#This Row],[PRODQNT - EU27_2020 - 2019 - amount]])), ISNUMBER(VALUE(prodcom_data[[#This Row],[IMPQNT - EU27_2020 - 2019 - amount]])))), "secrets", "")</f>
        <v/>
      </c>
      <c r="AD8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576802064</v>
      </c>
      <c r="AE88" s="8" t="str">
        <f>IF(NOT(AND(ISNUMBER(VALUE(prodcom_data[[#This Row],[PRODQNT - EU27_2020 - 2022 - amount]])), ISNUMBER(VALUE(prodcom_data[[#This Row],[IMPQNT - EU27_2020 - 2022 - amount]])))), "secrets", "")</f>
        <v/>
      </c>
      <c r="AF88" s="7">
        <f>_xlfn.LET(_xlpm.production_amount, VALUE(prodcom_data[[#This Row],[PRODQNT - FR - 2019 - amount]]), IF(ISNUMBER(_xlpm.production_amount), _xlpm.production_amount, 0))+_xlfn.LET(_xlpm.import_amount, VALUE(prodcom_data[[#This Row],[IMPQNT - FR - 2019 - amount]]), IF(ISNUMBER(_xlpm.import_amount), _xlpm.import_amount, 0))</f>
        <v>52387000</v>
      </c>
      <c r="AG88" s="8" t="str">
        <f>IF(NOT(AND(ISNUMBER(VALUE(prodcom_data[[#This Row],[PRODQNT - FR - 2019 - amount]])), ISNUMBER(VALUE(prodcom_data[[#This Row],[IMPQNT - FR - 2019 - amount]])))), "secrets", "")</f>
        <v>secrets</v>
      </c>
      <c r="AH88" s="7">
        <f>_xlfn.LET(_xlpm.production_amount, VALUE(prodcom_data[[#This Row],[PRODQNT - FR - 2022 - amount]]), IF(ISNUMBER(_xlpm.production_amount), _xlpm.production_amount, 0))+_xlfn.LET(_xlpm.import_amount, VALUE(prodcom_data[[#This Row],[IMPQNT - FR - 2022 - amount]]), IF(ISNUMBER(_xlpm.import_amount), _xlpm.import_amount, 0))</f>
        <v>48629294</v>
      </c>
      <c r="AI88" s="8" t="str">
        <f>IF(NOT(AND(ISNUMBER(VALUE(prodcom_data[[#This Row],[PRODQNT - FR - 2022 - amount]])), ISNUMBER(VALUE(prodcom_data[[#This Row],[IMPQNT - FR - 2022 - amount]])))), "secrets", "")</f>
        <v>secrets</v>
      </c>
      <c r="AJ8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0.54663577278738729</v>
      </c>
      <c r="AK88" s="10" t="s">
        <v>2641</v>
      </c>
    </row>
    <row r="89" spans="1:37" hidden="1" x14ac:dyDescent="0.3">
      <c r="A89" s="4" t="s">
        <v>3</v>
      </c>
      <c r="B89" s="4" t="s">
        <v>180</v>
      </c>
      <c r="C89" s="4" t="s">
        <v>181</v>
      </c>
      <c r="D89" s="4" t="s">
        <v>182</v>
      </c>
      <c r="E89" s="5" t="s">
        <v>7</v>
      </c>
      <c r="F89" s="4" t="s">
        <v>1212</v>
      </c>
      <c r="G89" s="5" t="s">
        <v>7</v>
      </c>
      <c r="H89" s="4" t="s">
        <v>1213</v>
      </c>
      <c r="I89" s="5" t="s">
        <v>7</v>
      </c>
      <c r="J89" s="4" t="s">
        <v>182</v>
      </c>
      <c r="K89" s="5" t="s">
        <v>7</v>
      </c>
      <c r="L89" s="4" t="s">
        <v>1214</v>
      </c>
      <c r="M89" s="5" t="s">
        <v>7</v>
      </c>
      <c r="N89" s="4" t="s">
        <v>1215</v>
      </c>
      <c r="O89" s="5" t="s">
        <v>7</v>
      </c>
      <c r="P89" s="4" t="s">
        <v>2611</v>
      </c>
      <c r="Q89" s="5" t="s">
        <v>7</v>
      </c>
      <c r="R89" s="4" t="s">
        <v>1216</v>
      </c>
      <c r="S89" s="5" t="s">
        <v>7</v>
      </c>
      <c r="T89" s="4" t="s">
        <v>1217</v>
      </c>
      <c r="U89" s="5" t="s">
        <v>7</v>
      </c>
      <c r="V89" s="4" t="s">
        <v>713</v>
      </c>
      <c r="W89" s="5" t="s">
        <v>7</v>
      </c>
      <c r="X89" s="4" t="s">
        <v>1218</v>
      </c>
      <c r="Y89" s="5" t="s">
        <v>7</v>
      </c>
      <c r="Z89" s="4" t="s">
        <v>1219</v>
      </c>
      <c r="AA89" s="5" t="s">
        <v>7</v>
      </c>
      <c r="AB8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586289261</v>
      </c>
      <c r="AC89" s="8" t="str">
        <f>IF(NOT(AND(ISNUMBER(VALUE(prodcom_data[[#This Row],[PRODQNT - EU27_2020 - 2019 - amount]])), ISNUMBER(VALUE(prodcom_data[[#This Row],[IMPQNT - EU27_2020 - 2019 - amount]])))), "secrets", "")</f>
        <v/>
      </c>
      <c r="AD8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574742471</v>
      </c>
      <c r="AE89" s="8" t="str">
        <f>IF(NOT(AND(ISNUMBER(VALUE(prodcom_data[[#This Row],[PRODQNT - EU27_2020 - 2022 - amount]])), ISNUMBER(VALUE(prodcom_data[[#This Row],[IMPQNT - EU27_2020 - 2022 - amount]])))), "secrets", "")</f>
        <v/>
      </c>
      <c r="AF89" s="7">
        <f>_xlfn.LET(_xlpm.production_amount, VALUE(prodcom_data[[#This Row],[PRODQNT - FR - 2019 - amount]]), IF(ISNUMBER(_xlpm.production_amount), _xlpm.production_amount, 0))+_xlfn.LET(_xlpm.import_amount, VALUE(prodcom_data[[#This Row],[IMPQNT - FR - 2019 - amount]]), IF(ISNUMBER(_xlpm.import_amount), _xlpm.import_amount, 0))</f>
        <v>46365900</v>
      </c>
      <c r="AG89" s="8" t="str">
        <f>IF(NOT(AND(ISNUMBER(VALUE(prodcom_data[[#This Row],[PRODQNT - FR - 2019 - amount]])), ISNUMBER(VALUE(prodcom_data[[#This Row],[IMPQNT - FR - 2019 - amount]])))), "secrets", "")</f>
        <v>secrets</v>
      </c>
      <c r="AH89" s="7">
        <f>_xlfn.LET(_xlpm.production_amount, VALUE(prodcom_data[[#This Row],[PRODQNT - FR - 2022 - amount]]), IF(ISNUMBER(_xlpm.production_amount), _xlpm.production_amount, 0))+_xlfn.LET(_xlpm.import_amount, VALUE(prodcom_data[[#This Row],[IMPQNT - FR - 2022 - amount]]), IF(ISNUMBER(_xlpm.import_amount), _xlpm.import_amount, 0))</f>
        <v>51771270</v>
      </c>
      <c r="AI89" s="8" t="str">
        <f>IF(NOT(AND(ISNUMBER(VALUE(prodcom_data[[#This Row],[PRODQNT - FR - 2022 - amount]])), ISNUMBER(VALUE(prodcom_data[[#This Row],[IMPQNT - FR - 2022 - amount]])))), "secrets", "")</f>
        <v/>
      </c>
      <c r="AJ8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0.69596387979478203</v>
      </c>
      <c r="AK89" s="10" t="s">
        <v>2641</v>
      </c>
    </row>
    <row r="90" spans="1:37" hidden="1" x14ac:dyDescent="0.3">
      <c r="A90" s="4" t="s">
        <v>3</v>
      </c>
      <c r="B90" s="4" t="s">
        <v>504</v>
      </c>
      <c r="C90" s="4" t="s">
        <v>505</v>
      </c>
      <c r="D90" s="4" t="s">
        <v>506</v>
      </c>
      <c r="E90" s="5" t="s">
        <v>7</v>
      </c>
      <c r="F90" s="4" t="s">
        <v>2081</v>
      </c>
      <c r="G90" s="5" t="s">
        <v>7</v>
      </c>
      <c r="H90" s="4" t="s">
        <v>2082</v>
      </c>
      <c r="I90" s="5" t="s">
        <v>7</v>
      </c>
      <c r="J90" s="4" t="s">
        <v>1445</v>
      </c>
      <c r="K90" s="5" t="s">
        <v>7</v>
      </c>
      <c r="L90" s="4" t="s">
        <v>2083</v>
      </c>
      <c r="M90" s="5" t="s">
        <v>7</v>
      </c>
      <c r="N90" s="4" t="s">
        <v>2084</v>
      </c>
      <c r="O90" s="5" t="s">
        <v>7</v>
      </c>
      <c r="P90" s="4" t="s">
        <v>2611</v>
      </c>
      <c r="Q90" s="5" t="s">
        <v>7</v>
      </c>
      <c r="R90" s="4" t="s">
        <v>2085</v>
      </c>
      <c r="S90" s="5" t="s">
        <v>7</v>
      </c>
      <c r="T90" s="4" t="s">
        <v>2086</v>
      </c>
      <c r="U90" s="5" t="s">
        <v>7</v>
      </c>
      <c r="V90" s="4" t="s">
        <v>2611</v>
      </c>
      <c r="W90" s="5" t="s">
        <v>7</v>
      </c>
      <c r="X90" s="4" t="s">
        <v>2087</v>
      </c>
      <c r="Y90" s="5" t="s">
        <v>7</v>
      </c>
      <c r="Z90" s="4" t="s">
        <v>2088</v>
      </c>
      <c r="AA90" s="5" t="s">
        <v>7</v>
      </c>
      <c r="AB9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453156709</v>
      </c>
      <c r="AC90" s="8" t="str">
        <f>IF(NOT(AND(ISNUMBER(VALUE(prodcom_data[[#This Row],[PRODQNT - EU27_2020 - 2019 - amount]])), ISNUMBER(VALUE(prodcom_data[[#This Row],[IMPQNT - EU27_2020 - 2019 - amount]])))), "secrets", "")</f>
        <v/>
      </c>
      <c r="AD9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556314360</v>
      </c>
      <c r="AE90" s="8" t="str">
        <f>IF(NOT(AND(ISNUMBER(VALUE(prodcom_data[[#This Row],[PRODQNT - EU27_2020 - 2022 - amount]])), ISNUMBER(VALUE(prodcom_data[[#This Row],[IMPQNT - EU27_2020 - 2022 - amount]])))), "secrets", "")</f>
        <v/>
      </c>
      <c r="AF90" s="7">
        <f>_xlfn.LET(_xlpm.production_amount, VALUE(prodcom_data[[#This Row],[PRODQNT - FR - 2019 - amount]]), IF(ISNUMBER(_xlpm.production_amount), _xlpm.production_amount, 0))+_xlfn.LET(_xlpm.import_amount, VALUE(prodcom_data[[#This Row],[IMPQNT - FR - 2019 - amount]]), IF(ISNUMBER(_xlpm.import_amount), _xlpm.import_amount, 0))</f>
        <v>23051300</v>
      </c>
      <c r="AG90" s="8" t="str">
        <f>IF(NOT(AND(ISNUMBER(VALUE(prodcom_data[[#This Row],[PRODQNT - FR - 2019 - amount]])), ISNUMBER(VALUE(prodcom_data[[#This Row],[IMPQNT - FR - 2019 - amount]])))), "secrets", "")</f>
        <v>secrets</v>
      </c>
      <c r="AH90" s="7">
        <f>_xlfn.LET(_xlpm.production_amount, VALUE(prodcom_data[[#This Row],[PRODQNT - FR - 2022 - amount]]), IF(ISNUMBER(_xlpm.production_amount), _xlpm.production_amount, 0))+_xlfn.LET(_xlpm.import_amount, VALUE(prodcom_data[[#This Row],[IMPQNT - FR - 2022 - amount]]), IF(ISNUMBER(_xlpm.import_amount), _xlpm.import_amount, 0))</f>
        <v>28624691</v>
      </c>
      <c r="AI90" s="8" t="str">
        <f>IF(NOT(AND(ISNUMBER(VALUE(prodcom_data[[#This Row],[PRODQNT - FR - 2022 - amount]])), ISNUMBER(VALUE(prodcom_data[[#This Row],[IMPQNT - FR - 2022 - amount]])))), "secrets", "")</f>
        <v>secrets</v>
      </c>
      <c r="AJ9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0.80889517214691353</v>
      </c>
      <c r="AK90" s="10" t="s">
        <v>2649</v>
      </c>
    </row>
    <row r="91" spans="1:37" hidden="1" x14ac:dyDescent="0.3">
      <c r="A91" s="4" t="s">
        <v>3</v>
      </c>
      <c r="B91" s="4" t="s">
        <v>260</v>
      </c>
      <c r="C91" s="4" t="s">
        <v>261</v>
      </c>
      <c r="D91" s="4" t="s">
        <v>262</v>
      </c>
      <c r="E91" s="5" t="s">
        <v>7</v>
      </c>
      <c r="F91" s="4" t="s">
        <v>2611</v>
      </c>
      <c r="G91" s="5" t="s">
        <v>7</v>
      </c>
      <c r="H91" s="4" t="s">
        <v>2611</v>
      </c>
      <c r="I91" s="5" t="s">
        <v>7</v>
      </c>
      <c r="J91" s="4" t="s">
        <v>1414</v>
      </c>
      <c r="K91" s="5" t="s">
        <v>7</v>
      </c>
      <c r="L91" s="4" t="s">
        <v>2611</v>
      </c>
      <c r="M91" s="5" t="s">
        <v>7</v>
      </c>
      <c r="N91" s="4" t="s">
        <v>2611</v>
      </c>
      <c r="O91" s="5" t="s">
        <v>7</v>
      </c>
      <c r="P91" s="4" t="s">
        <v>713</v>
      </c>
      <c r="Q91" s="5" t="s">
        <v>7</v>
      </c>
      <c r="R91" s="4" t="s">
        <v>2611</v>
      </c>
      <c r="S91" s="5" t="s">
        <v>7</v>
      </c>
      <c r="T91" s="4" t="s">
        <v>2611</v>
      </c>
      <c r="U91" s="5" t="s">
        <v>7</v>
      </c>
      <c r="V91" s="4" t="s">
        <v>2611</v>
      </c>
      <c r="W91" s="5" t="s">
        <v>7</v>
      </c>
      <c r="X91" s="4" t="s">
        <v>2611</v>
      </c>
      <c r="Y91" s="5" t="s">
        <v>7</v>
      </c>
      <c r="Z91" s="4" t="s">
        <v>2611</v>
      </c>
      <c r="AA91" s="5" t="s">
        <v>7</v>
      </c>
      <c r="AB9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475430988</v>
      </c>
      <c r="AC91" s="8" t="str">
        <f>IF(NOT(AND(ISNUMBER(VALUE(prodcom_data[[#This Row],[PRODQNT - EU27_2020 - 2019 - amount]])), ISNUMBER(VALUE(prodcom_data[[#This Row],[IMPQNT - EU27_2020 - 2019 - amount]])))), "secrets", "")</f>
        <v>secrets</v>
      </c>
      <c r="AD9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530861746</v>
      </c>
      <c r="AE91" s="8" t="str">
        <f>IF(NOT(AND(ISNUMBER(VALUE(prodcom_data[[#This Row],[PRODQNT - EU27_2020 - 2022 - amount]])), ISNUMBER(VALUE(prodcom_data[[#This Row],[IMPQNT - EU27_2020 - 2022 - amount]])))), "secrets", "")</f>
        <v>secrets</v>
      </c>
      <c r="AF91"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91" s="8" t="str">
        <f>IF(NOT(AND(ISNUMBER(VALUE(prodcom_data[[#This Row],[PRODQNT - FR - 2019 - amount]])), ISNUMBER(VALUE(prodcom_data[[#This Row],[IMPQNT - FR - 2019 - amount]])))), "secrets", "")</f>
        <v>secrets</v>
      </c>
      <c r="AH91"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91" s="8" t="str">
        <f>IF(NOT(AND(ISNUMBER(VALUE(prodcom_data[[#This Row],[PRODQNT - FR - 2022 - amount]])), ISNUMBER(VALUE(prodcom_data[[#This Row],[IMPQNT - FR - 2022 - amount]])))), "secrets", "")</f>
        <v>secrets</v>
      </c>
      <c r="AJ9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91" s="10" t="s">
        <v>2641</v>
      </c>
    </row>
    <row r="92" spans="1:37" hidden="1" x14ac:dyDescent="0.3">
      <c r="A92" s="4" t="s">
        <v>3</v>
      </c>
      <c r="B92" s="4" t="s">
        <v>530</v>
      </c>
      <c r="C92" s="4" t="s">
        <v>531</v>
      </c>
      <c r="D92" s="4" t="s">
        <v>532</v>
      </c>
      <c r="E92" s="5" t="s">
        <v>7</v>
      </c>
      <c r="F92" s="4" t="s">
        <v>2144</v>
      </c>
      <c r="G92" s="5" t="s">
        <v>7</v>
      </c>
      <c r="H92" s="4" t="s">
        <v>2145</v>
      </c>
      <c r="I92" s="5" t="s">
        <v>7</v>
      </c>
      <c r="J92" s="4" t="s">
        <v>2146</v>
      </c>
      <c r="K92" s="5" t="s">
        <v>7</v>
      </c>
      <c r="L92" s="4" t="s">
        <v>2147</v>
      </c>
      <c r="M92" s="5" t="s">
        <v>7</v>
      </c>
      <c r="N92" s="4" t="s">
        <v>2148</v>
      </c>
      <c r="O92" s="5" t="s">
        <v>7</v>
      </c>
      <c r="P92" s="4" t="s">
        <v>2149</v>
      </c>
      <c r="Q92" s="5" t="s">
        <v>7</v>
      </c>
      <c r="R92" s="4" t="s">
        <v>713</v>
      </c>
      <c r="S92" s="5" t="s">
        <v>7</v>
      </c>
      <c r="T92" s="4" t="s">
        <v>2150</v>
      </c>
      <c r="U92" s="5" t="s">
        <v>7</v>
      </c>
      <c r="V92" s="4" t="s">
        <v>2611</v>
      </c>
      <c r="W92" s="5" t="s">
        <v>7</v>
      </c>
      <c r="X92" s="4" t="s">
        <v>2151</v>
      </c>
      <c r="Y92" s="5" t="s">
        <v>7</v>
      </c>
      <c r="Z92" s="4" t="s">
        <v>2152</v>
      </c>
      <c r="AA92" s="5" t="s">
        <v>7</v>
      </c>
      <c r="AB9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670525235</v>
      </c>
      <c r="AC92" s="8" t="str">
        <f>IF(NOT(AND(ISNUMBER(VALUE(prodcom_data[[#This Row],[PRODQNT - EU27_2020 - 2019 - amount]])), ISNUMBER(VALUE(prodcom_data[[#This Row],[IMPQNT - EU27_2020 - 2019 - amount]])))), "secrets", "")</f>
        <v/>
      </c>
      <c r="AD9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523531160</v>
      </c>
      <c r="AE92" s="8" t="str">
        <f>IF(NOT(AND(ISNUMBER(VALUE(prodcom_data[[#This Row],[PRODQNT - EU27_2020 - 2022 - amount]])), ISNUMBER(VALUE(prodcom_data[[#This Row],[IMPQNT - EU27_2020 - 2022 - amount]])))), "secrets", "")</f>
        <v/>
      </c>
      <c r="AF92" s="7">
        <f>_xlfn.LET(_xlpm.production_amount, VALUE(prodcom_data[[#This Row],[PRODQNT - FR - 2019 - amount]]), IF(ISNUMBER(_xlpm.production_amount), _xlpm.production_amount, 0))+_xlfn.LET(_xlpm.import_amount, VALUE(prodcom_data[[#This Row],[IMPQNT - FR - 2019 - amount]]), IF(ISNUMBER(_xlpm.import_amount), _xlpm.import_amount, 0))</f>
        <v>89464300</v>
      </c>
      <c r="AG92" s="8" t="str">
        <f>IF(NOT(AND(ISNUMBER(VALUE(prodcom_data[[#This Row],[PRODQNT - FR - 2019 - amount]])), ISNUMBER(VALUE(prodcom_data[[#This Row],[IMPQNT - FR - 2019 - amount]])))), "secrets", "")</f>
        <v/>
      </c>
      <c r="AH92" s="7">
        <f>_xlfn.LET(_xlpm.production_amount, VALUE(prodcom_data[[#This Row],[PRODQNT - FR - 2022 - amount]]), IF(ISNUMBER(_xlpm.production_amount), _xlpm.production_amount, 0))+_xlfn.LET(_xlpm.import_amount, VALUE(prodcom_data[[#This Row],[IMPQNT - FR - 2022 - amount]]), IF(ISNUMBER(_xlpm.import_amount), _xlpm.import_amount, 0))</f>
        <v>22675023</v>
      </c>
      <c r="AI92" s="8" t="str">
        <f>IF(NOT(AND(ISNUMBER(VALUE(prodcom_data[[#This Row],[PRODQNT - FR - 2022 - amount]])), ISNUMBER(VALUE(prodcom_data[[#This Row],[IMPQNT - FR - 2022 - amount]])))), "secrets", "")</f>
        <v>secrets</v>
      </c>
      <c r="AJ9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0.72584027281203278</v>
      </c>
      <c r="AK92" s="10" t="s">
        <v>2649</v>
      </c>
    </row>
    <row r="93" spans="1:37" x14ac:dyDescent="0.3">
      <c r="A93" s="4" t="s">
        <v>3</v>
      </c>
      <c r="B93" s="4" t="s">
        <v>117</v>
      </c>
      <c r="C93" s="4" t="s">
        <v>118</v>
      </c>
      <c r="D93" s="4" t="s">
        <v>119</v>
      </c>
      <c r="E93" s="5" t="s">
        <v>7</v>
      </c>
      <c r="F93" s="4" t="s">
        <v>1029</v>
      </c>
      <c r="G93" s="5" t="s">
        <v>7</v>
      </c>
      <c r="H93" s="4" t="s">
        <v>1030</v>
      </c>
      <c r="I93" s="5" t="s">
        <v>7</v>
      </c>
      <c r="J93" s="4" t="s">
        <v>182</v>
      </c>
      <c r="K93" s="5" t="s">
        <v>7</v>
      </c>
      <c r="L93" s="4" t="s">
        <v>1031</v>
      </c>
      <c r="M93" s="5" t="s">
        <v>7</v>
      </c>
      <c r="N93" s="4" t="s">
        <v>1032</v>
      </c>
      <c r="O93" s="5" t="s">
        <v>7</v>
      </c>
      <c r="P93" s="4" t="s">
        <v>703</v>
      </c>
      <c r="Q93" s="5" t="s">
        <v>703</v>
      </c>
      <c r="R93" s="4" t="s">
        <v>713</v>
      </c>
      <c r="S93" s="5" t="s">
        <v>7</v>
      </c>
      <c r="T93" s="4" t="s">
        <v>1033</v>
      </c>
      <c r="U93" s="5" t="s">
        <v>7</v>
      </c>
      <c r="V93" s="4" t="s">
        <v>703</v>
      </c>
      <c r="W93" s="5" t="s">
        <v>703</v>
      </c>
      <c r="X93" s="4" t="s">
        <v>713</v>
      </c>
      <c r="Y93" s="5" t="s">
        <v>7</v>
      </c>
      <c r="Z93" s="4" t="s">
        <v>1034</v>
      </c>
      <c r="AA93" s="5" t="s">
        <v>7</v>
      </c>
      <c r="AB9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401394035</v>
      </c>
      <c r="AC93" s="8" t="str">
        <f>IF(NOT(AND(ISNUMBER(VALUE(prodcom_data[[#This Row],[PRODQNT - EU27_2020 - 2019 - amount]])), ISNUMBER(VALUE(prodcom_data[[#This Row],[IMPQNT - EU27_2020 - 2019 - amount]])))), "secrets", "")</f>
        <v/>
      </c>
      <c r="AD9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507331541</v>
      </c>
      <c r="AE93" s="8" t="str">
        <f>IF(NOT(AND(ISNUMBER(VALUE(prodcom_data[[#This Row],[PRODQNT - EU27_2020 - 2022 - amount]])), ISNUMBER(VALUE(prodcom_data[[#This Row],[IMPQNT - EU27_2020 - 2022 - amount]])))), "secrets", "")</f>
        <v/>
      </c>
      <c r="AF93" s="7">
        <f>_xlfn.LET(_xlpm.production_amount, VALUE(prodcom_data[[#This Row],[PRODQNT - FR - 2019 - amount]]), IF(ISNUMBER(_xlpm.production_amount), _xlpm.production_amount, 0))+_xlfn.LET(_xlpm.import_amount, VALUE(prodcom_data[[#This Row],[IMPQNT - FR - 2019 - amount]]), IF(ISNUMBER(_xlpm.import_amount), _xlpm.import_amount, 0))</f>
        <v>4336500</v>
      </c>
      <c r="AG93" s="8" t="str">
        <f>IF(NOT(AND(ISNUMBER(VALUE(prodcom_data[[#This Row],[PRODQNT - FR - 2019 - amount]])), ISNUMBER(VALUE(prodcom_data[[#This Row],[IMPQNT - FR - 2019 - amount]])))), "secrets", "")</f>
        <v>secrets</v>
      </c>
      <c r="AH93" s="7">
        <f>_xlfn.LET(_xlpm.production_amount, VALUE(prodcom_data[[#This Row],[PRODQNT - FR - 2022 - amount]]), IF(ISNUMBER(_xlpm.production_amount), _xlpm.production_amount, 0))+_xlfn.LET(_xlpm.import_amount, VALUE(prodcom_data[[#This Row],[IMPQNT - FR - 2022 - amount]]), IF(ISNUMBER(_xlpm.import_amount), _xlpm.import_amount, 0))</f>
        <v>2896600</v>
      </c>
      <c r="AI93" s="8" t="str">
        <f>IF(NOT(AND(ISNUMBER(VALUE(prodcom_data[[#This Row],[PRODQNT - FR - 2022 - amount]])), ISNUMBER(VALUE(prodcom_data[[#This Row],[IMPQNT - FR - 2022 - amount]])))), "secrets", "")</f>
        <v>secrets</v>
      </c>
      <c r="AJ9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0.78843905350643284</v>
      </c>
      <c r="AK93" s="10" t="s">
        <v>2642</v>
      </c>
    </row>
    <row r="94" spans="1:37" hidden="1" x14ac:dyDescent="0.3">
      <c r="A94" s="4" t="s">
        <v>3</v>
      </c>
      <c r="B94" s="4" t="s">
        <v>126</v>
      </c>
      <c r="C94" s="4" t="s">
        <v>127</v>
      </c>
      <c r="D94" s="4" t="s">
        <v>128</v>
      </c>
      <c r="E94" s="5" t="s">
        <v>7</v>
      </c>
      <c r="F94" s="4" t="s">
        <v>1053</v>
      </c>
      <c r="G94" s="5" t="s">
        <v>7</v>
      </c>
      <c r="H94" s="4" t="s">
        <v>1054</v>
      </c>
      <c r="I94" s="5" t="s">
        <v>7</v>
      </c>
      <c r="J94" s="4" t="s">
        <v>1055</v>
      </c>
      <c r="K94" s="5" t="s">
        <v>7</v>
      </c>
      <c r="L94" s="4" t="s">
        <v>1056</v>
      </c>
      <c r="M94" s="5" t="s">
        <v>7</v>
      </c>
      <c r="N94" s="4" t="s">
        <v>1057</v>
      </c>
      <c r="O94" s="5" t="s">
        <v>7</v>
      </c>
      <c r="P94" s="4" t="s">
        <v>1058</v>
      </c>
      <c r="Q94" s="5" t="s">
        <v>7</v>
      </c>
      <c r="R94" s="4" t="s">
        <v>1059</v>
      </c>
      <c r="S94" s="5" t="s">
        <v>7</v>
      </c>
      <c r="T94" s="4" t="s">
        <v>1060</v>
      </c>
      <c r="U94" s="5" t="s">
        <v>7</v>
      </c>
      <c r="V94" s="4" t="s">
        <v>1061</v>
      </c>
      <c r="W94" s="5" t="s">
        <v>7</v>
      </c>
      <c r="X94" s="4" t="s">
        <v>1062</v>
      </c>
      <c r="Y94" s="5" t="s">
        <v>7</v>
      </c>
      <c r="Z94" s="4" t="s">
        <v>1063</v>
      </c>
      <c r="AA94" s="5" t="s">
        <v>7</v>
      </c>
      <c r="AB9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421357529</v>
      </c>
      <c r="AC94" s="8" t="str">
        <f>IF(NOT(AND(ISNUMBER(VALUE(prodcom_data[[#This Row],[PRODQNT - EU27_2020 - 2019 - amount]])), ISNUMBER(VALUE(prodcom_data[[#This Row],[IMPQNT - EU27_2020 - 2019 - amount]])))), "secrets", "")</f>
        <v/>
      </c>
      <c r="AD9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481278869</v>
      </c>
      <c r="AE94" s="8" t="str">
        <f>IF(NOT(AND(ISNUMBER(VALUE(prodcom_data[[#This Row],[PRODQNT - EU27_2020 - 2022 - amount]])), ISNUMBER(VALUE(prodcom_data[[#This Row],[IMPQNT - EU27_2020 - 2022 - amount]])))), "secrets", "")</f>
        <v/>
      </c>
      <c r="AF94" s="7">
        <f>_xlfn.LET(_xlpm.production_amount, VALUE(prodcom_data[[#This Row],[PRODQNT - FR - 2019 - amount]]), IF(ISNUMBER(_xlpm.production_amount), _xlpm.production_amount, 0))+_xlfn.LET(_xlpm.import_amount, VALUE(prodcom_data[[#This Row],[IMPQNT - FR - 2019 - amount]]), IF(ISNUMBER(_xlpm.import_amount), _xlpm.import_amount, 0))</f>
        <v>77615905</v>
      </c>
      <c r="AG94" s="8" t="str">
        <f>IF(NOT(AND(ISNUMBER(VALUE(prodcom_data[[#This Row],[PRODQNT - FR - 2019 - amount]])), ISNUMBER(VALUE(prodcom_data[[#This Row],[IMPQNT - FR - 2019 - amount]])))), "secrets", "")</f>
        <v/>
      </c>
      <c r="AH94" s="7">
        <f>_xlfn.LET(_xlpm.production_amount, VALUE(prodcom_data[[#This Row],[PRODQNT - FR - 2022 - amount]]), IF(ISNUMBER(_xlpm.production_amount), _xlpm.production_amount, 0))+_xlfn.LET(_xlpm.import_amount, VALUE(prodcom_data[[#This Row],[IMPQNT - FR - 2022 - amount]]), IF(ISNUMBER(_xlpm.import_amount), _xlpm.import_amount, 0))</f>
        <v>57199034</v>
      </c>
      <c r="AI94" s="8" t="str">
        <f>IF(NOT(AND(ISNUMBER(VALUE(prodcom_data[[#This Row],[PRODQNT - FR - 2022 - amount]])), ISNUMBER(VALUE(prodcom_data[[#This Row],[IMPQNT - FR - 2022 - amount]])))), "secrets", "")</f>
        <v/>
      </c>
      <c r="AJ9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0.87304597202251155</v>
      </c>
      <c r="AK94" s="10" t="s">
        <v>2641</v>
      </c>
    </row>
    <row r="95" spans="1:37" hidden="1" x14ac:dyDescent="0.3">
      <c r="A95" s="4" t="s">
        <v>3</v>
      </c>
      <c r="B95" s="4" t="s">
        <v>666</v>
      </c>
      <c r="C95" s="4" t="s">
        <v>667</v>
      </c>
      <c r="D95" s="4" t="s">
        <v>668</v>
      </c>
      <c r="E95" s="5" t="s">
        <v>7</v>
      </c>
      <c r="F95" s="4" t="s">
        <v>2575</v>
      </c>
      <c r="G95" s="5" t="s">
        <v>7</v>
      </c>
      <c r="H95" s="4" t="s">
        <v>2576</v>
      </c>
      <c r="I95" s="5" t="s">
        <v>7</v>
      </c>
      <c r="J95" s="4" t="s">
        <v>2577</v>
      </c>
      <c r="K95" s="5" t="s">
        <v>7</v>
      </c>
      <c r="L95" s="4" t="s">
        <v>2578</v>
      </c>
      <c r="M95" s="5" t="s">
        <v>7</v>
      </c>
      <c r="N95" s="4" t="s">
        <v>2579</v>
      </c>
      <c r="O95" s="5" t="s">
        <v>7</v>
      </c>
      <c r="P95" s="4" t="s">
        <v>2611</v>
      </c>
      <c r="Q95" s="5" t="s">
        <v>7</v>
      </c>
      <c r="R95" s="4" t="s">
        <v>2580</v>
      </c>
      <c r="S95" s="5" t="s">
        <v>7</v>
      </c>
      <c r="T95" s="4" t="s">
        <v>2581</v>
      </c>
      <c r="U95" s="5" t="s">
        <v>7</v>
      </c>
      <c r="V95" s="4" t="s">
        <v>2611</v>
      </c>
      <c r="W95" s="5" t="s">
        <v>7</v>
      </c>
      <c r="X95" s="4" t="s">
        <v>2582</v>
      </c>
      <c r="Y95" s="5" t="s">
        <v>7</v>
      </c>
      <c r="Z95" s="4" t="s">
        <v>2583</v>
      </c>
      <c r="AA95" s="5" t="s">
        <v>7</v>
      </c>
      <c r="AB9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457447908</v>
      </c>
      <c r="AC95" s="8" t="str">
        <f>IF(NOT(AND(ISNUMBER(VALUE(prodcom_data[[#This Row],[PRODQNT - EU27_2020 - 2019 - amount]])), ISNUMBER(VALUE(prodcom_data[[#This Row],[IMPQNT - EU27_2020 - 2019 - amount]])))), "secrets", "")</f>
        <v/>
      </c>
      <c r="AD9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470953223</v>
      </c>
      <c r="AE95" s="8" t="str">
        <f>IF(NOT(AND(ISNUMBER(VALUE(prodcom_data[[#This Row],[PRODQNT - EU27_2020 - 2022 - amount]])), ISNUMBER(VALUE(prodcom_data[[#This Row],[IMPQNT - EU27_2020 - 2022 - amount]])))), "secrets", "")</f>
        <v/>
      </c>
      <c r="AF95" s="7">
        <f>_xlfn.LET(_xlpm.production_amount, VALUE(prodcom_data[[#This Row],[PRODQNT - FR - 2019 - amount]]), IF(ISNUMBER(_xlpm.production_amount), _xlpm.production_amount, 0))+_xlfn.LET(_xlpm.import_amount, VALUE(prodcom_data[[#This Row],[IMPQNT - FR - 2019 - amount]]), IF(ISNUMBER(_xlpm.import_amount), _xlpm.import_amount, 0))</f>
        <v>29316600</v>
      </c>
      <c r="AG95" s="8" t="str">
        <f>IF(NOT(AND(ISNUMBER(VALUE(prodcom_data[[#This Row],[PRODQNT - FR - 2019 - amount]])), ISNUMBER(VALUE(prodcom_data[[#This Row],[IMPQNT - FR - 2019 - amount]])))), "secrets", "")</f>
        <v>secrets</v>
      </c>
      <c r="AH95" s="7">
        <f>_xlfn.LET(_xlpm.production_amount, VALUE(prodcom_data[[#This Row],[PRODQNT - FR - 2022 - amount]]), IF(ISNUMBER(_xlpm.production_amount), _xlpm.production_amount, 0))+_xlfn.LET(_xlpm.import_amount, VALUE(prodcom_data[[#This Row],[IMPQNT - FR - 2022 - amount]]), IF(ISNUMBER(_xlpm.import_amount), _xlpm.import_amount, 0))</f>
        <v>30786140</v>
      </c>
      <c r="AI95" s="8" t="str">
        <f>IF(NOT(AND(ISNUMBER(VALUE(prodcom_data[[#This Row],[PRODQNT - FR - 2022 - amount]])), ISNUMBER(VALUE(prodcom_data[[#This Row],[IMPQNT - FR - 2022 - amount]])))), "secrets", "")</f>
        <v>secrets</v>
      </c>
      <c r="AJ9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0.74467671282929093</v>
      </c>
      <c r="AK95" s="10" t="s">
        <v>2649</v>
      </c>
    </row>
    <row r="96" spans="1:37" hidden="1" x14ac:dyDescent="0.3">
      <c r="A96" s="4" t="s">
        <v>3</v>
      </c>
      <c r="B96" s="4" t="s">
        <v>359</v>
      </c>
      <c r="C96" s="4" t="s">
        <v>358</v>
      </c>
      <c r="D96" s="4" t="s">
        <v>360</v>
      </c>
      <c r="E96" s="5" t="s">
        <v>7</v>
      </c>
      <c r="F96" s="4" t="s">
        <v>1689</v>
      </c>
      <c r="G96" s="5" t="s">
        <v>7</v>
      </c>
      <c r="H96" s="4" t="s">
        <v>1690</v>
      </c>
      <c r="I96" s="5" t="s">
        <v>7</v>
      </c>
      <c r="J96" s="4" t="s">
        <v>1691</v>
      </c>
      <c r="K96" s="5" t="s">
        <v>7</v>
      </c>
      <c r="L96" s="4" t="s">
        <v>1692</v>
      </c>
      <c r="M96" s="5" t="s">
        <v>7</v>
      </c>
      <c r="N96" s="4" t="s">
        <v>1693</v>
      </c>
      <c r="O96" s="5" t="s">
        <v>7</v>
      </c>
      <c r="P96" s="4" t="s">
        <v>2611</v>
      </c>
      <c r="Q96" s="5" t="s">
        <v>7</v>
      </c>
      <c r="R96" s="4" t="s">
        <v>1694</v>
      </c>
      <c r="S96" s="5" t="s">
        <v>7</v>
      </c>
      <c r="T96" s="4" t="s">
        <v>1695</v>
      </c>
      <c r="U96" s="5" t="s">
        <v>7</v>
      </c>
      <c r="V96" s="4" t="s">
        <v>2611</v>
      </c>
      <c r="W96" s="5" t="s">
        <v>7</v>
      </c>
      <c r="X96" s="4" t="s">
        <v>1696</v>
      </c>
      <c r="Y96" s="5" t="s">
        <v>7</v>
      </c>
      <c r="Z96" s="4" t="s">
        <v>1697</v>
      </c>
      <c r="AA96" s="5" t="s">
        <v>7</v>
      </c>
      <c r="AB9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470134225</v>
      </c>
      <c r="AC96" s="8" t="str">
        <f>IF(NOT(AND(ISNUMBER(VALUE(prodcom_data[[#This Row],[PRODQNT - EU27_2020 - 2019 - amount]])), ISNUMBER(VALUE(prodcom_data[[#This Row],[IMPQNT - EU27_2020 - 2019 - amount]])))), "secrets", "")</f>
        <v/>
      </c>
      <c r="AD9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468973142</v>
      </c>
      <c r="AE96" s="8" t="str">
        <f>IF(NOT(AND(ISNUMBER(VALUE(prodcom_data[[#This Row],[PRODQNT - EU27_2020 - 2022 - amount]])), ISNUMBER(VALUE(prodcom_data[[#This Row],[IMPQNT - EU27_2020 - 2022 - amount]])))), "secrets", "")</f>
        <v/>
      </c>
      <c r="AF96" s="7">
        <f>_xlfn.LET(_xlpm.production_amount, VALUE(prodcom_data[[#This Row],[PRODQNT - FR - 2019 - amount]]), IF(ISNUMBER(_xlpm.production_amount), _xlpm.production_amount, 0))+_xlfn.LET(_xlpm.import_amount, VALUE(prodcom_data[[#This Row],[IMPQNT - FR - 2019 - amount]]), IF(ISNUMBER(_xlpm.import_amount), _xlpm.import_amount, 0))</f>
        <v>30753300</v>
      </c>
      <c r="AG96" s="8" t="str">
        <f>IF(NOT(AND(ISNUMBER(VALUE(prodcom_data[[#This Row],[PRODQNT - FR - 2019 - amount]])), ISNUMBER(VALUE(prodcom_data[[#This Row],[IMPQNT - FR - 2019 - amount]])))), "secrets", "")</f>
        <v>secrets</v>
      </c>
      <c r="AH96" s="7">
        <f>_xlfn.LET(_xlpm.production_amount, VALUE(prodcom_data[[#This Row],[PRODQNT - FR - 2022 - amount]]), IF(ISNUMBER(_xlpm.production_amount), _xlpm.production_amount, 0))+_xlfn.LET(_xlpm.import_amount, VALUE(prodcom_data[[#This Row],[IMPQNT - FR - 2022 - amount]]), IF(ISNUMBER(_xlpm.import_amount), _xlpm.import_amount, 0))</f>
        <v>36311576</v>
      </c>
      <c r="AI96" s="8" t="str">
        <f>IF(NOT(AND(ISNUMBER(VALUE(prodcom_data[[#This Row],[PRODQNT - FR - 2022 - amount]])), ISNUMBER(VALUE(prodcom_data[[#This Row],[IMPQNT - FR - 2022 - amount]])))), "secrets", "")</f>
        <v>secrets</v>
      </c>
      <c r="AJ9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0.34004888919630283</v>
      </c>
      <c r="AK96" s="10" t="s">
        <v>2658</v>
      </c>
    </row>
    <row r="97" spans="1:37" hidden="1" x14ac:dyDescent="0.3">
      <c r="A97" s="4" t="s">
        <v>3</v>
      </c>
      <c r="B97" s="4" t="s">
        <v>351</v>
      </c>
      <c r="C97" s="4" t="s">
        <v>352</v>
      </c>
      <c r="D97" s="4" t="s">
        <v>353</v>
      </c>
      <c r="E97" s="5" t="s">
        <v>7</v>
      </c>
      <c r="F97" s="4" t="s">
        <v>1670</v>
      </c>
      <c r="G97" s="5" t="s">
        <v>7</v>
      </c>
      <c r="H97" s="4" t="s">
        <v>1671</v>
      </c>
      <c r="I97" s="5" t="s">
        <v>7</v>
      </c>
      <c r="J97" s="4" t="s">
        <v>182</v>
      </c>
      <c r="K97" s="5" t="s">
        <v>7</v>
      </c>
      <c r="L97" s="4" t="s">
        <v>1672</v>
      </c>
      <c r="M97" s="5" t="s">
        <v>7</v>
      </c>
      <c r="N97" s="4" t="s">
        <v>1673</v>
      </c>
      <c r="O97" s="5" t="s">
        <v>7</v>
      </c>
      <c r="P97" s="4" t="s">
        <v>703</v>
      </c>
      <c r="Q97" s="5" t="s">
        <v>703</v>
      </c>
      <c r="R97" s="4" t="s">
        <v>1674</v>
      </c>
      <c r="S97" s="5" t="s">
        <v>7</v>
      </c>
      <c r="T97" s="4" t="s">
        <v>1675</v>
      </c>
      <c r="U97" s="5" t="s">
        <v>7</v>
      </c>
      <c r="V97" s="4" t="s">
        <v>703</v>
      </c>
      <c r="W97" s="5" t="s">
        <v>703</v>
      </c>
      <c r="X97" s="4" t="s">
        <v>1676</v>
      </c>
      <c r="Y97" s="5" t="s">
        <v>7</v>
      </c>
      <c r="Z97" s="4" t="s">
        <v>1677</v>
      </c>
      <c r="AA97" s="5" t="s">
        <v>7</v>
      </c>
      <c r="AB9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587266932</v>
      </c>
      <c r="AC97" s="8" t="str">
        <f>IF(NOT(AND(ISNUMBER(VALUE(prodcom_data[[#This Row],[PRODQNT - EU27_2020 - 2019 - amount]])), ISNUMBER(VALUE(prodcom_data[[#This Row],[IMPQNT - EU27_2020 - 2019 - amount]])))), "secrets", "")</f>
        <v/>
      </c>
      <c r="AD9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467642688</v>
      </c>
      <c r="AE97" s="8" t="str">
        <f>IF(NOT(AND(ISNUMBER(VALUE(prodcom_data[[#This Row],[PRODQNT - EU27_2020 - 2022 - amount]])), ISNUMBER(VALUE(prodcom_data[[#This Row],[IMPQNT - EU27_2020 - 2022 - amount]])))), "secrets", "")</f>
        <v/>
      </c>
      <c r="AF97" s="7">
        <f>_xlfn.LET(_xlpm.production_amount, VALUE(prodcom_data[[#This Row],[PRODQNT - FR - 2019 - amount]]), IF(ISNUMBER(_xlpm.production_amount), _xlpm.production_amount, 0))+_xlfn.LET(_xlpm.import_amount, VALUE(prodcom_data[[#This Row],[IMPQNT - FR - 2019 - amount]]), IF(ISNUMBER(_xlpm.import_amount), _xlpm.import_amount, 0))</f>
        <v>15578600</v>
      </c>
      <c r="AG97" s="8" t="str">
        <f>IF(NOT(AND(ISNUMBER(VALUE(prodcom_data[[#This Row],[PRODQNT - FR - 2019 - amount]])), ISNUMBER(VALUE(prodcom_data[[#This Row],[IMPQNT - FR - 2019 - amount]])))), "secrets", "")</f>
        <v>secrets</v>
      </c>
      <c r="AH97" s="7">
        <f>_xlfn.LET(_xlpm.production_amount, VALUE(prodcom_data[[#This Row],[PRODQNT - FR - 2022 - amount]]), IF(ISNUMBER(_xlpm.production_amount), _xlpm.production_amount, 0))+_xlfn.LET(_xlpm.import_amount, VALUE(prodcom_data[[#This Row],[IMPQNT - FR - 2022 - amount]]), IF(ISNUMBER(_xlpm.import_amount), _xlpm.import_amount, 0))</f>
        <v>13871780</v>
      </c>
      <c r="AI97" s="8" t="str">
        <f>IF(NOT(AND(ISNUMBER(VALUE(prodcom_data[[#This Row],[PRODQNT - FR - 2022 - amount]])), ISNUMBER(VALUE(prodcom_data[[#This Row],[IMPQNT - FR - 2022 - amount]])))), "secrets", "")</f>
        <v>secrets</v>
      </c>
      <c r="AJ9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0.85535390644234766</v>
      </c>
      <c r="AK97" s="10" t="s">
        <v>2641</v>
      </c>
    </row>
    <row r="98" spans="1:37" hidden="1" x14ac:dyDescent="0.3">
      <c r="A98" s="4" t="s">
        <v>3</v>
      </c>
      <c r="B98" s="4" t="s">
        <v>462</v>
      </c>
      <c r="C98" s="4" t="s">
        <v>463</v>
      </c>
      <c r="D98" s="4" t="s">
        <v>464</v>
      </c>
      <c r="E98" s="5" t="s">
        <v>7</v>
      </c>
      <c r="F98" s="4" t="s">
        <v>1963</v>
      </c>
      <c r="G98" s="5" t="s">
        <v>7</v>
      </c>
      <c r="H98" s="4" t="s">
        <v>1964</v>
      </c>
      <c r="I98" s="5" t="s">
        <v>7</v>
      </c>
      <c r="J98" s="4" t="s">
        <v>128</v>
      </c>
      <c r="K98" s="5" t="s">
        <v>7</v>
      </c>
      <c r="L98" s="4" t="s">
        <v>1965</v>
      </c>
      <c r="M98" s="5" t="s">
        <v>7</v>
      </c>
      <c r="N98" s="4" t="s">
        <v>1966</v>
      </c>
      <c r="O98" s="5" t="s">
        <v>7</v>
      </c>
      <c r="P98" s="4" t="s">
        <v>1967</v>
      </c>
      <c r="Q98" s="5" t="s">
        <v>7</v>
      </c>
      <c r="R98" s="4" t="s">
        <v>1968</v>
      </c>
      <c r="S98" s="5" t="s">
        <v>7</v>
      </c>
      <c r="T98" s="4" t="s">
        <v>1969</v>
      </c>
      <c r="U98" s="5" t="s">
        <v>7</v>
      </c>
      <c r="V98" s="4" t="s">
        <v>2611</v>
      </c>
      <c r="W98" s="5" t="s">
        <v>7</v>
      </c>
      <c r="X98" s="4" t="s">
        <v>1970</v>
      </c>
      <c r="Y98" s="5" t="s">
        <v>7</v>
      </c>
      <c r="Z98" s="4" t="s">
        <v>1971</v>
      </c>
      <c r="AA98" s="5" t="s">
        <v>7</v>
      </c>
      <c r="AB9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625099669</v>
      </c>
      <c r="AC98" s="8" t="str">
        <f>IF(NOT(AND(ISNUMBER(VALUE(prodcom_data[[#This Row],[PRODQNT - EU27_2020 - 2019 - amount]])), ISNUMBER(VALUE(prodcom_data[[#This Row],[IMPQNT - EU27_2020 - 2019 - amount]])))), "secrets", "")</f>
        <v/>
      </c>
      <c r="AD9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463507306</v>
      </c>
      <c r="AE98" s="8" t="str">
        <f>IF(NOT(AND(ISNUMBER(VALUE(prodcom_data[[#This Row],[PRODQNT - EU27_2020 - 2022 - amount]])), ISNUMBER(VALUE(prodcom_data[[#This Row],[IMPQNT - EU27_2020 - 2022 - amount]])))), "secrets", "")</f>
        <v/>
      </c>
      <c r="AF98" s="7">
        <f>_xlfn.LET(_xlpm.production_amount, VALUE(prodcom_data[[#This Row],[PRODQNT - FR - 2019 - amount]]), IF(ISNUMBER(_xlpm.production_amount), _xlpm.production_amount, 0))+_xlfn.LET(_xlpm.import_amount, VALUE(prodcom_data[[#This Row],[IMPQNT - FR - 2019 - amount]]), IF(ISNUMBER(_xlpm.import_amount), _xlpm.import_amount, 0))</f>
        <v>46408710</v>
      </c>
      <c r="AG98" s="8" t="str">
        <f>IF(NOT(AND(ISNUMBER(VALUE(prodcom_data[[#This Row],[PRODQNT - FR - 2019 - amount]])), ISNUMBER(VALUE(prodcom_data[[#This Row],[IMPQNT - FR - 2019 - amount]])))), "secrets", "")</f>
        <v/>
      </c>
      <c r="AH98" s="7">
        <f>_xlfn.LET(_xlpm.production_amount, VALUE(prodcom_data[[#This Row],[PRODQNT - FR - 2022 - amount]]), IF(ISNUMBER(_xlpm.production_amount), _xlpm.production_amount, 0))+_xlfn.LET(_xlpm.import_amount, VALUE(prodcom_data[[#This Row],[IMPQNT - FR - 2022 - amount]]), IF(ISNUMBER(_xlpm.import_amount), _xlpm.import_amount, 0))</f>
        <v>42667497</v>
      </c>
      <c r="AI98" s="8" t="str">
        <f>IF(NOT(AND(ISNUMBER(VALUE(prodcom_data[[#This Row],[PRODQNT - FR - 2022 - amount]])), ISNUMBER(VALUE(prodcom_data[[#This Row],[IMPQNT - FR - 2022 - amount]])))), "secrets", "")</f>
        <v>secrets</v>
      </c>
      <c r="AJ9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0.77668678646459133</v>
      </c>
      <c r="AK98" s="10" t="s">
        <v>2641</v>
      </c>
    </row>
    <row r="99" spans="1:37" hidden="1" x14ac:dyDescent="0.3">
      <c r="A99" s="4" t="s">
        <v>3</v>
      </c>
      <c r="B99" s="4" t="s">
        <v>572</v>
      </c>
      <c r="C99" s="4" t="s">
        <v>573</v>
      </c>
      <c r="D99" s="4" t="s">
        <v>574</v>
      </c>
      <c r="E99" s="5" t="s">
        <v>7</v>
      </c>
      <c r="F99" s="4" t="s">
        <v>2281</v>
      </c>
      <c r="G99" s="5" t="s">
        <v>7</v>
      </c>
      <c r="H99" s="4" t="s">
        <v>2282</v>
      </c>
      <c r="I99" s="5" t="s">
        <v>7</v>
      </c>
      <c r="J99" s="4" t="s">
        <v>2283</v>
      </c>
      <c r="K99" s="5" t="s">
        <v>7</v>
      </c>
      <c r="L99" s="4" t="s">
        <v>2284</v>
      </c>
      <c r="M99" s="5" t="s">
        <v>7</v>
      </c>
      <c r="N99" s="4" t="s">
        <v>2285</v>
      </c>
      <c r="O99" s="5" t="s">
        <v>7</v>
      </c>
      <c r="P99" s="4" t="s">
        <v>2611</v>
      </c>
      <c r="Q99" s="5" t="s">
        <v>7</v>
      </c>
      <c r="R99" s="4" t="s">
        <v>2286</v>
      </c>
      <c r="S99" s="5" t="s">
        <v>7</v>
      </c>
      <c r="T99" s="4" t="s">
        <v>2287</v>
      </c>
      <c r="U99" s="5" t="s">
        <v>7</v>
      </c>
      <c r="V99" s="4" t="s">
        <v>2611</v>
      </c>
      <c r="W99" s="5" t="s">
        <v>7</v>
      </c>
      <c r="X99" s="4" t="s">
        <v>2288</v>
      </c>
      <c r="Y99" s="5" t="s">
        <v>7</v>
      </c>
      <c r="Z99" s="4" t="s">
        <v>2289</v>
      </c>
      <c r="AA99" s="5" t="s">
        <v>7</v>
      </c>
      <c r="AB9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398582317</v>
      </c>
      <c r="AC99" s="8" t="str">
        <f>IF(NOT(AND(ISNUMBER(VALUE(prodcom_data[[#This Row],[PRODQNT - EU27_2020 - 2019 - amount]])), ISNUMBER(VALUE(prodcom_data[[#This Row],[IMPQNT - EU27_2020 - 2019 - amount]])))), "secrets", "")</f>
        <v/>
      </c>
      <c r="AD9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461661708</v>
      </c>
      <c r="AE99" s="8" t="str">
        <f>IF(NOT(AND(ISNUMBER(VALUE(prodcom_data[[#This Row],[PRODQNT - EU27_2020 - 2022 - amount]])), ISNUMBER(VALUE(prodcom_data[[#This Row],[IMPQNT - EU27_2020 - 2022 - amount]])))), "secrets", "")</f>
        <v/>
      </c>
      <c r="AF99" s="7">
        <f>_xlfn.LET(_xlpm.production_amount, VALUE(prodcom_data[[#This Row],[PRODQNT - FR - 2019 - amount]]), IF(ISNUMBER(_xlpm.production_amount), _xlpm.production_amount, 0))+_xlfn.LET(_xlpm.import_amount, VALUE(prodcom_data[[#This Row],[IMPQNT - FR - 2019 - amount]]), IF(ISNUMBER(_xlpm.import_amount), _xlpm.import_amount, 0))</f>
        <v>11136900</v>
      </c>
      <c r="AG99" s="8" t="str">
        <f>IF(NOT(AND(ISNUMBER(VALUE(prodcom_data[[#This Row],[PRODQNT - FR - 2019 - amount]])), ISNUMBER(VALUE(prodcom_data[[#This Row],[IMPQNT - FR - 2019 - amount]])))), "secrets", "")</f>
        <v>secrets</v>
      </c>
      <c r="AH99" s="7">
        <f>_xlfn.LET(_xlpm.production_amount, VALUE(prodcom_data[[#This Row],[PRODQNT - FR - 2022 - amount]]), IF(ISNUMBER(_xlpm.production_amount), _xlpm.production_amount, 0))+_xlfn.LET(_xlpm.import_amount, VALUE(prodcom_data[[#This Row],[IMPQNT - FR - 2022 - amount]]), IF(ISNUMBER(_xlpm.import_amount), _xlpm.import_amount, 0))</f>
        <v>11025118</v>
      </c>
      <c r="AI99" s="8" t="str">
        <f>IF(NOT(AND(ISNUMBER(VALUE(prodcom_data[[#This Row],[PRODQNT - FR - 2022 - amount]])), ISNUMBER(VALUE(prodcom_data[[#This Row],[IMPQNT - FR - 2022 - amount]])))), "secrets", "")</f>
        <v>secrets</v>
      </c>
      <c r="AJ9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0.98200279586540884</v>
      </c>
      <c r="AK99" s="10" t="s">
        <v>2641</v>
      </c>
    </row>
    <row r="100" spans="1:37" hidden="1" x14ac:dyDescent="0.3">
      <c r="A100" s="4" t="s">
        <v>3</v>
      </c>
      <c r="B100" s="4" t="s">
        <v>486</v>
      </c>
      <c r="C100" s="4" t="s">
        <v>487</v>
      </c>
      <c r="D100" s="4" t="s">
        <v>488</v>
      </c>
      <c r="E100" s="5" t="s">
        <v>7</v>
      </c>
      <c r="F100" s="4" t="s">
        <v>2026</v>
      </c>
      <c r="G100" s="5" t="s">
        <v>7</v>
      </c>
      <c r="H100" s="4" t="s">
        <v>2027</v>
      </c>
      <c r="I100" s="5" t="s">
        <v>7</v>
      </c>
      <c r="J100" s="4" t="s">
        <v>2028</v>
      </c>
      <c r="K100" s="5" t="s">
        <v>7</v>
      </c>
      <c r="L100" s="4" t="s">
        <v>2029</v>
      </c>
      <c r="M100" s="5" t="s">
        <v>7</v>
      </c>
      <c r="N100" s="4" t="s">
        <v>2030</v>
      </c>
      <c r="O100" s="5" t="s">
        <v>7</v>
      </c>
      <c r="P100" s="4" t="s">
        <v>2031</v>
      </c>
      <c r="Q100" s="5" t="s">
        <v>7</v>
      </c>
      <c r="R100" s="4" t="s">
        <v>2032</v>
      </c>
      <c r="S100" s="5" t="s">
        <v>7</v>
      </c>
      <c r="T100" s="4" t="s">
        <v>2033</v>
      </c>
      <c r="U100" s="5" t="s">
        <v>7</v>
      </c>
      <c r="V100" s="4" t="s">
        <v>2034</v>
      </c>
      <c r="W100" s="5" t="s">
        <v>7</v>
      </c>
      <c r="X100" s="4" t="s">
        <v>2035</v>
      </c>
      <c r="Y100" s="5" t="s">
        <v>7</v>
      </c>
      <c r="Z100" s="4" t="s">
        <v>2036</v>
      </c>
      <c r="AA100" s="5" t="s">
        <v>7</v>
      </c>
      <c r="AB10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565444573</v>
      </c>
      <c r="AC100" s="8" t="str">
        <f>IF(NOT(AND(ISNUMBER(VALUE(prodcom_data[[#This Row],[PRODQNT - EU27_2020 - 2019 - amount]])), ISNUMBER(VALUE(prodcom_data[[#This Row],[IMPQNT - EU27_2020 - 2019 - amount]])))), "secrets", "")</f>
        <v/>
      </c>
      <c r="AD10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451671658</v>
      </c>
      <c r="AE100" s="8" t="str">
        <f>IF(NOT(AND(ISNUMBER(VALUE(prodcom_data[[#This Row],[PRODQNT - EU27_2020 - 2022 - amount]])), ISNUMBER(VALUE(prodcom_data[[#This Row],[IMPQNT - EU27_2020 - 2022 - amount]])))), "secrets", "")</f>
        <v/>
      </c>
      <c r="AF100" s="7">
        <f>_xlfn.LET(_xlpm.production_amount, VALUE(prodcom_data[[#This Row],[PRODQNT - FR - 2019 - amount]]), IF(ISNUMBER(_xlpm.production_amount), _xlpm.production_amount, 0))+_xlfn.LET(_xlpm.import_amount, VALUE(prodcom_data[[#This Row],[IMPQNT - FR - 2019 - amount]]), IF(ISNUMBER(_xlpm.import_amount), _xlpm.import_amount, 0))</f>
        <v>12156323</v>
      </c>
      <c r="AG100" s="8" t="str">
        <f>IF(NOT(AND(ISNUMBER(VALUE(prodcom_data[[#This Row],[PRODQNT - FR - 2019 - amount]])), ISNUMBER(VALUE(prodcom_data[[#This Row],[IMPQNT - FR - 2019 - amount]])))), "secrets", "")</f>
        <v/>
      </c>
      <c r="AH100" s="7">
        <f>_xlfn.LET(_xlpm.production_amount, VALUE(prodcom_data[[#This Row],[PRODQNT - FR - 2022 - amount]]), IF(ISNUMBER(_xlpm.production_amount), _xlpm.production_amount, 0))+_xlfn.LET(_xlpm.import_amount, VALUE(prodcom_data[[#This Row],[IMPQNT - FR - 2022 - amount]]), IF(ISNUMBER(_xlpm.import_amount), _xlpm.import_amount, 0))</f>
        <v>6617580</v>
      </c>
      <c r="AI100" s="8" t="str">
        <f>IF(NOT(AND(ISNUMBER(VALUE(prodcom_data[[#This Row],[PRODQNT - FR - 2022 - amount]])), ISNUMBER(VALUE(prodcom_data[[#This Row],[IMPQNT - FR - 2022 - amount]])))), "secrets", "")</f>
        <v/>
      </c>
      <c r="AJ10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0.99140499756573175</v>
      </c>
      <c r="AK100" s="10" t="s">
        <v>2641</v>
      </c>
    </row>
    <row r="101" spans="1:37" hidden="1" x14ac:dyDescent="0.3">
      <c r="A101" s="4" t="s">
        <v>3</v>
      </c>
      <c r="B101" s="4" t="s">
        <v>275</v>
      </c>
      <c r="C101" s="4" t="s">
        <v>276</v>
      </c>
      <c r="D101" s="4" t="s">
        <v>277</v>
      </c>
      <c r="E101" s="5" t="s">
        <v>7</v>
      </c>
      <c r="F101" s="4" t="s">
        <v>1452</v>
      </c>
      <c r="G101" s="5" t="s">
        <v>7</v>
      </c>
      <c r="H101" s="4" t="s">
        <v>1453</v>
      </c>
      <c r="I101" s="5" t="s">
        <v>7</v>
      </c>
      <c r="J101" s="4" t="s">
        <v>182</v>
      </c>
      <c r="K101" s="5" t="s">
        <v>7</v>
      </c>
      <c r="L101" s="4" t="s">
        <v>1454</v>
      </c>
      <c r="M101" s="5" t="s">
        <v>7</v>
      </c>
      <c r="N101" s="4" t="s">
        <v>1455</v>
      </c>
      <c r="O101" s="5" t="s">
        <v>7</v>
      </c>
      <c r="P101" s="4" t="s">
        <v>713</v>
      </c>
      <c r="Q101" s="5" t="s">
        <v>7</v>
      </c>
      <c r="R101" s="4" t="s">
        <v>1456</v>
      </c>
      <c r="S101" s="5" t="s">
        <v>7</v>
      </c>
      <c r="T101" s="4" t="s">
        <v>1457</v>
      </c>
      <c r="U101" s="5" t="s">
        <v>7</v>
      </c>
      <c r="V101" s="4" t="s">
        <v>2611</v>
      </c>
      <c r="W101" s="5" t="s">
        <v>7</v>
      </c>
      <c r="X101" s="4" t="s">
        <v>1458</v>
      </c>
      <c r="Y101" s="5" t="s">
        <v>7</v>
      </c>
      <c r="Z101" s="4" t="s">
        <v>1459</v>
      </c>
      <c r="AA101" s="5" t="s">
        <v>7</v>
      </c>
      <c r="AB10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691350126</v>
      </c>
      <c r="AC101" s="8" t="str">
        <f>IF(NOT(AND(ISNUMBER(VALUE(prodcom_data[[#This Row],[PRODQNT - EU27_2020 - 2019 - amount]])), ISNUMBER(VALUE(prodcom_data[[#This Row],[IMPQNT - EU27_2020 - 2019 - amount]])))), "secrets", "")</f>
        <v/>
      </c>
      <c r="AD10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445054162</v>
      </c>
      <c r="AE101" s="8" t="str">
        <f>IF(NOT(AND(ISNUMBER(VALUE(prodcom_data[[#This Row],[PRODQNT - EU27_2020 - 2022 - amount]])), ISNUMBER(VALUE(prodcom_data[[#This Row],[IMPQNT - EU27_2020 - 2022 - amount]])))), "secrets", "")</f>
        <v/>
      </c>
      <c r="AF101" s="7">
        <f>_xlfn.LET(_xlpm.production_amount, VALUE(prodcom_data[[#This Row],[PRODQNT - FR - 2019 - amount]]), IF(ISNUMBER(_xlpm.production_amount), _xlpm.production_amount, 0))+_xlfn.LET(_xlpm.import_amount, VALUE(prodcom_data[[#This Row],[IMPQNT - FR - 2019 - amount]]), IF(ISNUMBER(_xlpm.import_amount), _xlpm.import_amount, 0))</f>
        <v>53977200</v>
      </c>
      <c r="AG101" s="8" t="str">
        <f>IF(NOT(AND(ISNUMBER(VALUE(prodcom_data[[#This Row],[PRODQNT - FR - 2019 - amount]])), ISNUMBER(VALUE(prodcom_data[[#This Row],[IMPQNT - FR - 2019 - amount]])))), "secrets", "")</f>
        <v/>
      </c>
      <c r="AH101" s="7">
        <f>_xlfn.LET(_xlpm.production_amount, VALUE(prodcom_data[[#This Row],[PRODQNT - FR - 2022 - amount]]), IF(ISNUMBER(_xlpm.production_amount), _xlpm.production_amount, 0))+_xlfn.LET(_xlpm.import_amount, VALUE(prodcom_data[[#This Row],[IMPQNT - FR - 2022 - amount]]), IF(ISNUMBER(_xlpm.import_amount), _xlpm.import_amount, 0))</f>
        <v>48961938</v>
      </c>
      <c r="AI101" s="8" t="str">
        <f>IF(NOT(AND(ISNUMBER(VALUE(prodcom_data[[#This Row],[PRODQNT - FR - 2022 - amount]])), ISNUMBER(VALUE(prodcom_data[[#This Row],[IMPQNT - FR - 2022 - amount]])))), "secrets", "")</f>
        <v>secrets</v>
      </c>
      <c r="AJ10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0.89876701344048993</v>
      </c>
      <c r="AK101" s="10" t="s">
        <v>2641</v>
      </c>
    </row>
    <row r="102" spans="1:37" hidden="1" x14ac:dyDescent="0.3">
      <c r="A102" s="4" t="s">
        <v>3</v>
      </c>
      <c r="B102" s="4" t="s">
        <v>354</v>
      </c>
      <c r="C102" s="4" t="s">
        <v>355</v>
      </c>
      <c r="D102" s="4" t="s">
        <v>356</v>
      </c>
      <c r="E102" s="5" t="s">
        <v>7</v>
      </c>
      <c r="F102" s="4" t="s">
        <v>1678</v>
      </c>
      <c r="G102" s="5" t="s">
        <v>7</v>
      </c>
      <c r="H102" s="4" t="s">
        <v>1679</v>
      </c>
      <c r="I102" s="5" t="s">
        <v>7</v>
      </c>
      <c r="J102" s="4" t="s">
        <v>1680</v>
      </c>
      <c r="K102" s="5" t="s">
        <v>7</v>
      </c>
      <c r="L102" s="4" t="s">
        <v>1681</v>
      </c>
      <c r="M102" s="5" t="s">
        <v>7</v>
      </c>
      <c r="N102" s="4" t="s">
        <v>1682</v>
      </c>
      <c r="O102" s="5" t="s">
        <v>7</v>
      </c>
      <c r="P102" s="4" t="s">
        <v>1683</v>
      </c>
      <c r="Q102" s="5" t="s">
        <v>7</v>
      </c>
      <c r="R102" s="4" t="s">
        <v>1684</v>
      </c>
      <c r="S102" s="5" t="s">
        <v>7</v>
      </c>
      <c r="T102" s="4" t="s">
        <v>1685</v>
      </c>
      <c r="U102" s="5" t="s">
        <v>7</v>
      </c>
      <c r="V102" s="4" t="s">
        <v>1686</v>
      </c>
      <c r="W102" s="5" t="s">
        <v>7</v>
      </c>
      <c r="X102" s="4" t="s">
        <v>1687</v>
      </c>
      <c r="Y102" s="5" t="s">
        <v>7</v>
      </c>
      <c r="Z102" s="4" t="s">
        <v>1688</v>
      </c>
      <c r="AA102" s="5" t="s">
        <v>7</v>
      </c>
      <c r="AB10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397335446</v>
      </c>
      <c r="AC102" s="8" t="str">
        <f>IF(NOT(AND(ISNUMBER(VALUE(prodcom_data[[#This Row],[PRODQNT - EU27_2020 - 2019 - amount]])), ISNUMBER(VALUE(prodcom_data[[#This Row],[IMPQNT - EU27_2020 - 2019 - amount]])))), "secrets", "")</f>
        <v/>
      </c>
      <c r="AD10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443773952</v>
      </c>
      <c r="AE102" s="8" t="str">
        <f>IF(NOT(AND(ISNUMBER(VALUE(prodcom_data[[#This Row],[PRODQNT - EU27_2020 - 2022 - amount]])), ISNUMBER(VALUE(prodcom_data[[#This Row],[IMPQNT - EU27_2020 - 2022 - amount]])))), "secrets", "")</f>
        <v/>
      </c>
      <c r="AF102" s="7">
        <f>_xlfn.LET(_xlpm.production_amount, VALUE(prodcom_data[[#This Row],[PRODQNT - FR - 2019 - amount]]), IF(ISNUMBER(_xlpm.production_amount), _xlpm.production_amount, 0))+_xlfn.LET(_xlpm.import_amount, VALUE(prodcom_data[[#This Row],[IMPQNT - FR - 2019 - amount]]), IF(ISNUMBER(_xlpm.import_amount), _xlpm.import_amount, 0))</f>
        <v>177131560</v>
      </c>
      <c r="AG102" s="8" t="str">
        <f>IF(NOT(AND(ISNUMBER(VALUE(prodcom_data[[#This Row],[PRODQNT - FR - 2019 - amount]])), ISNUMBER(VALUE(prodcom_data[[#This Row],[IMPQNT - FR - 2019 - amount]])))), "secrets", "")</f>
        <v/>
      </c>
      <c r="AH102" s="7">
        <f>_xlfn.LET(_xlpm.production_amount, VALUE(prodcom_data[[#This Row],[PRODQNT - FR - 2022 - amount]]), IF(ISNUMBER(_xlpm.production_amount), _xlpm.production_amount, 0))+_xlfn.LET(_xlpm.import_amount, VALUE(prodcom_data[[#This Row],[IMPQNT - FR - 2022 - amount]]), IF(ISNUMBER(_xlpm.import_amount), _xlpm.import_amount, 0))</f>
        <v>212083746</v>
      </c>
      <c r="AI102" s="8" t="str">
        <f>IF(NOT(AND(ISNUMBER(VALUE(prodcom_data[[#This Row],[PRODQNT - FR - 2022 - amount]])), ISNUMBER(VALUE(prodcom_data[[#This Row],[IMPQNT - FR - 2022 - amount]])))), "secrets", "")</f>
        <v/>
      </c>
      <c r="AJ10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0.73572325398675043</v>
      </c>
      <c r="AK102" s="10" t="s">
        <v>2641</v>
      </c>
    </row>
    <row r="103" spans="1:37" x14ac:dyDescent="0.3">
      <c r="A103" s="4" t="s">
        <v>3</v>
      </c>
      <c r="B103" s="4" t="s">
        <v>284</v>
      </c>
      <c r="C103" s="4" t="s">
        <v>285</v>
      </c>
      <c r="D103" s="4" t="s">
        <v>286</v>
      </c>
      <c r="E103" s="5" t="s">
        <v>7</v>
      </c>
      <c r="F103" s="4" t="s">
        <v>1477</v>
      </c>
      <c r="G103" s="5" t="s">
        <v>7</v>
      </c>
      <c r="H103" s="4" t="s">
        <v>1478</v>
      </c>
      <c r="I103" s="5" t="s">
        <v>7</v>
      </c>
      <c r="J103" s="4" t="s">
        <v>182</v>
      </c>
      <c r="K103" s="5" t="s">
        <v>7</v>
      </c>
      <c r="L103" s="4" t="s">
        <v>1479</v>
      </c>
      <c r="M103" s="5" t="s">
        <v>7</v>
      </c>
      <c r="N103" s="4" t="s">
        <v>1480</v>
      </c>
      <c r="O103" s="5" t="s">
        <v>7</v>
      </c>
      <c r="P103" s="4" t="s">
        <v>1481</v>
      </c>
      <c r="Q103" s="5" t="s">
        <v>7</v>
      </c>
      <c r="R103" s="4" t="s">
        <v>1482</v>
      </c>
      <c r="S103" s="5" t="s">
        <v>7</v>
      </c>
      <c r="T103" s="4" t="s">
        <v>1483</v>
      </c>
      <c r="U103" s="5" t="s">
        <v>7</v>
      </c>
      <c r="V103" s="4" t="s">
        <v>2611</v>
      </c>
      <c r="W103" s="5" t="s">
        <v>7</v>
      </c>
      <c r="X103" s="4" t="s">
        <v>1484</v>
      </c>
      <c r="Y103" s="5" t="s">
        <v>7</v>
      </c>
      <c r="Z103" s="4" t="s">
        <v>1485</v>
      </c>
      <c r="AA103" s="5" t="s">
        <v>7</v>
      </c>
      <c r="AB10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689068394</v>
      </c>
      <c r="AC103" s="8" t="str">
        <f>IF(NOT(AND(ISNUMBER(VALUE(prodcom_data[[#This Row],[PRODQNT - EU27_2020 - 2019 - amount]])), ISNUMBER(VALUE(prodcom_data[[#This Row],[IMPQNT - EU27_2020 - 2019 - amount]])))), "secrets", "")</f>
        <v/>
      </c>
      <c r="AD10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443739559</v>
      </c>
      <c r="AE103" s="8" t="str">
        <f>IF(NOT(AND(ISNUMBER(VALUE(prodcom_data[[#This Row],[PRODQNT - EU27_2020 - 2022 - amount]])), ISNUMBER(VALUE(prodcom_data[[#This Row],[IMPQNT - EU27_2020 - 2022 - amount]])))), "secrets", "")</f>
        <v/>
      </c>
      <c r="AF103" s="7">
        <f>_xlfn.LET(_xlpm.production_amount, VALUE(prodcom_data[[#This Row],[PRODQNT - FR - 2019 - amount]]), IF(ISNUMBER(_xlpm.production_amount), _xlpm.production_amount, 0))+_xlfn.LET(_xlpm.import_amount, VALUE(prodcom_data[[#This Row],[IMPQNT - FR - 2019 - amount]]), IF(ISNUMBER(_xlpm.import_amount), _xlpm.import_amount, 0))</f>
        <v>475523711</v>
      </c>
      <c r="AG103" s="8" t="str">
        <f>IF(NOT(AND(ISNUMBER(VALUE(prodcom_data[[#This Row],[PRODQNT - FR - 2019 - amount]])), ISNUMBER(VALUE(prodcom_data[[#This Row],[IMPQNT - FR - 2019 - amount]])))), "secrets", "")</f>
        <v/>
      </c>
      <c r="AH103" s="7">
        <f>_xlfn.LET(_xlpm.production_amount, VALUE(prodcom_data[[#This Row],[PRODQNT - FR - 2022 - amount]]), IF(ISNUMBER(_xlpm.production_amount), _xlpm.production_amount, 0))+_xlfn.LET(_xlpm.import_amount, VALUE(prodcom_data[[#This Row],[IMPQNT - FR - 2022 - amount]]), IF(ISNUMBER(_xlpm.import_amount), _xlpm.import_amount, 0))</f>
        <v>9107028</v>
      </c>
      <c r="AI103" s="8" t="str">
        <f>IF(NOT(AND(ISNUMBER(VALUE(prodcom_data[[#This Row],[PRODQNT - FR - 2022 - amount]])), ISNUMBER(VALUE(prodcom_data[[#This Row],[IMPQNT - FR - 2022 - amount]])))), "secrets", "")</f>
        <v>secrets</v>
      </c>
      <c r="AJ10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0.9014296604554024</v>
      </c>
      <c r="AK103" s="10" t="s">
        <v>2642</v>
      </c>
    </row>
    <row r="104" spans="1:37" hidden="1" x14ac:dyDescent="0.3">
      <c r="A104" s="4" t="s">
        <v>3</v>
      </c>
      <c r="B104" s="4" t="s">
        <v>138</v>
      </c>
      <c r="C104" s="4" t="s">
        <v>139</v>
      </c>
      <c r="D104" s="4" t="s">
        <v>140</v>
      </c>
      <c r="E104" s="5" t="s">
        <v>7</v>
      </c>
      <c r="F104" s="4" t="s">
        <v>1090</v>
      </c>
      <c r="G104" s="5" t="s">
        <v>7</v>
      </c>
      <c r="H104" s="4" t="s">
        <v>1091</v>
      </c>
      <c r="I104" s="5" t="s">
        <v>7</v>
      </c>
      <c r="J104" s="4" t="s">
        <v>182</v>
      </c>
      <c r="K104" s="5" t="s">
        <v>7</v>
      </c>
      <c r="L104" s="4" t="s">
        <v>1092</v>
      </c>
      <c r="M104" s="5" t="s">
        <v>7</v>
      </c>
      <c r="N104" s="4" t="s">
        <v>1093</v>
      </c>
      <c r="O104" s="5" t="s">
        <v>7</v>
      </c>
      <c r="P104" s="4" t="s">
        <v>703</v>
      </c>
      <c r="Q104" s="5" t="s">
        <v>703</v>
      </c>
      <c r="R104" s="4" t="s">
        <v>713</v>
      </c>
      <c r="S104" s="5" t="s">
        <v>7</v>
      </c>
      <c r="T104" s="4" t="s">
        <v>1094</v>
      </c>
      <c r="U104" s="5" t="s">
        <v>7</v>
      </c>
      <c r="V104" s="4" t="s">
        <v>703</v>
      </c>
      <c r="W104" s="5" t="s">
        <v>703</v>
      </c>
      <c r="X104" s="4" t="s">
        <v>1095</v>
      </c>
      <c r="Y104" s="5" t="s">
        <v>7</v>
      </c>
      <c r="Z104" s="4" t="s">
        <v>1096</v>
      </c>
      <c r="AA104" s="5" t="s">
        <v>7</v>
      </c>
      <c r="AB10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407692079</v>
      </c>
      <c r="AC104" s="8" t="str">
        <f>IF(NOT(AND(ISNUMBER(VALUE(prodcom_data[[#This Row],[PRODQNT - EU27_2020 - 2019 - amount]])), ISNUMBER(VALUE(prodcom_data[[#This Row],[IMPQNT - EU27_2020 - 2019 - amount]])))), "secrets", "")</f>
        <v/>
      </c>
      <c r="AD10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404063391</v>
      </c>
      <c r="AE104" s="8" t="str">
        <f>IF(NOT(AND(ISNUMBER(VALUE(prodcom_data[[#This Row],[PRODQNT - EU27_2020 - 2022 - amount]])), ISNUMBER(VALUE(prodcom_data[[#This Row],[IMPQNT - EU27_2020 - 2022 - amount]])))), "secrets", "")</f>
        <v/>
      </c>
      <c r="AF104" s="7">
        <f>_xlfn.LET(_xlpm.production_amount, VALUE(prodcom_data[[#This Row],[PRODQNT - FR - 2019 - amount]]), IF(ISNUMBER(_xlpm.production_amount), _xlpm.production_amount, 0))+_xlfn.LET(_xlpm.import_amount, VALUE(prodcom_data[[#This Row],[IMPQNT - FR - 2019 - amount]]), IF(ISNUMBER(_xlpm.import_amount), _xlpm.import_amount, 0))</f>
        <v>4026400</v>
      </c>
      <c r="AG104" s="8" t="str">
        <f>IF(NOT(AND(ISNUMBER(VALUE(prodcom_data[[#This Row],[PRODQNT - FR - 2019 - amount]])), ISNUMBER(VALUE(prodcom_data[[#This Row],[IMPQNT - FR - 2019 - amount]])))), "secrets", "")</f>
        <v>secrets</v>
      </c>
      <c r="AH104" s="7">
        <f>_xlfn.LET(_xlpm.production_amount, VALUE(prodcom_data[[#This Row],[PRODQNT - FR - 2022 - amount]]), IF(ISNUMBER(_xlpm.production_amount), _xlpm.production_amount, 0))+_xlfn.LET(_xlpm.import_amount, VALUE(prodcom_data[[#This Row],[IMPQNT - FR - 2022 - amount]]), IF(ISNUMBER(_xlpm.import_amount), _xlpm.import_amount, 0))</f>
        <v>2137780</v>
      </c>
      <c r="AI104" s="8" t="str">
        <f>IF(NOT(AND(ISNUMBER(VALUE(prodcom_data[[#This Row],[PRODQNT - FR - 2022 - amount]])), ISNUMBER(VALUE(prodcom_data[[#This Row],[IMPQNT - FR - 2022 - amount]])))), "secrets", "")</f>
        <v>secrets</v>
      </c>
      <c r="AJ10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0.98994367940648209</v>
      </c>
      <c r="AK104" s="10" t="s">
        <v>2649</v>
      </c>
    </row>
    <row r="105" spans="1:37" hidden="1" x14ac:dyDescent="0.3">
      <c r="A105" s="4" t="s">
        <v>3</v>
      </c>
      <c r="B105" s="4" t="s">
        <v>123</v>
      </c>
      <c r="C105" s="4" t="s">
        <v>124</v>
      </c>
      <c r="D105" s="4" t="s">
        <v>125</v>
      </c>
      <c r="E105" s="5" t="s">
        <v>7</v>
      </c>
      <c r="F105" s="4" t="s">
        <v>1044</v>
      </c>
      <c r="G105" s="5" t="s">
        <v>7</v>
      </c>
      <c r="H105" s="4" t="s">
        <v>1045</v>
      </c>
      <c r="I105" s="5" t="s">
        <v>7</v>
      </c>
      <c r="J105" s="4" t="s">
        <v>1046</v>
      </c>
      <c r="K105" s="5" t="s">
        <v>7</v>
      </c>
      <c r="L105" s="4" t="s">
        <v>1047</v>
      </c>
      <c r="M105" s="5" t="s">
        <v>7</v>
      </c>
      <c r="N105" s="4" t="s">
        <v>1048</v>
      </c>
      <c r="O105" s="5" t="s">
        <v>7</v>
      </c>
      <c r="P105" s="4" t="s">
        <v>2611</v>
      </c>
      <c r="Q105" s="5" t="s">
        <v>7</v>
      </c>
      <c r="R105" s="4" t="s">
        <v>1049</v>
      </c>
      <c r="S105" s="5" t="s">
        <v>7</v>
      </c>
      <c r="T105" s="4" t="s">
        <v>1050</v>
      </c>
      <c r="U105" s="5" t="s">
        <v>7</v>
      </c>
      <c r="V105" s="4" t="s">
        <v>2611</v>
      </c>
      <c r="W105" s="5" t="s">
        <v>7</v>
      </c>
      <c r="X105" s="4" t="s">
        <v>1051</v>
      </c>
      <c r="Y105" s="5" t="s">
        <v>7</v>
      </c>
      <c r="Z105" s="4" t="s">
        <v>1052</v>
      </c>
      <c r="AA105" s="5" t="s">
        <v>7</v>
      </c>
      <c r="AB10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443831082</v>
      </c>
      <c r="AC105" s="8" t="str">
        <f>IF(NOT(AND(ISNUMBER(VALUE(prodcom_data[[#This Row],[PRODQNT - EU27_2020 - 2019 - amount]])), ISNUMBER(VALUE(prodcom_data[[#This Row],[IMPQNT - EU27_2020 - 2019 - amount]])))), "secrets", "")</f>
        <v/>
      </c>
      <c r="AD10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399967718</v>
      </c>
      <c r="AE105" s="8" t="str">
        <f>IF(NOT(AND(ISNUMBER(VALUE(prodcom_data[[#This Row],[PRODQNT - EU27_2020 - 2022 - amount]])), ISNUMBER(VALUE(prodcom_data[[#This Row],[IMPQNT - EU27_2020 - 2022 - amount]])))), "secrets", "")</f>
        <v/>
      </c>
      <c r="AF105" s="7">
        <f>_xlfn.LET(_xlpm.production_amount, VALUE(prodcom_data[[#This Row],[PRODQNT - FR - 2019 - amount]]), IF(ISNUMBER(_xlpm.production_amount), _xlpm.production_amount, 0))+_xlfn.LET(_xlpm.import_amount, VALUE(prodcom_data[[#This Row],[IMPQNT - FR - 2019 - amount]]), IF(ISNUMBER(_xlpm.import_amount), _xlpm.import_amount, 0))</f>
        <v>46810200</v>
      </c>
      <c r="AG105" s="8" t="str">
        <f>IF(NOT(AND(ISNUMBER(VALUE(prodcom_data[[#This Row],[PRODQNT - FR - 2019 - amount]])), ISNUMBER(VALUE(prodcom_data[[#This Row],[IMPQNT - FR - 2019 - amount]])))), "secrets", "")</f>
        <v>secrets</v>
      </c>
      <c r="AH105" s="7">
        <f>_xlfn.LET(_xlpm.production_amount, VALUE(prodcom_data[[#This Row],[PRODQNT - FR - 2022 - amount]]), IF(ISNUMBER(_xlpm.production_amount), _xlpm.production_amount, 0))+_xlfn.LET(_xlpm.import_amount, VALUE(prodcom_data[[#This Row],[IMPQNT - FR - 2022 - amount]]), IF(ISNUMBER(_xlpm.import_amount), _xlpm.import_amount, 0))</f>
        <v>35752479</v>
      </c>
      <c r="AI105" s="8" t="str">
        <f>IF(NOT(AND(ISNUMBER(VALUE(prodcom_data[[#This Row],[PRODQNT - FR - 2022 - amount]])), ISNUMBER(VALUE(prodcom_data[[#This Row],[IMPQNT - FR - 2022 - amount]])))), "secrets", "")</f>
        <v>secrets</v>
      </c>
      <c r="AJ10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0.94288661816451902</v>
      </c>
      <c r="AK105" s="10" t="s">
        <v>2641</v>
      </c>
    </row>
    <row r="106" spans="1:37" hidden="1" x14ac:dyDescent="0.3">
      <c r="A106" s="4" t="s">
        <v>3</v>
      </c>
      <c r="B106" s="4" t="s">
        <v>202</v>
      </c>
      <c r="C106" s="4" t="s">
        <v>203</v>
      </c>
      <c r="D106" s="4" t="s">
        <v>204</v>
      </c>
      <c r="E106" s="5" t="s">
        <v>7</v>
      </c>
      <c r="F106" s="4" t="s">
        <v>1266</v>
      </c>
      <c r="G106" s="5" t="s">
        <v>7</v>
      </c>
      <c r="H106" s="4" t="s">
        <v>1267</v>
      </c>
      <c r="I106" s="5" t="s">
        <v>7</v>
      </c>
      <c r="J106" s="4" t="s">
        <v>110</v>
      </c>
      <c r="K106" s="5" t="s">
        <v>7</v>
      </c>
      <c r="L106" s="4" t="s">
        <v>1268</v>
      </c>
      <c r="M106" s="5" t="s">
        <v>7</v>
      </c>
      <c r="N106" s="4" t="s">
        <v>1269</v>
      </c>
      <c r="O106" s="5" t="s">
        <v>7</v>
      </c>
      <c r="P106" s="4" t="s">
        <v>2611</v>
      </c>
      <c r="Q106" s="5" t="s">
        <v>7</v>
      </c>
      <c r="R106" s="4" t="s">
        <v>1270</v>
      </c>
      <c r="S106" s="5" t="s">
        <v>7</v>
      </c>
      <c r="T106" s="4" t="s">
        <v>1271</v>
      </c>
      <c r="U106" s="5" t="s">
        <v>7</v>
      </c>
      <c r="V106" s="4" t="s">
        <v>2611</v>
      </c>
      <c r="W106" s="5" t="s">
        <v>7</v>
      </c>
      <c r="X106" s="4" t="s">
        <v>1272</v>
      </c>
      <c r="Y106" s="5" t="s">
        <v>7</v>
      </c>
      <c r="Z106" s="4" t="s">
        <v>1273</v>
      </c>
      <c r="AA106" s="5" t="s">
        <v>7</v>
      </c>
      <c r="AB10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499194006</v>
      </c>
      <c r="AC106" s="8" t="str">
        <f>IF(NOT(AND(ISNUMBER(VALUE(prodcom_data[[#This Row],[PRODQNT - EU27_2020 - 2019 - amount]])), ISNUMBER(VALUE(prodcom_data[[#This Row],[IMPQNT - EU27_2020 - 2019 - amount]])))), "secrets", "")</f>
        <v/>
      </c>
      <c r="AD10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396821167</v>
      </c>
      <c r="AE106" s="8" t="str">
        <f>IF(NOT(AND(ISNUMBER(VALUE(prodcom_data[[#This Row],[PRODQNT - EU27_2020 - 2022 - amount]])), ISNUMBER(VALUE(prodcom_data[[#This Row],[IMPQNT - EU27_2020 - 2022 - amount]])))), "secrets", "")</f>
        <v/>
      </c>
      <c r="AF106" s="7">
        <f>_xlfn.LET(_xlpm.production_amount, VALUE(prodcom_data[[#This Row],[PRODQNT - FR - 2019 - amount]]), IF(ISNUMBER(_xlpm.production_amount), _xlpm.production_amount, 0))+_xlfn.LET(_xlpm.import_amount, VALUE(prodcom_data[[#This Row],[IMPQNT - FR - 2019 - amount]]), IF(ISNUMBER(_xlpm.import_amount), _xlpm.import_amount, 0))</f>
        <v>26093500</v>
      </c>
      <c r="AG106" s="8" t="str">
        <f>IF(NOT(AND(ISNUMBER(VALUE(prodcom_data[[#This Row],[PRODQNT - FR - 2019 - amount]])), ISNUMBER(VALUE(prodcom_data[[#This Row],[IMPQNT - FR - 2019 - amount]])))), "secrets", "")</f>
        <v>secrets</v>
      </c>
      <c r="AH106" s="7">
        <f>_xlfn.LET(_xlpm.production_amount, VALUE(prodcom_data[[#This Row],[PRODQNT - FR - 2022 - amount]]), IF(ISNUMBER(_xlpm.production_amount), _xlpm.production_amount, 0))+_xlfn.LET(_xlpm.import_amount, VALUE(prodcom_data[[#This Row],[IMPQNT - FR - 2022 - amount]]), IF(ISNUMBER(_xlpm.import_amount), _xlpm.import_amount, 0))</f>
        <v>20171032</v>
      </c>
      <c r="AI106" s="8" t="str">
        <f>IF(NOT(AND(ISNUMBER(VALUE(prodcom_data[[#This Row],[PRODQNT - FR - 2022 - amount]])), ISNUMBER(VALUE(prodcom_data[[#This Row],[IMPQNT - FR - 2022 - amount]])))), "secrets", "")</f>
        <v>secrets</v>
      </c>
      <c r="AJ10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0.75600805841085594</v>
      </c>
      <c r="AK106" s="10" t="s">
        <v>2649</v>
      </c>
    </row>
    <row r="107" spans="1:37" hidden="1" x14ac:dyDescent="0.3">
      <c r="A107" s="4" t="s">
        <v>3</v>
      </c>
      <c r="B107" s="4" t="s">
        <v>192</v>
      </c>
      <c r="C107" s="4" t="s">
        <v>193</v>
      </c>
      <c r="D107" s="4" t="s">
        <v>194</v>
      </c>
      <c r="E107" s="5" t="s">
        <v>7</v>
      </c>
      <c r="F107" s="4" t="s">
        <v>1248</v>
      </c>
      <c r="G107" s="5" t="s">
        <v>7</v>
      </c>
      <c r="H107" s="4" t="s">
        <v>1249</v>
      </c>
      <c r="I107" s="5" t="s">
        <v>7</v>
      </c>
      <c r="J107" s="4" t="s">
        <v>110</v>
      </c>
      <c r="K107" s="5" t="s">
        <v>7</v>
      </c>
      <c r="L107" s="4" t="s">
        <v>1250</v>
      </c>
      <c r="M107" s="5" t="s">
        <v>7</v>
      </c>
      <c r="N107" s="4" t="s">
        <v>1251</v>
      </c>
      <c r="O107" s="5" t="s">
        <v>7</v>
      </c>
      <c r="P107" s="4" t="s">
        <v>1252</v>
      </c>
      <c r="Q107" s="5" t="s">
        <v>7</v>
      </c>
      <c r="R107" s="4" t="s">
        <v>1253</v>
      </c>
      <c r="S107" s="5" t="s">
        <v>7</v>
      </c>
      <c r="T107" s="4" t="s">
        <v>1254</v>
      </c>
      <c r="U107" s="5" t="s">
        <v>7</v>
      </c>
      <c r="V107" s="4" t="s">
        <v>2611</v>
      </c>
      <c r="W107" s="5" t="s">
        <v>7</v>
      </c>
      <c r="X107" s="4" t="s">
        <v>1255</v>
      </c>
      <c r="Y107" s="5" t="s">
        <v>7</v>
      </c>
      <c r="Z107" s="4" t="s">
        <v>1256</v>
      </c>
      <c r="AA107" s="5" t="s">
        <v>7</v>
      </c>
      <c r="AB10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472525902</v>
      </c>
      <c r="AC107" s="8" t="str">
        <f>IF(NOT(AND(ISNUMBER(VALUE(prodcom_data[[#This Row],[PRODQNT - EU27_2020 - 2019 - amount]])), ISNUMBER(VALUE(prodcom_data[[#This Row],[IMPQNT - EU27_2020 - 2019 - amount]])))), "secrets", "")</f>
        <v/>
      </c>
      <c r="AD10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392596307</v>
      </c>
      <c r="AE107" s="8" t="str">
        <f>IF(NOT(AND(ISNUMBER(VALUE(prodcom_data[[#This Row],[PRODQNT - EU27_2020 - 2022 - amount]])), ISNUMBER(VALUE(prodcom_data[[#This Row],[IMPQNT - EU27_2020 - 2022 - amount]])))), "secrets", "")</f>
        <v/>
      </c>
      <c r="AF107" s="7">
        <f>_xlfn.LET(_xlpm.production_amount, VALUE(prodcom_data[[#This Row],[PRODQNT - FR - 2019 - amount]]), IF(ISNUMBER(_xlpm.production_amount), _xlpm.production_amount, 0))+_xlfn.LET(_xlpm.import_amount, VALUE(prodcom_data[[#This Row],[IMPQNT - FR - 2019 - amount]]), IF(ISNUMBER(_xlpm.import_amount), _xlpm.import_amount, 0))</f>
        <v>24519904</v>
      </c>
      <c r="AG107" s="8" t="str">
        <f>IF(NOT(AND(ISNUMBER(VALUE(prodcom_data[[#This Row],[PRODQNT - FR - 2019 - amount]])), ISNUMBER(VALUE(prodcom_data[[#This Row],[IMPQNT - FR - 2019 - amount]])))), "secrets", "")</f>
        <v/>
      </c>
      <c r="AH107" s="7">
        <f>_xlfn.LET(_xlpm.production_amount, VALUE(prodcom_data[[#This Row],[PRODQNT - FR - 2022 - amount]]), IF(ISNUMBER(_xlpm.production_amount), _xlpm.production_amount, 0))+_xlfn.LET(_xlpm.import_amount, VALUE(prodcom_data[[#This Row],[IMPQNT - FR - 2022 - amount]]), IF(ISNUMBER(_xlpm.import_amount), _xlpm.import_amount, 0))</f>
        <v>27581581</v>
      </c>
      <c r="AI107" s="8" t="str">
        <f>IF(NOT(AND(ISNUMBER(VALUE(prodcom_data[[#This Row],[PRODQNT - FR - 2022 - amount]])), ISNUMBER(VALUE(prodcom_data[[#This Row],[IMPQNT - FR - 2022 - amount]])))), "secrets", "")</f>
        <v>secrets</v>
      </c>
      <c r="AJ10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0.76414371365953782</v>
      </c>
      <c r="AK107" s="10" t="s">
        <v>2641</v>
      </c>
    </row>
    <row r="108" spans="1:37" x14ac:dyDescent="0.3">
      <c r="A108" s="4" t="s">
        <v>3</v>
      </c>
      <c r="B108" s="4" t="s">
        <v>186</v>
      </c>
      <c r="C108" s="4" t="s">
        <v>187</v>
      </c>
      <c r="D108" s="4" t="s">
        <v>188</v>
      </c>
      <c r="E108" s="5" t="s">
        <v>7</v>
      </c>
      <c r="F108" s="4" t="s">
        <v>1229</v>
      </c>
      <c r="G108" s="5" t="s">
        <v>7</v>
      </c>
      <c r="H108" s="4" t="s">
        <v>1230</v>
      </c>
      <c r="I108" s="5" t="s">
        <v>7</v>
      </c>
      <c r="J108" s="4" t="s">
        <v>92</v>
      </c>
      <c r="K108" s="5" t="s">
        <v>7</v>
      </c>
      <c r="L108" s="4" t="s">
        <v>1231</v>
      </c>
      <c r="M108" s="5" t="s">
        <v>7</v>
      </c>
      <c r="N108" s="4" t="s">
        <v>1232</v>
      </c>
      <c r="O108" s="5" t="s">
        <v>7</v>
      </c>
      <c r="P108" s="4" t="s">
        <v>1233</v>
      </c>
      <c r="Q108" s="5" t="s">
        <v>7</v>
      </c>
      <c r="R108" s="4" t="s">
        <v>1234</v>
      </c>
      <c r="S108" s="5" t="s">
        <v>7</v>
      </c>
      <c r="T108" s="4" t="s">
        <v>1235</v>
      </c>
      <c r="U108" s="5" t="s">
        <v>7</v>
      </c>
      <c r="V108" s="4" t="s">
        <v>1236</v>
      </c>
      <c r="W108" s="5" t="s">
        <v>7</v>
      </c>
      <c r="X108" s="4" t="s">
        <v>1237</v>
      </c>
      <c r="Y108" s="5" t="s">
        <v>7</v>
      </c>
      <c r="Z108" s="4" t="s">
        <v>1238</v>
      </c>
      <c r="AA108" s="5" t="s">
        <v>7</v>
      </c>
      <c r="AB10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383703984</v>
      </c>
      <c r="AC108" s="8" t="str">
        <f>IF(NOT(AND(ISNUMBER(VALUE(prodcom_data[[#This Row],[PRODQNT - EU27_2020 - 2019 - amount]])), ISNUMBER(VALUE(prodcom_data[[#This Row],[IMPQNT - EU27_2020 - 2019 - amount]])))), "secrets", "")</f>
        <v/>
      </c>
      <c r="AD10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377601386</v>
      </c>
      <c r="AE108" s="8" t="str">
        <f>IF(NOT(AND(ISNUMBER(VALUE(prodcom_data[[#This Row],[PRODQNT - EU27_2020 - 2022 - amount]])), ISNUMBER(VALUE(prodcom_data[[#This Row],[IMPQNT - EU27_2020 - 2022 - amount]])))), "secrets", "")</f>
        <v/>
      </c>
      <c r="AF108" s="7">
        <f>_xlfn.LET(_xlpm.production_amount, VALUE(prodcom_data[[#This Row],[PRODQNT - FR - 2019 - amount]]), IF(ISNUMBER(_xlpm.production_amount), _xlpm.production_amount, 0))+_xlfn.LET(_xlpm.import_amount, VALUE(prodcom_data[[#This Row],[IMPQNT - FR - 2019 - amount]]), IF(ISNUMBER(_xlpm.import_amount), _xlpm.import_amount, 0))</f>
        <v>51183802</v>
      </c>
      <c r="AG108" s="8" t="str">
        <f>IF(NOT(AND(ISNUMBER(VALUE(prodcom_data[[#This Row],[PRODQNT - FR - 2019 - amount]])), ISNUMBER(VALUE(prodcom_data[[#This Row],[IMPQNT - FR - 2019 - amount]])))), "secrets", "")</f>
        <v/>
      </c>
      <c r="AH108" s="7">
        <f>_xlfn.LET(_xlpm.production_amount, VALUE(prodcom_data[[#This Row],[PRODQNT - FR - 2022 - amount]]), IF(ISNUMBER(_xlpm.production_amount), _xlpm.production_amount, 0))+_xlfn.LET(_xlpm.import_amount, VALUE(prodcom_data[[#This Row],[IMPQNT - FR - 2022 - amount]]), IF(ISNUMBER(_xlpm.import_amount), _xlpm.import_amount, 0))</f>
        <v>58074501</v>
      </c>
      <c r="AI108" s="8" t="str">
        <f>IF(NOT(AND(ISNUMBER(VALUE(prodcom_data[[#This Row],[PRODQNT - FR - 2022 - amount]])), ISNUMBER(VALUE(prodcom_data[[#This Row],[IMPQNT - FR - 2022 - amount]])))), "secrets", "")</f>
        <v/>
      </c>
      <c r="AJ10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0.11917329138193365</v>
      </c>
      <c r="AK108" s="10" t="s">
        <v>2642</v>
      </c>
    </row>
    <row r="109" spans="1:37" hidden="1" x14ac:dyDescent="0.3">
      <c r="A109" s="4" t="s">
        <v>3</v>
      </c>
      <c r="B109" s="4" t="s">
        <v>637</v>
      </c>
      <c r="C109" s="4" t="s">
        <v>638</v>
      </c>
      <c r="D109" s="4" t="s">
        <v>639</v>
      </c>
      <c r="E109" s="5" t="s">
        <v>7</v>
      </c>
      <c r="F109" s="4" t="s">
        <v>2494</v>
      </c>
      <c r="G109" s="5" t="s">
        <v>7</v>
      </c>
      <c r="H109" s="4" t="s">
        <v>2495</v>
      </c>
      <c r="I109" s="5" t="s">
        <v>7</v>
      </c>
      <c r="J109" s="4" t="s">
        <v>356</v>
      </c>
      <c r="K109" s="5" t="s">
        <v>7</v>
      </c>
      <c r="L109" s="4" t="s">
        <v>2496</v>
      </c>
      <c r="M109" s="5" t="s">
        <v>7</v>
      </c>
      <c r="N109" s="4" t="s">
        <v>2497</v>
      </c>
      <c r="O109" s="5" t="s">
        <v>7</v>
      </c>
      <c r="P109" s="4" t="s">
        <v>2498</v>
      </c>
      <c r="Q109" s="5" t="s">
        <v>7</v>
      </c>
      <c r="R109" s="4" t="s">
        <v>2499</v>
      </c>
      <c r="S109" s="5" t="s">
        <v>7</v>
      </c>
      <c r="T109" s="4" t="s">
        <v>2500</v>
      </c>
      <c r="U109" s="5" t="s">
        <v>7</v>
      </c>
      <c r="V109" s="4" t="s">
        <v>2611</v>
      </c>
      <c r="W109" s="5" t="s">
        <v>7</v>
      </c>
      <c r="X109" s="4" t="s">
        <v>2501</v>
      </c>
      <c r="Y109" s="5" t="s">
        <v>7</v>
      </c>
      <c r="Z109" s="4" t="s">
        <v>2502</v>
      </c>
      <c r="AA109" s="5" t="s">
        <v>7</v>
      </c>
      <c r="AB10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349540989</v>
      </c>
      <c r="AC109" s="8" t="str">
        <f>IF(NOT(AND(ISNUMBER(VALUE(prodcom_data[[#This Row],[PRODQNT - EU27_2020 - 2019 - amount]])), ISNUMBER(VALUE(prodcom_data[[#This Row],[IMPQNT - EU27_2020 - 2019 - amount]])))), "secrets", "")</f>
        <v/>
      </c>
      <c r="AD10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363469286</v>
      </c>
      <c r="AE109" s="8" t="str">
        <f>IF(NOT(AND(ISNUMBER(VALUE(prodcom_data[[#This Row],[PRODQNT - EU27_2020 - 2022 - amount]])), ISNUMBER(VALUE(prodcom_data[[#This Row],[IMPQNT - EU27_2020 - 2022 - amount]])))), "secrets", "")</f>
        <v/>
      </c>
      <c r="AF109" s="7">
        <f>_xlfn.LET(_xlpm.production_amount, VALUE(prodcom_data[[#This Row],[PRODQNT - FR - 2019 - amount]]), IF(ISNUMBER(_xlpm.production_amount), _xlpm.production_amount, 0))+_xlfn.LET(_xlpm.import_amount, VALUE(prodcom_data[[#This Row],[IMPQNT - FR - 2019 - amount]]), IF(ISNUMBER(_xlpm.import_amount), _xlpm.import_amount, 0))</f>
        <v>79825759</v>
      </c>
      <c r="AG109" s="8" t="str">
        <f>IF(NOT(AND(ISNUMBER(VALUE(prodcom_data[[#This Row],[PRODQNT - FR - 2019 - amount]])), ISNUMBER(VALUE(prodcom_data[[#This Row],[IMPQNT - FR - 2019 - amount]])))), "secrets", "")</f>
        <v/>
      </c>
      <c r="AH109" s="7">
        <f>_xlfn.LET(_xlpm.production_amount, VALUE(prodcom_data[[#This Row],[PRODQNT - FR - 2022 - amount]]), IF(ISNUMBER(_xlpm.production_amount), _xlpm.production_amount, 0))+_xlfn.LET(_xlpm.import_amount, VALUE(prodcom_data[[#This Row],[IMPQNT - FR - 2022 - amount]]), IF(ISNUMBER(_xlpm.import_amount), _xlpm.import_amount, 0))</f>
        <v>47226289</v>
      </c>
      <c r="AI109" s="8" t="str">
        <f>IF(NOT(AND(ISNUMBER(VALUE(prodcom_data[[#This Row],[PRODQNT - FR - 2022 - amount]])), ISNUMBER(VALUE(prodcom_data[[#This Row],[IMPQNT - FR - 2022 - amount]])))), "secrets", "")</f>
        <v>secrets</v>
      </c>
      <c r="AJ10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0.77035394952188618</v>
      </c>
      <c r="AK109" s="10" t="s">
        <v>2641</v>
      </c>
    </row>
    <row r="110" spans="1:37" hidden="1" x14ac:dyDescent="0.3">
      <c r="A110" s="4" t="s">
        <v>3</v>
      </c>
      <c r="B110" s="4" t="s">
        <v>396</v>
      </c>
      <c r="C110" s="4" t="s">
        <v>397</v>
      </c>
      <c r="D110" s="4" t="s">
        <v>398</v>
      </c>
      <c r="E110" s="5" t="s">
        <v>7</v>
      </c>
      <c r="F110" s="4" t="s">
        <v>2611</v>
      </c>
      <c r="G110" s="5" t="s">
        <v>7</v>
      </c>
      <c r="H110" s="4" t="s">
        <v>2611</v>
      </c>
      <c r="I110" s="5" t="s">
        <v>7</v>
      </c>
      <c r="J110" s="4" t="s">
        <v>128</v>
      </c>
      <c r="K110" s="5" t="s">
        <v>7</v>
      </c>
      <c r="L110" s="4" t="s">
        <v>2611</v>
      </c>
      <c r="M110" s="5" t="s">
        <v>7</v>
      </c>
      <c r="N110" s="4" t="s">
        <v>2611</v>
      </c>
      <c r="O110" s="5" t="s">
        <v>7</v>
      </c>
      <c r="P110" s="4" t="s">
        <v>1788</v>
      </c>
      <c r="Q110" s="5" t="s">
        <v>7</v>
      </c>
      <c r="R110" s="4" t="s">
        <v>2611</v>
      </c>
      <c r="S110" s="5" t="s">
        <v>7</v>
      </c>
      <c r="T110" s="4" t="s">
        <v>2611</v>
      </c>
      <c r="U110" s="5" t="s">
        <v>7</v>
      </c>
      <c r="V110" s="4" t="s">
        <v>2611</v>
      </c>
      <c r="W110" s="5" t="s">
        <v>7</v>
      </c>
      <c r="X110" s="4" t="s">
        <v>2611</v>
      </c>
      <c r="Y110" s="5" t="s">
        <v>7</v>
      </c>
      <c r="Z110" s="4" t="s">
        <v>2611</v>
      </c>
      <c r="AA110" s="5" t="s">
        <v>7</v>
      </c>
      <c r="AB11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210487418</v>
      </c>
      <c r="AC110" s="8" t="str">
        <f>IF(NOT(AND(ISNUMBER(VALUE(prodcom_data[[#This Row],[PRODQNT - EU27_2020 - 2019 - amount]])), ISNUMBER(VALUE(prodcom_data[[#This Row],[IMPQNT - EU27_2020 - 2019 - amount]])))), "secrets", "")</f>
        <v>secrets</v>
      </c>
      <c r="AD11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360000000</v>
      </c>
      <c r="AE110" s="8" t="str">
        <f>IF(NOT(AND(ISNUMBER(VALUE(prodcom_data[[#This Row],[PRODQNT - EU27_2020 - 2022 - amount]])), ISNUMBER(VALUE(prodcom_data[[#This Row],[IMPQNT - EU27_2020 - 2022 - amount]])))), "secrets", "")</f>
        <v>secrets</v>
      </c>
      <c r="AF110" s="7">
        <f>_xlfn.LET(_xlpm.production_amount, VALUE(prodcom_data[[#This Row],[PRODQNT - FR - 2019 - amount]]), IF(ISNUMBER(_xlpm.production_amount), _xlpm.production_amount, 0))+_xlfn.LET(_xlpm.import_amount, VALUE(prodcom_data[[#This Row],[IMPQNT - FR - 2019 - amount]]), IF(ISNUMBER(_xlpm.import_amount), _xlpm.import_amount, 0))</f>
        <v>11111436</v>
      </c>
      <c r="AG110" s="8" t="str">
        <f>IF(NOT(AND(ISNUMBER(VALUE(prodcom_data[[#This Row],[PRODQNT - FR - 2019 - amount]])), ISNUMBER(VALUE(prodcom_data[[#This Row],[IMPQNT - FR - 2019 - amount]])))), "secrets", "")</f>
        <v>secrets</v>
      </c>
      <c r="AH110"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110" s="8" t="str">
        <f>IF(NOT(AND(ISNUMBER(VALUE(prodcom_data[[#This Row],[PRODQNT - FR - 2022 - amount]])), ISNUMBER(VALUE(prodcom_data[[#This Row],[IMPQNT - FR - 2022 - amount]])))), "secrets", "")</f>
        <v>secrets</v>
      </c>
      <c r="AJ11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10" s="10" t="s">
        <v>2641</v>
      </c>
    </row>
    <row r="111" spans="1:37" hidden="1" x14ac:dyDescent="0.3">
      <c r="A111" s="4" t="s">
        <v>3</v>
      </c>
      <c r="B111" s="4" t="s">
        <v>625</v>
      </c>
      <c r="C111" s="4" t="s">
        <v>626</v>
      </c>
      <c r="D111" s="4" t="s">
        <v>627</v>
      </c>
      <c r="E111" s="5" t="s">
        <v>7</v>
      </c>
      <c r="F111" s="4" t="s">
        <v>2456</v>
      </c>
      <c r="G111" s="5" t="s">
        <v>7</v>
      </c>
      <c r="H111" s="4" t="s">
        <v>2457</v>
      </c>
      <c r="I111" s="5" t="s">
        <v>7</v>
      </c>
      <c r="J111" s="4" t="s">
        <v>2458</v>
      </c>
      <c r="K111" s="5" t="s">
        <v>7</v>
      </c>
      <c r="L111" s="4" t="s">
        <v>2459</v>
      </c>
      <c r="M111" s="5" t="s">
        <v>7</v>
      </c>
      <c r="N111" s="4" t="s">
        <v>2460</v>
      </c>
      <c r="O111" s="5" t="s">
        <v>7</v>
      </c>
      <c r="P111" s="4" t="s">
        <v>2611</v>
      </c>
      <c r="Q111" s="5" t="s">
        <v>7</v>
      </c>
      <c r="R111" s="4" t="s">
        <v>2461</v>
      </c>
      <c r="S111" s="5" t="s">
        <v>7</v>
      </c>
      <c r="T111" s="4" t="s">
        <v>2462</v>
      </c>
      <c r="U111" s="5" t="s">
        <v>7</v>
      </c>
      <c r="V111" s="4" t="s">
        <v>2611</v>
      </c>
      <c r="W111" s="5" t="s">
        <v>7</v>
      </c>
      <c r="X111" s="4" t="s">
        <v>2463</v>
      </c>
      <c r="Y111" s="5" t="s">
        <v>7</v>
      </c>
      <c r="Z111" s="4" t="s">
        <v>2464</v>
      </c>
      <c r="AA111" s="5" t="s">
        <v>7</v>
      </c>
      <c r="AB11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357435138</v>
      </c>
      <c r="AC111" s="8" t="str">
        <f>IF(NOT(AND(ISNUMBER(VALUE(prodcom_data[[#This Row],[PRODQNT - EU27_2020 - 2019 - amount]])), ISNUMBER(VALUE(prodcom_data[[#This Row],[IMPQNT - EU27_2020 - 2019 - amount]])))), "secrets", "")</f>
        <v/>
      </c>
      <c r="AD11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359903326</v>
      </c>
      <c r="AE111" s="8" t="str">
        <f>IF(NOT(AND(ISNUMBER(VALUE(prodcom_data[[#This Row],[PRODQNT - EU27_2020 - 2022 - amount]])), ISNUMBER(VALUE(prodcom_data[[#This Row],[IMPQNT - EU27_2020 - 2022 - amount]])))), "secrets", "")</f>
        <v/>
      </c>
      <c r="AF111" s="7">
        <f>_xlfn.LET(_xlpm.production_amount, VALUE(prodcom_data[[#This Row],[PRODQNT - FR - 2019 - amount]]), IF(ISNUMBER(_xlpm.production_amount), _xlpm.production_amount, 0))+_xlfn.LET(_xlpm.import_amount, VALUE(prodcom_data[[#This Row],[IMPQNT - FR - 2019 - amount]]), IF(ISNUMBER(_xlpm.import_amount), _xlpm.import_amount, 0))</f>
        <v>30761800</v>
      </c>
      <c r="AG111" s="8" t="str">
        <f>IF(NOT(AND(ISNUMBER(VALUE(prodcom_data[[#This Row],[PRODQNT - FR - 2019 - amount]])), ISNUMBER(VALUE(prodcom_data[[#This Row],[IMPQNT - FR - 2019 - amount]])))), "secrets", "")</f>
        <v>secrets</v>
      </c>
      <c r="AH111" s="7">
        <f>_xlfn.LET(_xlpm.production_amount, VALUE(prodcom_data[[#This Row],[PRODQNT - FR - 2022 - amount]]), IF(ISNUMBER(_xlpm.production_amount), _xlpm.production_amount, 0))+_xlfn.LET(_xlpm.import_amount, VALUE(prodcom_data[[#This Row],[IMPQNT - FR - 2022 - amount]]), IF(ISNUMBER(_xlpm.import_amount), _xlpm.import_amount, 0))</f>
        <v>29864487</v>
      </c>
      <c r="AI111" s="8" t="str">
        <f>IF(NOT(AND(ISNUMBER(VALUE(prodcom_data[[#This Row],[PRODQNT - FR - 2022 - amount]])), ISNUMBER(VALUE(prodcom_data[[#This Row],[IMPQNT - FR - 2022 - amount]])))), "secrets", "")</f>
        <v>secrets</v>
      </c>
      <c r="AJ11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0.46992455690726237</v>
      </c>
      <c r="AK111" s="10" t="s">
        <v>2641</v>
      </c>
    </row>
    <row r="112" spans="1:37" hidden="1" x14ac:dyDescent="0.3">
      <c r="A112" s="4" t="s">
        <v>3</v>
      </c>
      <c r="B112" s="4" t="s">
        <v>492</v>
      </c>
      <c r="C112" s="4" t="s">
        <v>493</v>
      </c>
      <c r="D112" s="4" t="s">
        <v>494</v>
      </c>
      <c r="E112" s="5" t="s">
        <v>7</v>
      </c>
      <c r="F112" s="4" t="s">
        <v>2046</v>
      </c>
      <c r="G112" s="5" t="s">
        <v>7</v>
      </c>
      <c r="H112" s="4" t="s">
        <v>2047</v>
      </c>
      <c r="I112" s="5" t="s">
        <v>7</v>
      </c>
      <c r="J112" s="4" t="s">
        <v>2048</v>
      </c>
      <c r="K112" s="5" t="s">
        <v>7</v>
      </c>
      <c r="L112" s="4" t="s">
        <v>2049</v>
      </c>
      <c r="M112" s="5" t="s">
        <v>7</v>
      </c>
      <c r="N112" s="4" t="s">
        <v>2050</v>
      </c>
      <c r="O112" s="5" t="s">
        <v>7</v>
      </c>
      <c r="P112" s="4" t="s">
        <v>2611</v>
      </c>
      <c r="Q112" s="5" t="s">
        <v>7</v>
      </c>
      <c r="R112" s="4" t="s">
        <v>2051</v>
      </c>
      <c r="S112" s="5" t="s">
        <v>7</v>
      </c>
      <c r="T112" s="4" t="s">
        <v>2052</v>
      </c>
      <c r="U112" s="5" t="s">
        <v>7</v>
      </c>
      <c r="V112" s="4" t="s">
        <v>2611</v>
      </c>
      <c r="W112" s="5" t="s">
        <v>7</v>
      </c>
      <c r="X112" s="4" t="s">
        <v>2053</v>
      </c>
      <c r="Y112" s="5" t="s">
        <v>7</v>
      </c>
      <c r="Z112" s="4" t="s">
        <v>2054</v>
      </c>
      <c r="AA112" s="5" t="s">
        <v>7</v>
      </c>
      <c r="AB11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337801205</v>
      </c>
      <c r="AC112" s="8" t="str">
        <f>IF(NOT(AND(ISNUMBER(VALUE(prodcom_data[[#This Row],[PRODQNT - EU27_2020 - 2019 - amount]])), ISNUMBER(VALUE(prodcom_data[[#This Row],[IMPQNT - EU27_2020 - 2019 - amount]])))), "secrets", "")</f>
        <v/>
      </c>
      <c r="AD11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359857018</v>
      </c>
      <c r="AE112" s="8" t="str">
        <f>IF(NOT(AND(ISNUMBER(VALUE(prodcom_data[[#This Row],[PRODQNT - EU27_2020 - 2022 - amount]])), ISNUMBER(VALUE(prodcom_data[[#This Row],[IMPQNT - EU27_2020 - 2022 - amount]])))), "secrets", "")</f>
        <v/>
      </c>
      <c r="AF112" s="7">
        <f>_xlfn.LET(_xlpm.production_amount, VALUE(prodcom_data[[#This Row],[PRODQNT - FR - 2019 - amount]]), IF(ISNUMBER(_xlpm.production_amount), _xlpm.production_amount, 0))+_xlfn.LET(_xlpm.import_amount, VALUE(prodcom_data[[#This Row],[IMPQNT - FR - 2019 - amount]]), IF(ISNUMBER(_xlpm.import_amount), _xlpm.import_amount, 0))</f>
        <v>24972500</v>
      </c>
      <c r="AG112" s="8" t="str">
        <f>IF(NOT(AND(ISNUMBER(VALUE(prodcom_data[[#This Row],[PRODQNT - FR - 2019 - amount]])), ISNUMBER(VALUE(prodcom_data[[#This Row],[IMPQNT - FR - 2019 - amount]])))), "secrets", "")</f>
        <v>secrets</v>
      </c>
      <c r="AH112" s="7">
        <f>_xlfn.LET(_xlpm.production_amount, VALUE(prodcom_data[[#This Row],[PRODQNT - FR - 2022 - amount]]), IF(ISNUMBER(_xlpm.production_amount), _xlpm.production_amount, 0))+_xlfn.LET(_xlpm.import_amount, VALUE(prodcom_data[[#This Row],[IMPQNT - FR - 2022 - amount]]), IF(ISNUMBER(_xlpm.import_amount), _xlpm.import_amount, 0))</f>
        <v>24423113</v>
      </c>
      <c r="AI112" s="8" t="str">
        <f>IF(NOT(AND(ISNUMBER(VALUE(prodcom_data[[#This Row],[PRODQNT - FR - 2022 - amount]])), ISNUMBER(VALUE(prodcom_data[[#This Row],[IMPQNT - FR - 2022 - amount]])))), "secrets", "")</f>
        <v>secrets</v>
      </c>
      <c r="AJ11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0.8661699742090343</v>
      </c>
      <c r="AK112" s="10" t="s">
        <v>2649</v>
      </c>
    </row>
    <row r="113" spans="1:37" hidden="1" x14ac:dyDescent="0.3">
      <c r="A113" s="4" t="s">
        <v>3</v>
      </c>
      <c r="B113" s="4" t="s">
        <v>217</v>
      </c>
      <c r="C113" s="4" t="s">
        <v>218</v>
      </c>
      <c r="D113" s="4" t="s">
        <v>219</v>
      </c>
      <c r="E113" s="5" t="s">
        <v>7</v>
      </c>
      <c r="F113" s="4" t="s">
        <v>1305</v>
      </c>
      <c r="G113" s="5" t="s">
        <v>7</v>
      </c>
      <c r="H113" s="4" t="s">
        <v>1306</v>
      </c>
      <c r="I113" s="5" t="s">
        <v>7</v>
      </c>
      <c r="J113" s="4" t="s">
        <v>268</v>
      </c>
      <c r="K113" s="5" t="s">
        <v>7</v>
      </c>
      <c r="L113" s="4" t="s">
        <v>1307</v>
      </c>
      <c r="M113" s="5" t="s">
        <v>7</v>
      </c>
      <c r="N113" s="4" t="s">
        <v>1308</v>
      </c>
      <c r="O113" s="5" t="s">
        <v>7</v>
      </c>
      <c r="P113" s="4" t="s">
        <v>703</v>
      </c>
      <c r="Q113" s="5" t="s">
        <v>703</v>
      </c>
      <c r="R113" s="4" t="s">
        <v>1309</v>
      </c>
      <c r="S113" s="5" t="s">
        <v>7</v>
      </c>
      <c r="T113" s="4" t="s">
        <v>1310</v>
      </c>
      <c r="U113" s="5" t="s">
        <v>7</v>
      </c>
      <c r="V113" s="4" t="s">
        <v>703</v>
      </c>
      <c r="W113" s="5" t="s">
        <v>703</v>
      </c>
      <c r="X113" s="4" t="s">
        <v>1311</v>
      </c>
      <c r="Y113" s="5" t="s">
        <v>7</v>
      </c>
      <c r="Z113" s="4" t="s">
        <v>1312</v>
      </c>
      <c r="AA113" s="5" t="s">
        <v>7</v>
      </c>
      <c r="AB11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503957303</v>
      </c>
      <c r="AC113" s="8" t="str">
        <f>IF(NOT(AND(ISNUMBER(VALUE(prodcom_data[[#This Row],[PRODQNT - EU27_2020 - 2019 - amount]])), ISNUMBER(VALUE(prodcom_data[[#This Row],[IMPQNT - EU27_2020 - 2019 - amount]])))), "secrets", "")</f>
        <v/>
      </c>
      <c r="AD11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359416147</v>
      </c>
      <c r="AE113" s="8" t="str">
        <f>IF(NOT(AND(ISNUMBER(VALUE(prodcom_data[[#This Row],[PRODQNT - EU27_2020 - 2022 - amount]])), ISNUMBER(VALUE(prodcom_data[[#This Row],[IMPQNT - EU27_2020 - 2022 - amount]])))), "secrets", "")</f>
        <v/>
      </c>
      <c r="AF113" s="7">
        <f>_xlfn.LET(_xlpm.production_amount, VALUE(prodcom_data[[#This Row],[PRODQNT - FR - 2019 - amount]]), IF(ISNUMBER(_xlpm.production_amount), _xlpm.production_amount, 0))+_xlfn.LET(_xlpm.import_amount, VALUE(prodcom_data[[#This Row],[IMPQNT - FR - 2019 - amount]]), IF(ISNUMBER(_xlpm.import_amount), _xlpm.import_amount, 0))</f>
        <v>46117000</v>
      </c>
      <c r="AG113" s="8" t="str">
        <f>IF(NOT(AND(ISNUMBER(VALUE(prodcom_data[[#This Row],[PRODQNT - FR - 2019 - amount]])), ISNUMBER(VALUE(prodcom_data[[#This Row],[IMPQNT - FR - 2019 - amount]])))), "secrets", "")</f>
        <v>secrets</v>
      </c>
      <c r="AH113" s="7">
        <f>_xlfn.LET(_xlpm.production_amount, VALUE(prodcom_data[[#This Row],[PRODQNT - FR - 2022 - amount]]), IF(ISNUMBER(_xlpm.production_amount), _xlpm.production_amount, 0))+_xlfn.LET(_xlpm.import_amount, VALUE(prodcom_data[[#This Row],[IMPQNT - FR - 2022 - amount]]), IF(ISNUMBER(_xlpm.import_amount), _xlpm.import_amount, 0))</f>
        <v>37468809</v>
      </c>
      <c r="AI113" s="8" t="str">
        <f>IF(NOT(AND(ISNUMBER(VALUE(prodcom_data[[#This Row],[PRODQNT - FR - 2022 - amount]])), ISNUMBER(VALUE(prodcom_data[[#This Row],[IMPQNT - FR - 2022 - amount]])))), "secrets", "")</f>
        <v>secrets</v>
      </c>
      <c r="AJ11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0.89033284305949667</v>
      </c>
      <c r="AK113" s="10" t="s">
        <v>2641</v>
      </c>
    </row>
    <row r="114" spans="1:37" hidden="1" x14ac:dyDescent="0.3">
      <c r="A114" s="4" t="s">
        <v>3</v>
      </c>
      <c r="B114" s="4" t="s">
        <v>566</v>
      </c>
      <c r="C114" s="4" t="s">
        <v>567</v>
      </c>
      <c r="D114" s="4" t="s">
        <v>568</v>
      </c>
      <c r="E114" s="5" t="s">
        <v>7</v>
      </c>
      <c r="F114" s="4" t="s">
        <v>2262</v>
      </c>
      <c r="G114" s="5" t="s">
        <v>7</v>
      </c>
      <c r="H114" s="4" t="s">
        <v>2263</v>
      </c>
      <c r="I114" s="5" t="s">
        <v>7</v>
      </c>
      <c r="J114" s="4" t="s">
        <v>2264</v>
      </c>
      <c r="K114" s="5" t="s">
        <v>7</v>
      </c>
      <c r="L114" s="4" t="s">
        <v>2265</v>
      </c>
      <c r="M114" s="5" t="s">
        <v>7</v>
      </c>
      <c r="N114" s="4" t="s">
        <v>2266</v>
      </c>
      <c r="O114" s="5" t="s">
        <v>7</v>
      </c>
      <c r="P114" s="4" t="s">
        <v>2611</v>
      </c>
      <c r="Q114" s="5" t="s">
        <v>7</v>
      </c>
      <c r="R114" s="4" t="s">
        <v>2267</v>
      </c>
      <c r="S114" s="5" t="s">
        <v>7</v>
      </c>
      <c r="T114" s="4" t="s">
        <v>2268</v>
      </c>
      <c r="U114" s="5" t="s">
        <v>7</v>
      </c>
      <c r="V114" s="4" t="s">
        <v>2611</v>
      </c>
      <c r="W114" s="5" t="s">
        <v>7</v>
      </c>
      <c r="X114" s="4" t="s">
        <v>2269</v>
      </c>
      <c r="Y114" s="5" t="s">
        <v>7</v>
      </c>
      <c r="Z114" s="4" t="s">
        <v>2270</v>
      </c>
      <c r="AA114" s="5" t="s">
        <v>7</v>
      </c>
      <c r="AB11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358789720</v>
      </c>
      <c r="AC114" s="8" t="str">
        <f>IF(NOT(AND(ISNUMBER(VALUE(prodcom_data[[#This Row],[PRODQNT - EU27_2020 - 2019 - amount]])), ISNUMBER(VALUE(prodcom_data[[#This Row],[IMPQNT - EU27_2020 - 2019 - amount]])))), "secrets", "")</f>
        <v/>
      </c>
      <c r="AD11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337879843</v>
      </c>
      <c r="AE114" s="8" t="str">
        <f>IF(NOT(AND(ISNUMBER(VALUE(prodcom_data[[#This Row],[PRODQNT - EU27_2020 - 2022 - amount]])), ISNUMBER(VALUE(prodcom_data[[#This Row],[IMPQNT - EU27_2020 - 2022 - amount]])))), "secrets", "")</f>
        <v/>
      </c>
      <c r="AF114" s="7">
        <f>_xlfn.LET(_xlpm.production_amount, VALUE(prodcom_data[[#This Row],[PRODQNT - FR - 2019 - amount]]), IF(ISNUMBER(_xlpm.production_amount), _xlpm.production_amount, 0))+_xlfn.LET(_xlpm.import_amount, VALUE(prodcom_data[[#This Row],[IMPQNT - FR - 2019 - amount]]), IF(ISNUMBER(_xlpm.import_amount), _xlpm.import_amount, 0))</f>
        <v>36307100</v>
      </c>
      <c r="AG114" s="8" t="str">
        <f>IF(NOT(AND(ISNUMBER(VALUE(prodcom_data[[#This Row],[PRODQNT - FR - 2019 - amount]])), ISNUMBER(VALUE(prodcom_data[[#This Row],[IMPQNT - FR - 2019 - amount]])))), "secrets", "")</f>
        <v>secrets</v>
      </c>
      <c r="AH114" s="7">
        <f>_xlfn.LET(_xlpm.production_amount, VALUE(prodcom_data[[#This Row],[PRODQNT - FR - 2022 - amount]]), IF(ISNUMBER(_xlpm.production_amount), _xlpm.production_amount, 0))+_xlfn.LET(_xlpm.import_amount, VALUE(prodcom_data[[#This Row],[IMPQNT - FR - 2022 - amount]]), IF(ISNUMBER(_xlpm.import_amount), _xlpm.import_amount, 0))</f>
        <v>53686760</v>
      </c>
      <c r="AI114" s="8" t="str">
        <f>IF(NOT(AND(ISNUMBER(VALUE(prodcom_data[[#This Row],[PRODQNT - FR - 2022 - amount]])), ISNUMBER(VALUE(prodcom_data[[#This Row],[IMPQNT - FR - 2022 - amount]])))), "secrets", "")</f>
        <v>secrets</v>
      </c>
      <c r="AJ11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0.82938000240517451</v>
      </c>
      <c r="AK114" s="10" t="s">
        <v>2641</v>
      </c>
    </row>
    <row r="115" spans="1:37" hidden="1" x14ac:dyDescent="0.3">
      <c r="A115" s="4" t="s">
        <v>3</v>
      </c>
      <c r="B115" s="4" t="s">
        <v>372</v>
      </c>
      <c r="C115" s="4" t="s">
        <v>373</v>
      </c>
      <c r="D115" s="4" t="s">
        <v>374</v>
      </c>
      <c r="E115" s="5" t="s">
        <v>7</v>
      </c>
      <c r="F115" s="4" t="s">
        <v>1727</v>
      </c>
      <c r="G115" s="5" t="s">
        <v>7</v>
      </c>
      <c r="H115" s="4" t="s">
        <v>1728</v>
      </c>
      <c r="I115" s="5" t="s">
        <v>7</v>
      </c>
      <c r="J115" s="4" t="s">
        <v>259</v>
      </c>
      <c r="K115" s="5" t="s">
        <v>7</v>
      </c>
      <c r="L115" s="4" t="s">
        <v>1729</v>
      </c>
      <c r="M115" s="5" t="s">
        <v>7</v>
      </c>
      <c r="N115" s="4" t="s">
        <v>1730</v>
      </c>
      <c r="O115" s="5" t="s">
        <v>7</v>
      </c>
      <c r="P115" s="4" t="s">
        <v>2611</v>
      </c>
      <c r="Q115" s="5" t="s">
        <v>7</v>
      </c>
      <c r="R115" s="4" t="s">
        <v>713</v>
      </c>
      <c r="S115" s="5" t="s">
        <v>7</v>
      </c>
      <c r="T115" s="4" t="s">
        <v>1731</v>
      </c>
      <c r="U115" s="5" t="s">
        <v>7</v>
      </c>
      <c r="V115" s="4" t="s">
        <v>2611</v>
      </c>
      <c r="W115" s="5" t="s">
        <v>7</v>
      </c>
      <c r="X115" s="4" t="s">
        <v>1732</v>
      </c>
      <c r="Y115" s="5" t="s">
        <v>7</v>
      </c>
      <c r="Z115" s="4" t="s">
        <v>1733</v>
      </c>
      <c r="AA115" s="5" t="s">
        <v>7</v>
      </c>
      <c r="AB11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378662991</v>
      </c>
      <c r="AC115" s="8" t="str">
        <f>IF(NOT(AND(ISNUMBER(VALUE(prodcom_data[[#This Row],[PRODQNT - EU27_2020 - 2019 - amount]])), ISNUMBER(VALUE(prodcom_data[[#This Row],[IMPQNT - EU27_2020 - 2019 - amount]])))), "secrets", "")</f>
        <v/>
      </c>
      <c r="AD11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334676650</v>
      </c>
      <c r="AE115" s="8" t="str">
        <f>IF(NOT(AND(ISNUMBER(VALUE(prodcom_data[[#This Row],[PRODQNT - EU27_2020 - 2022 - amount]])), ISNUMBER(VALUE(prodcom_data[[#This Row],[IMPQNT - EU27_2020 - 2022 - amount]])))), "secrets", "")</f>
        <v/>
      </c>
      <c r="AF115" s="7">
        <f>_xlfn.LET(_xlpm.production_amount, VALUE(prodcom_data[[#This Row],[PRODQNT - FR - 2019 - amount]]), IF(ISNUMBER(_xlpm.production_amount), _xlpm.production_amount, 0))+_xlfn.LET(_xlpm.import_amount, VALUE(prodcom_data[[#This Row],[IMPQNT - FR - 2019 - amount]]), IF(ISNUMBER(_xlpm.import_amount), _xlpm.import_amount, 0))</f>
        <v>10421900</v>
      </c>
      <c r="AG115" s="8" t="str">
        <f>IF(NOT(AND(ISNUMBER(VALUE(prodcom_data[[#This Row],[PRODQNT - FR - 2019 - amount]])), ISNUMBER(VALUE(prodcom_data[[#This Row],[IMPQNT - FR - 2019 - amount]])))), "secrets", "")</f>
        <v>secrets</v>
      </c>
      <c r="AH115" s="7">
        <f>_xlfn.LET(_xlpm.production_amount, VALUE(prodcom_data[[#This Row],[PRODQNT - FR - 2022 - amount]]), IF(ISNUMBER(_xlpm.production_amount), _xlpm.production_amount, 0))+_xlfn.LET(_xlpm.import_amount, VALUE(prodcom_data[[#This Row],[IMPQNT - FR - 2022 - amount]]), IF(ISNUMBER(_xlpm.import_amount), _xlpm.import_amount, 0))</f>
        <v>12442398</v>
      </c>
      <c r="AI115" s="8" t="str">
        <f>IF(NOT(AND(ISNUMBER(VALUE(prodcom_data[[#This Row],[PRODQNT - FR - 2022 - amount]])), ISNUMBER(VALUE(prodcom_data[[#This Row],[IMPQNT - FR - 2022 - amount]])))), "secrets", "")</f>
        <v>secrets</v>
      </c>
      <c r="AJ11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0.44819380139008802</v>
      </c>
      <c r="AK115" s="10" t="s">
        <v>2658</v>
      </c>
    </row>
    <row r="116" spans="1:37" x14ac:dyDescent="0.3">
      <c r="A116" s="4" t="s">
        <v>3</v>
      </c>
      <c r="B116" s="4" t="s">
        <v>581</v>
      </c>
      <c r="C116" s="4" t="s">
        <v>582</v>
      </c>
      <c r="D116" s="4" t="s">
        <v>583</v>
      </c>
      <c r="E116" s="5" t="s">
        <v>7</v>
      </c>
      <c r="F116" s="4" t="s">
        <v>2309</v>
      </c>
      <c r="G116" s="5" t="s">
        <v>7</v>
      </c>
      <c r="H116" s="4" t="s">
        <v>2310</v>
      </c>
      <c r="I116" s="5" t="s">
        <v>7</v>
      </c>
      <c r="J116" s="4" t="s">
        <v>2311</v>
      </c>
      <c r="K116" s="5" t="s">
        <v>7</v>
      </c>
      <c r="L116" s="4" t="s">
        <v>2312</v>
      </c>
      <c r="M116" s="5" t="s">
        <v>7</v>
      </c>
      <c r="N116" s="4" t="s">
        <v>2313</v>
      </c>
      <c r="O116" s="5" t="s">
        <v>7</v>
      </c>
      <c r="P116" s="4" t="s">
        <v>2314</v>
      </c>
      <c r="Q116" s="5" t="s">
        <v>7</v>
      </c>
      <c r="R116" s="4" t="s">
        <v>2315</v>
      </c>
      <c r="S116" s="5" t="s">
        <v>7</v>
      </c>
      <c r="T116" s="4" t="s">
        <v>2316</v>
      </c>
      <c r="U116" s="5" t="s">
        <v>7</v>
      </c>
      <c r="V116" s="4" t="s">
        <v>2611</v>
      </c>
      <c r="W116" s="5" t="s">
        <v>7</v>
      </c>
      <c r="X116" s="4" t="s">
        <v>2317</v>
      </c>
      <c r="Y116" s="5" t="s">
        <v>7</v>
      </c>
      <c r="Z116" s="4" t="s">
        <v>2318</v>
      </c>
      <c r="AA116" s="5" t="s">
        <v>7</v>
      </c>
      <c r="AB11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275890259</v>
      </c>
      <c r="AC116" s="8" t="str">
        <f>IF(NOT(AND(ISNUMBER(VALUE(prodcom_data[[#This Row],[PRODQNT - EU27_2020 - 2019 - amount]])), ISNUMBER(VALUE(prodcom_data[[#This Row],[IMPQNT - EU27_2020 - 2019 - amount]])))), "secrets", "")</f>
        <v/>
      </c>
      <c r="AD11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334412816</v>
      </c>
      <c r="AE116" s="8" t="str">
        <f>IF(NOT(AND(ISNUMBER(VALUE(prodcom_data[[#This Row],[PRODQNT - EU27_2020 - 2022 - amount]])), ISNUMBER(VALUE(prodcom_data[[#This Row],[IMPQNT - EU27_2020 - 2022 - amount]])))), "secrets", "")</f>
        <v/>
      </c>
      <c r="AF116" s="7">
        <f>_xlfn.LET(_xlpm.production_amount, VALUE(prodcom_data[[#This Row],[PRODQNT - FR - 2019 - amount]]), IF(ISNUMBER(_xlpm.production_amount), _xlpm.production_amount, 0))+_xlfn.LET(_xlpm.import_amount, VALUE(prodcom_data[[#This Row],[IMPQNT - FR - 2019 - amount]]), IF(ISNUMBER(_xlpm.import_amount), _xlpm.import_amount, 0))</f>
        <v>30079285</v>
      </c>
      <c r="AG116" s="8" t="str">
        <f>IF(NOT(AND(ISNUMBER(VALUE(prodcom_data[[#This Row],[PRODQNT - FR - 2019 - amount]])), ISNUMBER(VALUE(prodcom_data[[#This Row],[IMPQNT - FR - 2019 - amount]])))), "secrets", "")</f>
        <v/>
      </c>
      <c r="AH116" s="7">
        <f>_xlfn.LET(_xlpm.production_amount, VALUE(prodcom_data[[#This Row],[PRODQNT - FR - 2022 - amount]]), IF(ISNUMBER(_xlpm.production_amount), _xlpm.production_amount, 0))+_xlfn.LET(_xlpm.import_amount, VALUE(prodcom_data[[#This Row],[IMPQNT - FR - 2022 - amount]]), IF(ISNUMBER(_xlpm.import_amount), _xlpm.import_amount, 0))</f>
        <v>32742110</v>
      </c>
      <c r="AI116" s="8" t="str">
        <f>IF(NOT(AND(ISNUMBER(VALUE(prodcom_data[[#This Row],[PRODQNT - FR - 2022 - amount]])), ISNUMBER(VALUE(prodcom_data[[#This Row],[IMPQNT - FR - 2022 - amount]])))), "secrets", "")</f>
        <v>secrets</v>
      </c>
      <c r="AJ11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0.59226283959165005</v>
      </c>
      <c r="AK116" s="10" t="s">
        <v>2642</v>
      </c>
    </row>
    <row r="117" spans="1:37" hidden="1" x14ac:dyDescent="0.3">
      <c r="A117" s="4" t="s">
        <v>3</v>
      </c>
      <c r="B117" s="4" t="s">
        <v>172</v>
      </c>
      <c r="C117" s="4" t="s">
        <v>173</v>
      </c>
      <c r="D117" s="4" t="s">
        <v>63</v>
      </c>
      <c r="E117" s="5" t="s">
        <v>7</v>
      </c>
      <c r="F117" s="4" t="s">
        <v>1186</v>
      </c>
      <c r="G117" s="5" t="s">
        <v>7</v>
      </c>
      <c r="H117" s="4" t="s">
        <v>1187</v>
      </c>
      <c r="I117" s="5" t="s">
        <v>7</v>
      </c>
      <c r="J117" s="4" t="s">
        <v>512</v>
      </c>
      <c r="K117" s="5" t="s">
        <v>7</v>
      </c>
      <c r="L117" s="4" t="s">
        <v>1188</v>
      </c>
      <c r="M117" s="5" t="s">
        <v>7</v>
      </c>
      <c r="N117" s="4" t="s">
        <v>1189</v>
      </c>
      <c r="O117" s="5" t="s">
        <v>7</v>
      </c>
      <c r="P117" s="4" t="s">
        <v>2611</v>
      </c>
      <c r="Q117" s="5" t="s">
        <v>7</v>
      </c>
      <c r="R117" s="4" t="s">
        <v>1190</v>
      </c>
      <c r="S117" s="5" t="s">
        <v>7</v>
      </c>
      <c r="T117" s="4" t="s">
        <v>1191</v>
      </c>
      <c r="U117" s="5" t="s">
        <v>7</v>
      </c>
      <c r="V117" s="4" t="s">
        <v>2611</v>
      </c>
      <c r="W117" s="5" t="s">
        <v>7</v>
      </c>
      <c r="X117" s="4" t="s">
        <v>1192</v>
      </c>
      <c r="Y117" s="5" t="s">
        <v>7</v>
      </c>
      <c r="Z117" s="4" t="s">
        <v>1193</v>
      </c>
      <c r="AA117" s="5" t="s">
        <v>7</v>
      </c>
      <c r="AB11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302022573</v>
      </c>
      <c r="AC117" s="8" t="str">
        <f>IF(NOT(AND(ISNUMBER(VALUE(prodcom_data[[#This Row],[PRODQNT - EU27_2020 - 2019 - amount]])), ISNUMBER(VALUE(prodcom_data[[#This Row],[IMPQNT - EU27_2020 - 2019 - amount]])))), "secrets", "")</f>
        <v/>
      </c>
      <c r="AD11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331307073</v>
      </c>
      <c r="AE117" s="8" t="str">
        <f>IF(NOT(AND(ISNUMBER(VALUE(prodcom_data[[#This Row],[PRODQNT - EU27_2020 - 2022 - amount]])), ISNUMBER(VALUE(prodcom_data[[#This Row],[IMPQNT - EU27_2020 - 2022 - amount]])))), "secrets", "")</f>
        <v/>
      </c>
      <c r="AF117" s="7">
        <f>_xlfn.LET(_xlpm.production_amount, VALUE(prodcom_data[[#This Row],[PRODQNT - FR - 2019 - amount]]), IF(ISNUMBER(_xlpm.production_amount), _xlpm.production_amount, 0))+_xlfn.LET(_xlpm.import_amount, VALUE(prodcom_data[[#This Row],[IMPQNT - FR - 2019 - amount]]), IF(ISNUMBER(_xlpm.import_amount), _xlpm.import_amount, 0))</f>
        <v>14141600</v>
      </c>
      <c r="AG117" s="8" t="str">
        <f>IF(NOT(AND(ISNUMBER(VALUE(prodcom_data[[#This Row],[PRODQNT - FR - 2019 - amount]])), ISNUMBER(VALUE(prodcom_data[[#This Row],[IMPQNT - FR - 2019 - amount]])))), "secrets", "")</f>
        <v>secrets</v>
      </c>
      <c r="AH117" s="7">
        <f>_xlfn.LET(_xlpm.production_amount, VALUE(prodcom_data[[#This Row],[PRODQNT - FR - 2022 - amount]]), IF(ISNUMBER(_xlpm.production_amount), _xlpm.production_amount, 0))+_xlfn.LET(_xlpm.import_amount, VALUE(prodcom_data[[#This Row],[IMPQNT - FR - 2022 - amount]]), IF(ISNUMBER(_xlpm.import_amount), _xlpm.import_amount, 0))</f>
        <v>13939303</v>
      </c>
      <c r="AI117" s="8" t="str">
        <f>IF(NOT(AND(ISNUMBER(VALUE(prodcom_data[[#This Row],[PRODQNT - FR - 2022 - amount]])), ISNUMBER(VALUE(prodcom_data[[#This Row],[IMPQNT - FR - 2022 - amount]])))), "secrets", "")</f>
        <v>secrets</v>
      </c>
      <c r="AJ11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0.72440349017239358</v>
      </c>
      <c r="AK117" s="10" t="s">
        <v>2649</v>
      </c>
    </row>
    <row r="118" spans="1:37" x14ac:dyDescent="0.3">
      <c r="A118" s="4" t="s">
        <v>3</v>
      </c>
      <c r="B118" s="4" t="s">
        <v>459</v>
      </c>
      <c r="C118" s="4" t="s">
        <v>460</v>
      </c>
      <c r="D118" s="4" t="s">
        <v>461</v>
      </c>
      <c r="E118" s="5" t="s">
        <v>7</v>
      </c>
      <c r="F118" s="4" t="s">
        <v>1956</v>
      </c>
      <c r="G118" s="5" t="s">
        <v>7</v>
      </c>
      <c r="H118" s="4" t="s">
        <v>1957</v>
      </c>
      <c r="I118" s="5" t="s">
        <v>7</v>
      </c>
      <c r="J118" s="4" t="s">
        <v>908</v>
      </c>
      <c r="K118" s="5" t="s">
        <v>7</v>
      </c>
      <c r="L118" s="4" t="s">
        <v>1958</v>
      </c>
      <c r="M118" s="5" t="s">
        <v>7</v>
      </c>
      <c r="N118" s="4" t="s">
        <v>1959</v>
      </c>
      <c r="O118" s="5" t="s">
        <v>7</v>
      </c>
      <c r="P118" s="4" t="s">
        <v>713</v>
      </c>
      <c r="Q118" s="5" t="s">
        <v>7</v>
      </c>
      <c r="R118" s="4" t="s">
        <v>713</v>
      </c>
      <c r="S118" s="5" t="s">
        <v>7</v>
      </c>
      <c r="T118" s="4" t="s">
        <v>1960</v>
      </c>
      <c r="U118" s="5" t="s">
        <v>7</v>
      </c>
      <c r="V118" s="4" t="s">
        <v>713</v>
      </c>
      <c r="W118" s="5" t="s">
        <v>7</v>
      </c>
      <c r="X118" s="4" t="s">
        <v>1961</v>
      </c>
      <c r="Y118" s="5" t="s">
        <v>7</v>
      </c>
      <c r="Z118" s="4" t="s">
        <v>1962</v>
      </c>
      <c r="AA118" s="5" t="s">
        <v>7</v>
      </c>
      <c r="AB11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378364331</v>
      </c>
      <c r="AC118" s="8" t="str">
        <f>IF(NOT(AND(ISNUMBER(VALUE(prodcom_data[[#This Row],[PRODQNT - EU27_2020 - 2019 - amount]])), ISNUMBER(VALUE(prodcom_data[[#This Row],[IMPQNT - EU27_2020 - 2019 - amount]])))), "secrets", "")</f>
        <v/>
      </c>
      <c r="AD11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321846701</v>
      </c>
      <c r="AE118" s="8" t="str">
        <f>IF(NOT(AND(ISNUMBER(VALUE(prodcom_data[[#This Row],[PRODQNT - EU27_2020 - 2022 - amount]])), ISNUMBER(VALUE(prodcom_data[[#This Row],[IMPQNT - EU27_2020 - 2022 - amount]])))), "secrets", "")</f>
        <v/>
      </c>
      <c r="AF118" s="7">
        <f>_xlfn.LET(_xlpm.production_amount, VALUE(prodcom_data[[#This Row],[PRODQNT - FR - 2019 - amount]]), IF(ISNUMBER(_xlpm.production_amount), _xlpm.production_amount, 0))+_xlfn.LET(_xlpm.import_amount, VALUE(prodcom_data[[#This Row],[IMPQNT - FR - 2019 - amount]]), IF(ISNUMBER(_xlpm.import_amount), _xlpm.import_amount, 0))</f>
        <v>15551800</v>
      </c>
      <c r="AG118" s="8" t="str">
        <f>IF(NOT(AND(ISNUMBER(VALUE(prodcom_data[[#This Row],[PRODQNT - FR - 2019 - amount]])), ISNUMBER(VALUE(prodcom_data[[#This Row],[IMPQNT - FR - 2019 - amount]])))), "secrets", "")</f>
        <v/>
      </c>
      <c r="AH118" s="7">
        <f>_xlfn.LET(_xlpm.production_amount, VALUE(prodcom_data[[#This Row],[PRODQNT - FR - 2022 - amount]]), IF(ISNUMBER(_xlpm.production_amount), _xlpm.production_amount, 0))+_xlfn.LET(_xlpm.import_amount, VALUE(prodcom_data[[#This Row],[IMPQNT - FR - 2022 - amount]]), IF(ISNUMBER(_xlpm.import_amount), _xlpm.import_amount, 0))</f>
        <v>13359094</v>
      </c>
      <c r="AI118" s="8" t="str">
        <f>IF(NOT(AND(ISNUMBER(VALUE(prodcom_data[[#This Row],[PRODQNT - FR - 2022 - amount]])), ISNUMBER(VALUE(prodcom_data[[#This Row],[IMPQNT - FR - 2022 - amount]])))), "secrets", "")</f>
        <v/>
      </c>
      <c r="AJ11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0.18642415725740188</v>
      </c>
      <c r="AK118" s="10" t="s">
        <v>2642</v>
      </c>
    </row>
    <row r="119" spans="1:37" hidden="1" x14ac:dyDescent="0.3">
      <c r="A119" s="4" t="s">
        <v>3</v>
      </c>
      <c r="B119" s="4" t="s">
        <v>313</v>
      </c>
      <c r="C119" s="4" t="s">
        <v>314</v>
      </c>
      <c r="D119" s="4" t="s">
        <v>315</v>
      </c>
      <c r="E119" s="5" t="s">
        <v>7</v>
      </c>
      <c r="F119" s="4" t="s">
        <v>1554</v>
      </c>
      <c r="G119" s="5" t="s">
        <v>7</v>
      </c>
      <c r="H119" s="4" t="s">
        <v>1555</v>
      </c>
      <c r="I119" s="5" t="s">
        <v>7</v>
      </c>
      <c r="J119" s="4" t="s">
        <v>512</v>
      </c>
      <c r="K119" s="5" t="s">
        <v>7</v>
      </c>
      <c r="L119" s="4" t="s">
        <v>1556</v>
      </c>
      <c r="M119" s="5" t="s">
        <v>7</v>
      </c>
      <c r="N119" s="4" t="s">
        <v>1557</v>
      </c>
      <c r="O119" s="5" t="s">
        <v>7</v>
      </c>
      <c r="P119" s="4" t="s">
        <v>1558</v>
      </c>
      <c r="Q119" s="5" t="s">
        <v>7</v>
      </c>
      <c r="R119" s="4" t="s">
        <v>1559</v>
      </c>
      <c r="S119" s="5" t="s">
        <v>7</v>
      </c>
      <c r="T119" s="4" t="s">
        <v>1560</v>
      </c>
      <c r="U119" s="5" t="s">
        <v>7</v>
      </c>
      <c r="V119" s="4" t="s">
        <v>2611</v>
      </c>
      <c r="W119" s="5" t="s">
        <v>7</v>
      </c>
      <c r="X119" s="4" t="s">
        <v>1561</v>
      </c>
      <c r="Y119" s="5" t="s">
        <v>7</v>
      </c>
      <c r="Z119" s="4" t="s">
        <v>1562</v>
      </c>
      <c r="AA119" s="5" t="s">
        <v>7</v>
      </c>
      <c r="AB11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325875142</v>
      </c>
      <c r="AC119" s="8" t="str">
        <f>IF(NOT(AND(ISNUMBER(VALUE(prodcom_data[[#This Row],[PRODQNT - EU27_2020 - 2019 - amount]])), ISNUMBER(VALUE(prodcom_data[[#This Row],[IMPQNT - EU27_2020 - 2019 - amount]])))), "secrets", "")</f>
        <v/>
      </c>
      <c r="AD11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321759935</v>
      </c>
      <c r="AE119" s="8" t="str">
        <f>IF(NOT(AND(ISNUMBER(VALUE(prodcom_data[[#This Row],[PRODQNT - EU27_2020 - 2022 - amount]])), ISNUMBER(VALUE(prodcom_data[[#This Row],[IMPQNT - EU27_2020 - 2022 - amount]])))), "secrets", "")</f>
        <v/>
      </c>
      <c r="AF119" s="7">
        <f>_xlfn.LET(_xlpm.production_amount, VALUE(prodcom_data[[#This Row],[PRODQNT - FR - 2019 - amount]]), IF(ISNUMBER(_xlpm.production_amount), _xlpm.production_amount, 0))+_xlfn.LET(_xlpm.import_amount, VALUE(prodcom_data[[#This Row],[IMPQNT - FR - 2019 - amount]]), IF(ISNUMBER(_xlpm.import_amount), _xlpm.import_amount, 0))</f>
        <v>91001691</v>
      </c>
      <c r="AG119" s="8" t="str">
        <f>IF(NOT(AND(ISNUMBER(VALUE(prodcom_data[[#This Row],[PRODQNT - FR - 2019 - amount]])), ISNUMBER(VALUE(prodcom_data[[#This Row],[IMPQNT - FR - 2019 - amount]])))), "secrets", "")</f>
        <v/>
      </c>
      <c r="AH119" s="7">
        <f>_xlfn.LET(_xlpm.production_amount, VALUE(prodcom_data[[#This Row],[PRODQNT - FR - 2022 - amount]]), IF(ISNUMBER(_xlpm.production_amount), _xlpm.production_amount, 0))+_xlfn.LET(_xlpm.import_amount, VALUE(prodcom_data[[#This Row],[IMPQNT - FR - 2022 - amount]]), IF(ISNUMBER(_xlpm.import_amount), _xlpm.import_amount, 0))</f>
        <v>53673759</v>
      </c>
      <c r="AI119" s="8" t="str">
        <f>IF(NOT(AND(ISNUMBER(VALUE(prodcom_data[[#This Row],[PRODQNT - FR - 2022 - amount]])), ISNUMBER(VALUE(prodcom_data[[#This Row],[IMPQNT - FR - 2022 - amount]])))), "secrets", "")</f>
        <v>secrets</v>
      </c>
      <c r="AJ11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0.74589771408301653</v>
      </c>
      <c r="AK119" s="10" t="s">
        <v>2641</v>
      </c>
    </row>
    <row r="120" spans="1:37" x14ac:dyDescent="0.3">
      <c r="A120" s="4" t="s">
        <v>3</v>
      </c>
      <c r="B120" s="4" t="s">
        <v>226</v>
      </c>
      <c r="C120" s="4" t="s">
        <v>227</v>
      </c>
      <c r="D120" s="4" t="s">
        <v>228</v>
      </c>
      <c r="E120" s="5" t="s">
        <v>7</v>
      </c>
      <c r="F120" s="4" t="s">
        <v>1327</v>
      </c>
      <c r="G120" s="5" t="s">
        <v>7</v>
      </c>
      <c r="H120" s="4" t="s">
        <v>1328</v>
      </c>
      <c r="I120" s="5" t="s">
        <v>7</v>
      </c>
      <c r="J120" s="4" t="s">
        <v>1329</v>
      </c>
      <c r="K120" s="5" t="s">
        <v>7</v>
      </c>
      <c r="L120" s="4" t="s">
        <v>1330</v>
      </c>
      <c r="M120" s="5" t="s">
        <v>7</v>
      </c>
      <c r="N120" s="4" t="s">
        <v>1331</v>
      </c>
      <c r="O120" s="5" t="s">
        <v>7</v>
      </c>
      <c r="P120" s="4" t="s">
        <v>2611</v>
      </c>
      <c r="Q120" s="5" t="s">
        <v>7</v>
      </c>
      <c r="R120" s="4" t="s">
        <v>713</v>
      </c>
      <c r="S120" s="5" t="s">
        <v>7</v>
      </c>
      <c r="T120" s="4" t="s">
        <v>1332</v>
      </c>
      <c r="U120" s="5" t="s">
        <v>7</v>
      </c>
      <c r="V120" s="4" t="s">
        <v>2611</v>
      </c>
      <c r="W120" s="5" t="s">
        <v>7</v>
      </c>
      <c r="X120" s="4" t="s">
        <v>1333</v>
      </c>
      <c r="Y120" s="5" t="s">
        <v>7</v>
      </c>
      <c r="Z120" s="4" t="s">
        <v>1334</v>
      </c>
      <c r="AA120" s="5" t="s">
        <v>7</v>
      </c>
      <c r="AB12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452919443</v>
      </c>
      <c r="AC120" s="8" t="str">
        <f>IF(NOT(AND(ISNUMBER(VALUE(prodcom_data[[#This Row],[PRODQNT - EU27_2020 - 2019 - amount]])), ISNUMBER(VALUE(prodcom_data[[#This Row],[IMPQNT - EU27_2020 - 2019 - amount]])))), "secrets", "")</f>
        <v/>
      </c>
      <c r="AD12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321638245</v>
      </c>
      <c r="AE120" s="8" t="str">
        <f>IF(NOT(AND(ISNUMBER(VALUE(prodcom_data[[#This Row],[PRODQNT - EU27_2020 - 2022 - amount]])), ISNUMBER(VALUE(prodcom_data[[#This Row],[IMPQNT - EU27_2020 - 2022 - amount]])))), "secrets", "")</f>
        <v/>
      </c>
      <c r="AF120" s="7">
        <f>_xlfn.LET(_xlpm.production_amount, VALUE(prodcom_data[[#This Row],[PRODQNT - FR - 2019 - amount]]), IF(ISNUMBER(_xlpm.production_amount), _xlpm.production_amount, 0))+_xlfn.LET(_xlpm.import_amount, VALUE(prodcom_data[[#This Row],[IMPQNT - FR - 2019 - amount]]), IF(ISNUMBER(_xlpm.import_amount), _xlpm.import_amount, 0))</f>
        <v>59493900</v>
      </c>
      <c r="AG120" s="8" t="str">
        <f>IF(NOT(AND(ISNUMBER(VALUE(prodcom_data[[#This Row],[PRODQNT - FR - 2019 - amount]])), ISNUMBER(VALUE(prodcom_data[[#This Row],[IMPQNT - FR - 2019 - amount]])))), "secrets", "")</f>
        <v>secrets</v>
      </c>
      <c r="AH120" s="7">
        <f>_xlfn.LET(_xlpm.production_amount, VALUE(prodcom_data[[#This Row],[PRODQNT - FR - 2022 - amount]]), IF(ISNUMBER(_xlpm.production_amount), _xlpm.production_amount, 0))+_xlfn.LET(_xlpm.import_amount, VALUE(prodcom_data[[#This Row],[IMPQNT - FR - 2022 - amount]]), IF(ISNUMBER(_xlpm.import_amount), _xlpm.import_amount, 0))</f>
        <v>53797782</v>
      </c>
      <c r="AI120" s="8" t="str">
        <f>IF(NOT(AND(ISNUMBER(VALUE(prodcom_data[[#This Row],[PRODQNT - FR - 2022 - amount]])), ISNUMBER(VALUE(prodcom_data[[#This Row],[IMPQNT - FR - 2022 - amount]])))), "secrets", "")</f>
        <v>secrets</v>
      </c>
      <c r="AJ12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0.27981747008972768</v>
      </c>
      <c r="AK120" s="10" t="s">
        <v>2642</v>
      </c>
    </row>
    <row r="121" spans="1:37" x14ac:dyDescent="0.3">
      <c r="A121" s="4" t="s">
        <v>3</v>
      </c>
      <c r="B121" s="4" t="s">
        <v>40</v>
      </c>
      <c r="C121" s="4" t="s">
        <v>41</v>
      </c>
      <c r="D121" s="4" t="s">
        <v>42</v>
      </c>
      <c r="E121" s="5" t="s">
        <v>7</v>
      </c>
      <c r="F121" s="4" t="s">
        <v>806</v>
      </c>
      <c r="G121" s="5" t="s">
        <v>7</v>
      </c>
      <c r="H121" s="4" t="s">
        <v>807</v>
      </c>
      <c r="I121" s="5" t="s">
        <v>7</v>
      </c>
      <c r="J121" s="4" t="s">
        <v>808</v>
      </c>
      <c r="K121" s="5" t="s">
        <v>7</v>
      </c>
      <c r="L121" s="4" t="s">
        <v>809</v>
      </c>
      <c r="M121" s="5" t="s">
        <v>7</v>
      </c>
      <c r="N121" s="4" t="s">
        <v>810</v>
      </c>
      <c r="O121" s="5" t="s">
        <v>7</v>
      </c>
      <c r="P121" s="4" t="s">
        <v>2611</v>
      </c>
      <c r="Q121" s="5" t="s">
        <v>7</v>
      </c>
      <c r="R121" s="4" t="s">
        <v>713</v>
      </c>
      <c r="S121" s="5" t="s">
        <v>7</v>
      </c>
      <c r="T121" s="4" t="s">
        <v>811</v>
      </c>
      <c r="U121" s="5" t="s">
        <v>7</v>
      </c>
      <c r="V121" s="4" t="s">
        <v>2611</v>
      </c>
      <c r="W121" s="5" t="s">
        <v>7</v>
      </c>
      <c r="X121" s="4" t="s">
        <v>812</v>
      </c>
      <c r="Y121" s="5" t="s">
        <v>7</v>
      </c>
      <c r="Z121" s="4" t="s">
        <v>813</v>
      </c>
      <c r="AA121" s="5" t="s">
        <v>7</v>
      </c>
      <c r="AB12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343130144</v>
      </c>
      <c r="AC121" s="8" t="str">
        <f>IF(NOT(AND(ISNUMBER(VALUE(prodcom_data[[#This Row],[PRODQNT - EU27_2020 - 2019 - amount]])), ISNUMBER(VALUE(prodcom_data[[#This Row],[IMPQNT - EU27_2020 - 2019 - amount]])))), "secrets", "")</f>
        <v/>
      </c>
      <c r="AD12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318208407</v>
      </c>
      <c r="AE121" s="8" t="str">
        <f>IF(NOT(AND(ISNUMBER(VALUE(prodcom_data[[#This Row],[PRODQNT - EU27_2020 - 2022 - amount]])), ISNUMBER(VALUE(prodcom_data[[#This Row],[IMPQNT - EU27_2020 - 2022 - amount]])))), "secrets", "")</f>
        <v/>
      </c>
      <c r="AF121" s="7">
        <f>_xlfn.LET(_xlpm.production_amount, VALUE(prodcom_data[[#This Row],[PRODQNT - FR - 2019 - amount]]), IF(ISNUMBER(_xlpm.production_amount), _xlpm.production_amount, 0))+_xlfn.LET(_xlpm.import_amount, VALUE(prodcom_data[[#This Row],[IMPQNT - FR - 2019 - amount]]), IF(ISNUMBER(_xlpm.import_amount), _xlpm.import_amount, 0))</f>
        <v>3326900</v>
      </c>
      <c r="AG121" s="8" t="str">
        <f>IF(NOT(AND(ISNUMBER(VALUE(prodcom_data[[#This Row],[PRODQNT - FR - 2019 - amount]])), ISNUMBER(VALUE(prodcom_data[[#This Row],[IMPQNT - FR - 2019 - amount]])))), "secrets", "")</f>
        <v>secrets</v>
      </c>
      <c r="AH121" s="7">
        <f>_xlfn.LET(_xlpm.production_amount, VALUE(prodcom_data[[#This Row],[PRODQNT - FR - 2022 - amount]]), IF(ISNUMBER(_xlpm.production_amount), _xlpm.production_amount, 0))+_xlfn.LET(_xlpm.import_amount, VALUE(prodcom_data[[#This Row],[IMPQNT - FR - 2022 - amount]]), IF(ISNUMBER(_xlpm.import_amount), _xlpm.import_amount, 0))</f>
        <v>474498</v>
      </c>
      <c r="AI121" s="8" t="str">
        <f>IF(NOT(AND(ISNUMBER(VALUE(prodcom_data[[#This Row],[PRODQNT - FR - 2022 - amount]])), ISNUMBER(VALUE(prodcom_data[[#This Row],[IMPQNT - FR - 2022 - amount]])))), "secrets", "")</f>
        <v>secrets</v>
      </c>
      <c r="AJ12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0.44804616680036363</v>
      </c>
      <c r="AK121" s="10" t="s">
        <v>2642</v>
      </c>
    </row>
    <row r="122" spans="1:37" hidden="1" x14ac:dyDescent="0.3">
      <c r="A122" s="4" t="s">
        <v>3</v>
      </c>
      <c r="B122" s="4" t="s">
        <v>596</v>
      </c>
      <c r="C122" s="4" t="s">
        <v>597</v>
      </c>
      <c r="D122" s="4" t="s">
        <v>598</v>
      </c>
      <c r="E122" s="5" t="s">
        <v>7</v>
      </c>
      <c r="F122" s="4" t="s">
        <v>2358</v>
      </c>
      <c r="G122" s="5" t="s">
        <v>7</v>
      </c>
      <c r="H122" s="4" t="s">
        <v>2359</v>
      </c>
      <c r="I122" s="5" t="s">
        <v>7</v>
      </c>
      <c r="J122" s="4" t="s">
        <v>110</v>
      </c>
      <c r="K122" s="5" t="s">
        <v>7</v>
      </c>
      <c r="L122" s="4" t="s">
        <v>2360</v>
      </c>
      <c r="M122" s="5" t="s">
        <v>7</v>
      </c>
      <c r="N122" s="4" t="s">
        <v>2361</v>
      </c>
      <c r="O122" s="5" t="s">
        <v>7</v>
      </c>
      <c r="P122" s="4" t="s">
        <v>2362</v>
      </c>
      <c r="Q122" s="5" t="s">
        <v>7</v>
      </c>
      <c r="R122" s="4" t="s">
        <v>2363</v>
      </c>
      <c r="S122" s="5" t="s">
        <v>7</v>
      </c>
      <c r="T122" s="4" t="s">
        <v>2364</v>
      </c>
      <c r="U122" s="5" t="s">
        <v>7</v>
      </c>
      <c r="V122" s="4" t="s">
        <v>2611</v>
      </c>
      <c r="W122" s="5" t="s">
        <v>7</v>
      </c>
      <c r="X122" s="4" t="s">
        <v>2365</v>
      </c>
      <c r="Y122" s="5" t="s">
        <v>7</v>
      </c>
      <c r="Z122" s="4" t="s">
        <v>2366</v>
      </c>
      <c r="AA122" s="5" t="s">
        <v>7</v>
      </c>
      <c r="AB12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510151843</v>
      </c>
      <c r="AC122" s="8" t="str">
        <f>IF(NOT(AND(ISNUMBER(VALUE(prodcom_data[[#This Row],[PRODQNT - EU27_2020 - 2019 - amount]])), ISNUMBER(VALUE(prodcom_data[[#This Row],[IMPQNT - EU27_2020 - 2019 - amount]])))), "secrets", "")</f>
        <v/>
      </c>
      <c r="AD12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310050644</v>
      </c>
      <c r="AE122" s="8" t="str">
        <f>IF(NOT(AND(ISNUMBER(VALUE(prodcom_data[[#This Row],[PRODQNT - EU27_2020 - 2022 - amount]])), ISNUMBER(VALUE(prodcom_data[[#This Row],[IMPQNT - EU27_2020 - 2022 - amount]])))), "secrets", "")</f>
        <v/>
      </c>
      <c r="AF122" s="7">
        <f>_xlfn.LET(_xlpm.production_amount, VALUE(prodcom_data[[#This Row],[PRODQNT - FR - 2019 - amount]]), IF(ISNUMBER(_xlpm.production_amount), _xlpm.production_amount, 0))+_xlfn.LET(_xlpm.import_amount, VALUE(prodcom_data[[#This Row],[IMPQNT - FR - 2019 - amount]]), IF(ISNUMBER(_xlpm.import_amount), _xlpm.import_amount, 0))</f>
        <v>36113014</v>
      </c>
      <c r="AG122" s="8" t="str">
        <f>IF(NOT(AND(ISNUMBER(VALUE(prodcom_data[[#This Row],[PRODQNT - FR - 2019 - amount]])), ISNUMBER(VALUE(prodcom_data[[#This Row],[IMPQNT - FR - 2019 - amount]])))), "secrets", "")</f>
        <v/>
      </c>
      <c r="AH122" s="7">
        <f>_xlfn.LET(_xlpm.production_amount, VALUE(prodcom_data[[#This Row],[PRODQNT - FR - 2022 - amount]]), IF(ISNUMBER(_xlpm.production_amount), _xlpm.production_amount, 0))+_xlfn.LET(_xlpm.import_amount, VALUE(prodcom_data[[#This Row],[IMPQNT - FR - 2022 - amount]]), IF(ISNUMBER(_xlpm.import_amount), _xlpm.import_amount, 0))</f>
        <v>18626648</v>
      </c>
      <c r="AI122" s="8" t="str">
        <f>IF(NOT(AND(ISNUMBER(VALUE(prodcom_data[[#This Row],[PRODQNT - FR - 2022 - amount]])), ISNUMBER(VALUE(prodcom_data[[#This Row],[IMPQNT - FR - 2022 - amount]])))), "secrets", "")</f>
        <v>secrets</v>
      </c>
      <c r="AJ12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0.96758386349295888</v>
      </c>
      <c r="AK122" s="10" t="s">
        <v>2641</v>
      </c>
    </row>
    <row r="123" spans="1:37" hidden="1" x14ac:dyDescent="0.3">
      <c r="A123" s="4" t="s">
        <v>3</v>
      </c>
      <c r="B123" s="4" t="s">
        <v>244</v>
      </c>
      <c r="C123" s="4" t="s">
        <v>245</v>
      </c>
      <c r="D123" s="4" t="s">
        <v>246</v>
      </c>
      <c r="E123" s="5" t="s">
        <v>7</v>
      </c>
      <c r="F123" s="4" t="s">
        <v>1378</v>
      </c>
      <c r="G123" s="5" t="s">
        <v>7</v>
      </c>
      <c r="H123" s="4" t="s">
        <v>1379</v>
      </c>
      <c r="I123" s="5" t="s">
        <v>7</v>
      </c>
      <c r="J123" s="4" t="s">
        <v>1380</v>
      </c>
      <c r="K123" s="5" t="s">
        <v>7</v>
      </c>
      <c r="L123" s="4" t="s">
        <v>1381</v>
      </c>
      <c r="M123" s="5" t="s">
        <v>7</v>
      </c>
      <c r="N123" s="4" t="s">
        <v>1382</v>
      </c>
      <c r="O123" s="5" t="s">
        <v>7</v>
      </c>
      <c r="P123" s="4" t="s">
        <v>1383</v>
      </c>
      <c r="Q123" s="5" t="s">
        <v>7</v>
      </c>
      <c r="R123" s="4" t="s">
        <v>1384</v>
      </c>
      <c r="S123" s="5" t="s">
        <v>7</v>
      </c>
      <c r="T123" s="4" t="s">
        <v>1385</v>
      </c>
      <c r="U123" s="5" t="s">
        <v>7</v>
      </c>
      <c r="V123" s="4" t="s">
        <v>1386</v>
      </c>
      <c r="W123" s="5" t="s">
        <v>7</v>
      </c>
      <c r="X123" s="4" t="s">
        <v>1387</v>
      </c>
      <c r="Y123" s="5" t="s">
        <v>7</v>
      </c>
      <c r="Z123" s="4" t="s">
        <v>1388</v>
      </c>
      <c r="AA123" s="5" t="s">
        <v>7</v>
      </c>
      <c r="AB12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286291829</v>
      </c>
      <c r="AC123" s="8" t="str">
        <f>IF(NOT(AND(ISNUMBER(VALUE(prodcom_data[[#This Row],[PRODQNT - EU27_2020 - 2019 - amount]])), ISNUMBER(VALUE(prodcom_data[[#This Row],[IMPQNT - EU27_2020 - 2019 - amount]])))), "secrets", "")</f>
        <v/>
      </c>
      <c r="AD12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302016946</v>
      </c>
      <c r="AE123" s="8" t="str">
        <f>IF(NOT(AND(ISNUMBER(VALUE(prodcom_data[[#This Row],[PRODQNT - EU27_2020 - 2022 - amount]])), ISNUMBER(VALUE(prodcom_data[[#This Row],[IMPQNT - EU27_2020 - 2022 - amount]])))), "secrets", "")</f>
        <v/>
      </c>
      <c r="AF123" s="7">
        <f>_xlfn.LET(_xlpm.production_amount, VALUE(prodcom_data[[#This Row],[PRODQNT - FR - 2019 - amount]]), IF(ISNUMBER(_xlpm.production_amount), _xlpm.production_amount, 0))+_xlfn.LET(_xlpm.import_amount, VALUE(prodcom_data[[#This Row],[IMPQNT - FR - 2019 - amount]]), IF(ISNUMBER(_xlpm.import_amount), _xlpm.import_amount, 0))</f>
        <v>71333843</v>
      </c>
      <c r="AG123" s="8" t="str">
        <f>IF(NOT(AND(ISNUMBER(VALUE(prodcom_data[[#This Row],[PRODQNT - FR - 2019 - amount]])), ISNUMBER(VALUE(prodcom_data[[#This Row],[IMPQNT - FR - 2019 - amount]])))), "secrets", "")</f>
        <v/>
      </c>
      <c r="AH123" s="7">
        <f>_xlfn.LET(_xlpm.production_amount, VALUE(prodcom_data[[#This Row],[PRODQNT - FR - 2022 - amount]]), IF(ISNUMBER(_xlpm.production_amount), _xlpm.production_amount, 0))+_xlfn.LET(_xlpm.import_amount, VALUE(prodcom_data[[#This Row],[IMPQNT - FR - 2022 - amount]]), IF(ISNUMBER(_xlpm.import_amount), _xlpm.import_amount, 0))</f>
        <v>32140068</v>
      </c>
      <c r="AI123" s="8" t="str">
        <f>IF(NOT(AND(ISNUMBER(VALUE(prodcom_data[[#This Row],[PRODQNT - FR - 2022 - amount]])), ISNUMBER(VALUE(prodcom_data[[#This Row],[IMPQNT - FR - 2022 - amount]])))), "secrets", "")</f>
        <v/>
      </c>
      <c r="AJ12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0.72843594676968892</v>
      </c>
      <c r="AK123" s="10" t="s">
        <v>2641</v>
      </c>
    </row>
    <row r="124" spans="1:37" x14ac:dyDescent="0.3">
      <c r="A124" s="4" t="s">
        <v>3</v>
      </c>
      <c r="B124" s="4" t="s">
        <v>61</v>
      </c>
      <c r="C124" s="4" t="s">
        <v>62</v>
      </c>
      <c r="D124" s="4" t="s">
        <v>63</v>
      </c>
      <c r="E124" s="5" t="s">
        <v>7</v>
      </c>
      <c r="F124" s="4" t="s">
        <v>864</v>
      </c>
      <c r="G124" s="5" t="s">
        <v>7</v>
      </c>
      <c r="H124" s="4" t="s">
        <v>865</v>
      </c>
      <c r="I124" s="5" t="s">
        <v>7</v>
      </c>
      <c r="J124" s="4" t="s">
        <v>110</v>
      </c>
      <c r="K124" s="5" t="s">
        <v>7</v>
      </c>
      <c r="L124" s="4" t="s">
        <v>866</v>
      </c>
      <c r="M124" s="5" t="s">
        <v>7</v>
      </c>
      <c r="N124" s="4" t="s">
        <v>867</v>
      </c>
      <c r="O124" s="5" t="s">
        <v>7</v>
      </c>
      <c r="P124" s="4" t="s">
        <v>703</v>
      </c>
      <c r="Q124" s="5" t="s">
        <v>703</v>
      </c>
      <c r="R124" s="4" t="s">
        <v>868</v>
      </c>
      <c r="S124" s="5" t="s">
        <v>7</v>
      </c>
      <c r="T124" s="4" t="s">
        <v>869</v>
      </c>
      <c r="U124" s="5" t="s">
        <v>7</v>
      </c>
      <c r="V124" s="4" t="s">
        <v>703</v>
      </c>
      <c r="W124" s="5" t="s">
        <v>703</v>
      </c>
      <c r="X124" s="4" t="s">
        <v>870</v>
      </c>
      <c r="Y124" s="5" t="s">
        <v>7</v>
      </c>
      <c r="Z124" s="4" t="s">
        <v>871</v>
      </c>
      <c r="AA124" s="5" t="s">
        <v>7</v>
      </c>
      <c r="AB12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215877794</v>
      </c>
      <c r="AC124" s="8" t="str">
        <f>IF(NOT(AND(ISNUMBER(VALUE(prodcom_data[[#This Row],[PRODQNT - EU27_2020 - 2019 - amount]])), ISNUMBER(VALUE(prodcom_data[[#This Row],[IMPQNT - EU27_2020 - 2019 - amount]])))), "secrets", "")</f>
        <v/>
      </c>
      <c r="AD12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300894106</v>
      </c>
      <c r="AE124" s="8" t="str">
        <f>IF(NOT(AND(ISNUMBER(VALUE(prodcom_data[[#This Row],[PRODQNT - EU27_2020 - 2022 - amount]])), ISNUMBER(VALUE(prodcom_data[[#This Row],[IMPQNT - EU27_2020 - 2022 - amount]])))), "secrets", "")</f>
        <v/>
      </c>
      <c r="AF124" s="7">
        <f>_xlfn.LET(_xlpm.production_amount, VALUE(prodcom_data[[#This Row],[PRODQNT - FR - 2019 - amount]]), IF(ISNUMBER(_xlpm.production_amount), _xlpm.production_amount, 0))+_xlfn.LET(_xlpm.import_amount, VALUE(prodcom_data[[#This Row],[IMPQNT - FR - 2019 - amount]]), IF(ISNUMBER(_xlpm.import_amount), _xlpm.import_amount, 0))</f>
        <v>20581900</v>
      </c>
      <c r="AG124" s="8" t="str">
        <f>IF(NOT(AND(ISNUMBER(VALUE(prodcom_data[[#This Row],[PRODQNT - FR - 2019 - amount]])), ISNUMBER(VALUE(prodcom_data[[#This Row],[IMPQNT - FR - 2019 - amount]])))), "secrets", "")</f>
        <v>secrets</v>
      </c>
      <c r="AH124" s="7">
        <f>_xlfn.LET(_xlpm.production_amount, VALUE(prodcom_data[[#This Row],[PRODQNT - FR - 2022 - amount]]), IF(ISNUMBER(_xlpm.production_amount), _xlpm.production_amount, 0))+_xlfn.LET(_xlpm.import_amount, VALUE(prodcom_data[[#This Row],[IMPQNT - FR - 2022 - amount]]), IF(ISNUMBER(_xlpm.import_amount), _xlpm.import_amount, 0))</f>
        <v>26272884</v>
      </c>
      <c r="AI124" s="8" t="str">
        <f>IF(NOT(AND(ISNUMBER(VALUE(prodcom_data[[#This Row],[PRODQNT - FR - 2022 - amount]])), ISNUMBER(VALUE(prodcom_data[[#This Row],[IMPQNT - FR - 2022 - amount]])))), "secrets", "")</f>
        <v>secrets</v>
      </c>
      <c r="AJ12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0.99702850277831634</v>
      </c>
      <c r="AK124" s="10" t="s">
        <v>2642</v>
      </c>
    </row>
    <row r="125" spans="1:37" x14ac:dyDescent="0.3">
      <c r="A125" s="4" t="s">
        <v>3</v>
      </c>
      <c r="B125" s="4" t="s">
        <v>393</v>
      </c>
      <c r="C125" s="4" t="s">
        <v>394</v>
      </c>
      <c r="D125" s="4" t="s">
        <v>395</v>
      </c>
      <c r="E125" s="5" t="s">
        <v>7</v>
      </c>
      <c r="F125" s="4" t="s">
        <v>2611</v>
      </c>
      <c r="G125" s="5" t="s">
        <v>7</v>
      </c>
      <c r="H125" s="4" t="s">
        <v>2611</v>
      </c>
      <c r="I125" s="5" t="s">
        <v>7</v>
      </c>
      <c r="J125" s="4" t="s">
        <v>110</v>
      </c>
      <c r="K125" s="5" t="s">
        <v>7</v>
      </c>
      <c r="L125" s="4" t="s">
        <v>2611</v>
      </c>
      <c r="M125" s="5" t="s">
        <v>7</v>
      </c>
      <c r="N125" s="4" t="s">
        <v>2611</v>
      </c>
      <c r="O125" s="5" t="s">
        <v>7</v>
      </c>
      <c r="P125" s="4" t="s">
        <v>1787</v>
      </c>
      <c r="Q125" s="5" t="s">
        <v>7</v>
      </c>
      <c r="R125" s="4" t="s">
        <v>2611</v>
      </c>
      <c r="S125" s="5" t="s">
        <v>7</v>
      </c>
      <c r="T125" s="4" t="s">
        <v>2611</v>
      </c>
      <c r="U125" s="5" t="s">
        <v>7</v>
      </c>
      <c r="V125" s="4" t="s">
        <v>2611</v>
      </c>
      <c r="W125" s="5" t="s">
        <v>7</v>
      </c>
      <c r="X125" s="4" t="s">
        <v>2611</v>
      </c>
      <c r="Y125" s="5" t="s">
        <v>7</v>
      </c>
      <c r="Z125" s="4" t="s">
        <v>2611</v>
      </c>
      <c r="AA125" s="5" t="s">
        <v>7</v>
      </c>
      <c r="AB12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560332007</v>
      </c>
      <c r="AC125" s="8" t="str">
        <f>IF(NOT(AND(ISNUMBER(VALUE(prodcom_data[[#This Row],[PRODQNT - EU27_2020 - 2019 - amount]])), ISNUMBER(VALUE(prodcom_data[[#This Row],[IMPQNT - EU27_2020 - 2019 - amount]])))), "secrets", "")</f>
        <v>secrets</v>
      </c>
      <c r="AD12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300000000</v>
      </c>
      <c r="AE125" s="8" t="str">
        <f>IF(NOT(AND(ISNUMBER(VALUE(prodcom_data[[#This Row],[PRODQNT - EU27_2020 - 2022 - amount]])), ISNUMBER(VALUE(prodcom_data[[#This Row],[IMPQNT - EU27_2020 - 2022 - amount]])))), "secrets", "")</f>
        <v>secrets</v>
      </c>
      <c r="AF125" s="7">
        <f>_xlfn.LET(_xlpm.production_amount, VALUE(prodcom_data[[#This Row],[PRODQNT - FR - 2019 - amount]]), IF(ISNUMBER(_xlpm.production_amount), _xlpm.production_amount, 0))+_xlfn.LET(_xlpm.import_amount, VALUE(prodcom_data[[#This Row],[IMPQNT - FR - 2019 - amount]]), IF(ISNUMBER(_xlpm.import_amount), _xlpm.import_amount, 0))</f>
        <v>13985962</v>
      </c>
      <c r="AG125" s="8" t="str">
        <f>IF(NOT(AND(ISNUMBER(VALUE(prodcom_data[[#This Row],[PRODQNT - FR - 2019 - amount]])), ISNUMBER(VALUE(prodcom_data[[#This Row],[IMPQNT - FR - 2019 - amount]])))), "secrets", "")</f>
        <v>secrets</v>
      </c>
      <c r="AH125"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125" s="8" t="str">
        <f>IF(NOT(AND(ISNUMBER(VALUE(prodcom_data[[#This Row],[PRODQNT - FR - 2022 - amount]])), ISNUMBER(VALUE(prodcom_data[[#This Row],[IMPQNT - FR - 2022 - amount]])))), "secrets", "")</f>
        <v>secrets</v>
      </c>
      <c r="AJ12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25" s="10" t="s">
        <v>2642</v>
      </c>
    </row>
    <row r="126" spans="1:37" hidden="1" x14ac:dyDescent="0.3">
      <c r="A126" s="4" t="s">
        <v>3</v>
      </c>
      <c r="B126" s="4" t="s">
        <v>507</v>
      </c>
      <c r="C126" s="4" t="s">
        <v>508</v>
      </c>
      <c r="D126" s="4" t="s">
        <v>509</v>
      </c>
      <c r="E126" s="5" t="s">
        <v>7</v>
      </c>
      <c r="F126" s="4" t="s">
        <v>2089</v>
      </c>
      <c r="G126" s="5" t="s">
        <v>7</v>
      </c>
      <c r="H126" s="4" t="s">
        <v>2090</v>
      </c>
      <c r="I126" s="5" t="s">
        <v>7</v>
      </c>
      <c r="J126" s="4" t="s">
        <v>583</v>
      </c>
      <c r="K126" s="5" t="s">
        <v>7</v>
      </c>
      <c r="L126" s="4" t="s">
        <v>2091</v>
      </c>
      <c r="M126" s="5" t="s">
        <v>7</v>
      </c>
      <c r="N126" s="4" t="s">
        <v>2092</v>
      </c>
      <c r="O126" s="5" t="s">
        <v>7</v>
      </c>
      <c r="P126" s="4" t="s">
        <v>2611</v>
      </c>
      <c r="Q126" s="5" t="s">
        <v>7</v>
      </c>
      <c r="R126" s="4" t="s">
        <v>2093</v>
      </c>
      <c r="S126" s="5" t="s">
        <v>7</v>
      </c>
      <c r="T126" s="4" t="s">
        <v>2094</v>
      </c>
      <c r="U126" s="5" t="s">
        <v>7</v>
      </c>
      <c r="V126" s="4" t="s">
        <v>2611</v>
      </c>
      <c r="W126" s="5" t="s">
        <v>7</v>
      </c>
      <c r="X126" s="4" t="s">
        <v>2095</v>
      </c>
      <c r="Y126" s="5" t="s">
        <v>7</v>
      </c>
      <c r="Z126" s="4" t="s">
        <v>2096</v>
      </c>
      <c r="AA126" s="5" t="s">
        <v>7</v>
      </c>
      <c r="AB12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243227216</v>
      </c>
      <c r="AC126" s="8" t="str">
        <f>IF(NOT(AND(ISNUMBER(VALUE(prodcom_data[[#This Row],[PRODQNT - EU27_2020 - 2019 - amount]])), ISNUMBER(VALUE(prodcom_data[[#This Row],[IMPQNT - EU27_2020 - 2019 - amount]])))), "secrets", "")</f>
        <v/>
      </c>
      <c r="AD12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271785968</v>
      </c>
      <c r="AE126" s="8" t="str">
        <f>IF(NOT(AND(ISNUMBER(VALUE(prodcom_data[[#This Row],[PRODQNT - EU27_2020 - 2022 - amount]])), ISNUMBER(VALUE(prodcom_data[[#This Row],[IMPQNT - EU27_2020 - 2022 - amount]])))), "secrets", "")</f>
        <v/>
      </c>
      <c r="AF126" s="7">
        <f>_xlfn.LET(_xlpm.production_amount, VALUE(prodcom_data[[#This Row],[PRODQNT - FR - 2019 - amount]]), IF(ISNUMBER(_xlpm.production_amount), _xlpm.production_amount, 0))+_xlfn.LET(_xlpm.import_amount, VALUE(prodcom_data[[#This Row],[IMPQNT - FR - 2019 - amount]]), IF(ISNUMBER(_xlpm.import_amount), _xlpm.import_amount, 0))</f>
        <v>5348500</v>
      </c>
      <c r="AG126" s="8" t="str">
        <f>IF(NOT(AND(ISNUMBER(VALUE(prodcom_data[[#This Row],[PRODQNT - FR - 2019 - amount]])), ISNUMBER(VALUE(prodcom_data[[#This Row],[IMPQNT - FR - 2019 - amount]])))), "secrets", "")</f>
        <v>secrets</v>
      </c>
      <c r="AH126" s="7">
        <f>_xlfn.LET(_xlpm.production_amount, VALUE(prodcom_data[[#This Row],[PRODQNT - FR - 2022 - amount]]), IF(ISNUMBER(_xlpm.production_amount), _xlpm.production_amount, 0))+_xlfn.LET(_xlpm.import_amount, VALUE(prodcom_data[[#This Row],[IMPQNT - FR - 2022 - amount]]), IF(ISNUMBER(_xlpm.import_amount), _xlpm.import_amount, 0))</f>
        <v>19393184</v>
      </c>
      <c r="AI126" s="8" t="str">
        <f>IF(NOT(AND(ISNUMBER(VALUE(prodcom_data[[#This Row],[PRODQNT - FR - 2022 - amount]])), ISNUMBER(VALUE(prodcom_data[[#This Row],[IMPQNT - FR - 2022 - amount]])))), "secrets", "")</f>
        <v>secrets</v>
      </c>
      <c r="AJ12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0.66228584692790315</v>
      </c>
      <c r="AK126" s="10" t="s">
        <v>2649</v>
      </c>
    </row>
    <row r="127" spans="1:37" hidden="1" x14ac:dyDescent="0.3">
      <c r="A127" s="4" t="s">
        <v>3</v>
      </c>
      <c r="B127" s="4" t="s">
        <v>338</v>
      </c>
      <c r="C127" s="4" t="s">
        <v>339</v>
      </c>
      <c r="D127" s="4" t="s">
        <v>110</v>
      </c>
      <c r="E127" s="5" t="s">
        <v>7</v>
      </c>
      <c r="F127" s="4" t="s">
        <v>1625</v>
      </c>
      <c r="G127" s="5" t="s">
        <v>7</v>
      </c>
      <c r="H127" s="4" t="s">
        <v>1626</v>
      </c>
      <c r="I127" s="5" t="s">
        <v>7</v>
      </c>
      <c r="J127" s="4" t="s">
        <v>1627</v>
      </c>
      <c r="K127" s="5" t="s">
        <v>7</v>
      </c>
      <c r="L127" s="4" t="s">
        <v>1628</v>
      </c>
      <c r="M127" s="5" t="s">
        <v>7</v>
      </c>
      <c r="N127" s="4" t="s">
        <v>1629</v>
      </c>
      <c r="O127" s="5" t="s">
        <v>7</v>
      </c>
      <c r="P127" s="4" t="s">
        <v>2611</v>
      </c>
      <c r="Q127" s="5" t="s">
        <v>7</v>
      </c>
      <c r="R127" s="4" t="s">
        <v>1630</v>
      </c>
      <c r="S127" s="5" t="s">
        <v>7</v>
      </c>
      <c r="T127" s="4" t="s">
        <v>1631</v>
      </c>
      <c r="U127" s="5" t="s">
        <v>7</v>
      </c>
      <c r="V127" s="4" t="s">
        <v>2611</v>
      </c>
      <c r="W127" s="5" t="s">
        <v>7</v>
      </c>
      <c r="X127" s="4" t="s">
        <v>1632</v>
      </c>
      <c r="Y127" s="5" t="s">
        <v>7</v>
      </c>
      <c r="Z127" s="4" t="s">
        <v>1633</v>
      </c>
      <c r="AA127" s="5" t="s">
        <v>7</v>
      </c>
      <c r="AB12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352317267</v>
      </c>
      <c r="AC127" s="8" t="str">
        <f>IF(NOT(AND(ISNUMBER(VALUE(prodcom_data[[#This Row],[PRODQNT - EU27_2020 - 2019 - amount]])), ISNUMBER(VALUE(prodcom_data[[#This Row],[IMPQNT - EU27_2020 - 2019 - amount]])))), "secrets", "")</f>
        <v/>
      </c>
      <c r="AD12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268595788</v>
      </c>
      <c r="AE127" s="8" t="str">
        <f>IF(NOT(AND(ISNUMBER(VALUE(prodcom_data[[#This Row],[PRODQNT - EU27_2020 - 2022 - amount]])), ISNUMBER(VALUE(prodcom_data[[#This Row],[IMPQNT - EU27_2020 - 2022 - amount]])))), "secrets", "")</f>
        <v/>
      </c>
      <c r="AF127" s="7">
        <f>_xlfn.LET(_xlpm.production_amount, VALUE(prodcom_data[[#This Row],[PRODQNT - FR - 2019 - amount]]), IF(ISNUMBER(_xlpm.production_amount), _xlpm.production_amount, 0))+_xlfn.LET(_xlpm.import_amount, VALUE(prodcom_data[[#This Row],[IMPQNT - FR - 2019 - amount]]), IF(ISNUMBER(_xlpm.import_amount), _xlpm.import_amount, 0))</f>
        <v>70725800</v>
      </c>
      <c r="AG127" s="8" t="str">
        <f>IF(NOT(AND(ISNUMBER(VALUE(prodcom_data[[#This Row],[PRODQNT - FR - 2019 - amount]])), ISNUMBER(VALUE(prodcom_data[[#This Row],[IMPQNT - FR - 2019 - amount]])))), "secrets", "")</f>
        <v>secrets</v>
      </c>
      <c r="AH127" s="7">
        <f>_xlfn.LET(_xlpm.production_amount, VALUE(prodcom_data[[#This Row],[PRODQNT - FR - 2022 - amount]]), IF(ISNUMBER(_xlpm.production_amount), _xlpm.production_amount, 0))+_xlfn.LET(_xlpm.import_amount, VALUE(prodcom_data[[#This Row],[IMPQNT - FR - 2022 - amount]]), IF(ISNUMBER(_xlpm.import_amount), _xlpm.import_amount, 0))</f>
        <v>34439835</v>
      </c>
      <c r="AI127" s="8" t="str">
        <f>IF(NOT(AND(ISNUMBER(VALUE(prodcom_data[[#This Row],[PRODQNT - FR - 2022 - amount]])), ISNUMBER(VALUE(prodcom_data[[#This Row],[IMPQNT - FR - 2022 - amount]])))), "secrets", "")</f>
        <v>secrets</v>
      </c>
      <c r="AJ12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0.76360573085382855</v>
      </c>
      <c r="AK127" s="10" t="s">
        <v>2641</v>
      </c>
    </row>
    <row r="128" spans="1:37" hidden="1" x14ac:dyDescent="0.3">
      <c r="A128" s="4" t="s">
        <v>3</v>
      </c>
      <c r="B128" s="4" t="s">
        <v>197</v>
      </c>
      <c r="C128" s="4" t="s">
        <v>198</v>
      </c>
      <c r="D128" s="4" t="s">
        <v>199</v>
      </c>
      <c r="E128" s="5" t="s">
        <v>7</v>
      </c>
      <c r="F128" s="4" t="s">
        <v>1257</v>
      </c>
      <c r="G128" s="5" t="s">
        <v>7</v>
      </c>
      <c r="H128" s="4" t="s">
        <v>1258</v>
      </c>
      <c r="I128" s="5" t="s">
        <v>7</v>
      </c>
      <c r="J128" s="4" t="s">
        <v>243</v>
      </c>
      <c r="K128" s="5" t="s">
        <v>7</v>
      </c>
      <c r="L128" s="4" t="s">
        <v>1259</v>
      </c>
      <c r="M128" s="5" t="s">
        <v>7</v>
      </c>
      <c r="N128" s="4" t="s">
        <v>1260</v>
      </c>
      <c r="O128" s="5" t="s">
        <v>7</v>
      </c>
      <c r="P128" s="4" t="s">
        <v>1261</v>
      </c>
      <c r="Q128" s="5" t="s">
        <v>7</v>
      </c>
      <c r="R128" s="4" t="s">
        <v>1262</v>
      </c>
      <c r="S128" s="5" t="s">
        <v>7</v>
      </c>
      <c r="T128" s="4" t="s">
        <v>1263</v>
      </c>
      <c r="U128" s="5" t="s">
        <v>7</v>
      </c>
      <c r="V128" s="4" t="s">
        <v>2611</v>
      </c>
      <c r="W128" s="5" t="s">
        <v>7</v>
      </c>
      <c r="X128" s="4" t="s">
        <v>1264</v>
      </c>
      <c r="Y128" s="5" t="s">
        <v>7</v>
      </c>
      <c r="Z128" s="4" t="s">
        <v>1265</v>
      </c>
      <c r="AA128" s="5" t="s">
        <v>7</v>
      </c>
      <c r="AB12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239377653</v>
      </c>
      <c r="AC128" s="8" t="str">
        <f>IF(NOT(AND(ISNUMBER(VALUE(prodcom_data[[#This Row],[PRODQNT - EU27_2020 - 2019 - amount]])), ISNUMBER(VALUE(prodcom_data[[#This Row],[IMPQNT - EU27_2020 - 2019 - amount]])))), "secrets", "")</f>
        <v/>
      </c>
      <c r="AD12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268350990</v>
      </c>
      <c r="AE128" s="8" t="str">
        <f>IF(NOT(AND(ISNUMBER(VALUE(prodcom_data[[#This Row],[PRODQNT - EU27_2020 - 2022 - amount]])), ISNUMBER(VALUE(prodcom_data[[#This Row],[IMPQNT - EU27_2020 - 2022 - amount]])))), "secrets", "")</f>
        <v/>
      </c>
      <c r="AF128" s="7">
        <f>_xlfn.LET(_xlpm.production_amount, VALUE(prodcom_data[[#This Row],[PRODQNT - FR - 2019 - amount]]), IF(ISNUMBER(_xlpm.production_amount), _xlpm.production_amount, 0))+_xlfn.LET(_xlpm.import_amount, VALUE(prodcom_data[[#This Row],[IMPQNT - FR - 2019 - amount]]), IF(ISNUMBER(_xlpm.import_amount), _xlpm.import_amount, 0))</f>
        <v>22772507</v>
      </c>
      <c r="AG128" s="8" t="str">
        <f>IF(NOT(AND(ISNUMBER(VALUE(prodcom_data[[#This Row],[PRODQNT - FR - 2019 - amount]])), ISNUMBER(VALUE(prodcom_data[[#This Row],[IMPQNT - FR - 2019 - amount]])))), "secrets", "")</f>
        <v/>
      </c>
      <c r="AH128" s="7">
        <f>_xlfn.LET(_xlpm.production_amount, VALUE(prodcom_data[[#This Row],[PRODQNT - FR - 2022 - amount]]), IF(ISNUMBER(_xlpm.production_amount), _xlpm.production_amount, 0))+_xlfn.LET(_xlpm.import_amount, VALUE(prodcom_data[[#This Row],[IMPQNT - FR - 2022 - amount]]), IF(ISNUMBER(_xlpm.import_amount), _xlpm.import_amount, 0))</f>
        <v>16089941</v>
      </c>
      <c r="AI128" s="8" t="str">
        <f>IF(NOT(AND(ISNUMBER(VALUE(prodcom_data[[#This Row],[PRODQNT - FR - 2022 - amount]])), ISNUMBER(VALUE(prodcom_data[[#This Row],[IMPQNT - FR - 2022 - amount]])))), "secrets", "")</f>
        <v>secrets</v>
      </c>
      <c r="AJ12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0.74529257372965163</v>
      </c>
      <c r="AK128" s="10" t="s">
        <v>2649</v>
      </c>
    </row>
    <row r="129" spans="1:37" x14ac:dyDescent="0.3">
      <c r="A129" s="4" t="s">
        <v>3</v>
      </c>
      <c r="B129" s="4" t="s">
        <v>164</v>
      </c>
      <c r="C129" s="4" t="s">
        <v>165</v>
      </c>
      <c r="D129" s="4" t="s">
        <v>110</v>
      </c>
      <c r="E129" s="5" t="s">
        <v>7</v>
      </c>
      <c r="F129" s="4" t="s">
        <v>1160</v>
      </c>
      <c r="G129" s="5" t="s">
        <v>7</v>
      </c>
      <c r="H129" s="4" t="s">
        <v>1161</v>
      </c>
      <c r="I129" s="5" t="s">
        <v>7</v>
      </c>
      <c r="J129" s="4" t="s">
        <v>243</v>
      </c>
      <c r="K129" s="5" t="s">
        <v>7</v>
      </c>
      <c r="L129" s="4" t="s">
        <v>1162</v>
      </c>
      <c r="M129" s="5" t="s">
        <v>7</v>
      </c>
      <c r="N129" s="4" t="s">
        <v>1163</v>
      </c>
      <c r="O129" s="5" t="s">
        <v>7</v>
      </c>
      <c r="P129" s="4" t="s">
        <v>713</v>
      </c>
      <c r="Q129" s="5" t="s">
        <v>7</v>
      </c>
      <c r="R129" s="4" t="s">
        <v>713</v>
      </c>
      <c r="S129" s="5" t="s">
        <v>7</v>
      </c>
      <c r="T129" s="4" t="s">
        <v>1164</v>
      </c>
      <c r="U129" s="5" t="s">
        <v>7</v>
      </c>
      <c r="V129" s="4" t="s">
        <v>713</v>
      </c>
      <c r="W129" s="5" t="s">
        <v>7</v>
      </c>
      <c r="X129" s="4" t="s">
        <v>1165</v>
      </c>
      <c r="Y129" s="5" t="s">
        <v>7</v>
      </c>
      <c r="Z129" s="4" t="s">
        <v>1166</v>
      </c>
      <c r="AA129" s="5" t="s">
        <v>7</v>
      </c>
      <c r="AB12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348361171</v>
      </c>
      <c r="AC129" s="8" t="str">
        <f>IF(NOT(AND(ISNUMBER(VALUE(prodcom_data[[#This Row],[PRODQNT - EU27_2020 - 2019 - amount]])), ISNUMBER(VALUE(prodcom_data[[#This Row],[IMPQNT - EU27_2020 - 2019 - amount]])))), "secrets", "")</f>
        <v/>
      </c>
      <c r="AD12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258032226</v>
      </c>
      <c r="AE129" s="8" t="str">
        <f>IF(NOT(AND(ISNUMBER(VALUE(prodcom_data[[#This Row],[PRODQNT - EU27_2020 - 2022 - amount]])), ISNUMBER(VALUE(prodcom_data[[#This Row],[IMPQNT - EU27_2020 - 2022 - amount]])))), "secrets", "")</f>
        <v/>
      </c>
      <c r="AF129" s="7">
        <f>_xlfn.LET(_xlpm.production_amount, VALUE(prodcom_data[[#This Row],[PRODQNT - FR - 2019 - amount]]), IF(ISNUMBER(_xlpm.production_amount), _xlpm.production_amount, 0))+_xlfn.LET(_xlpm.import_amount, VALUE(prodcom_data[[#This Row],[IMPQNT - FR - 2019 - amount]]), IF(ISNUMBER(_xlpm.import_amount), _xlpm.import_amount, 0))</f>
        <v>1945000</v>
      </c>
      <c r="AG129" s="8" t="str">
        <f>IF(NOT(AND(ISNUMBER(VALUE(prodcom_data[[#This Row],[PRODQNT - FR - 2019 - amount]])), ISNUMBER(VALUE(prodcom_data[[#This Row],[IMPQNT - FR - 2019 - amount]])))), "secrets", "")</f>
        <v/>
      </c>
      <c r="AH129" s="7">
        <f>_xlfn.LET(_xlpm.production_amount, VALUE(prodcom_data[[#This Row],[PRODQNT - FR - 2022 - amount]]), IF(ISNUMBER(_xlpm.production_amount), _xlpm.production_amount, 0))+_xlfn.LET(_xlpm.import_amount, VALUE(prodcom_data[[#This Row],[IMPQNT - FR - 2022 - amount]]), IF(ISNUMBER(_xlpm.import_amount), _xlpm.import_amount, 0))</f>
        <v>2708028</v>
      </c>
      <c r="AI129" s="8" t="str">
        <f>IF(NOT(AND(ISNUMBER(VALUE(prodcom_data[[#This Row],[PRODQNT - FR - 2022 - amount]])), ISNUMBER(VALUE(prodcom_data[[#This Row],[IMPQNT - FR - 2022 - amount]])))), "secrets", "")</f>
        <v/>
      </c>
      <c r="AJ12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0.77509698342872879</v>
      </c>
      <c r="AK129" s="10" t="s">
        <v>2642</v>
      </c>
    </row>
    <row r="130" spans="1:37" x14ac:dyDescent="0.3">
      <c r="A130" s="4" t="s">
        <v>3</v>
      </c>
      <c r="B130" s="4" t="s">
        <v>623</v>
      </c>
      <c r="C130" s="4" t="s">
        <v>624</v>
      </c>
      <c r="D130" s="4" t="s">
        <v>243</v>
      </c>
      <c r="E130" s="5" t="s">
        <v>7</v>
      </c>
      <c r="F130" s="4" t="s">
        <v>2448</v>
      </c>
      <c r="G130" s="5" t="s">
        <v>7</v>
      </c>
      <c r="H130" s="4" t="s">
        <v>2449</v>
      </c>
      <c r="I130" s="5" t="s">
        <v>7</v>
      </c>
      <c r="J130" s="4" t="s">
        <v>243</v>
      </c>
      <c r="K130" s="5" t="s">
        <v>7</v>
      </c>
      <c r="L130" s="4" t="s">
        <v>2450</v>
      </c>
      <c r="M130" s="5" t="s">
        <v>7</v>
      </c>
      <c r="N130" s="4" t="s">
        <v>2451</v>
      </c>
      <c r="O130" s="5" t="s">
        <v>7</v>
      </c>
      <c r="P130" s="4" t="s">
        <v>2611</v>
      </c>
      <c r="Q130" s="5" t="s">
        <v>7</v>
      </c>
      <c r="R130" s="4" t="s">
        <v>2452</v>
      </c>
      <c r="S130" s="5" t="s">
        <v>7</v>
      </c>
      <c r="T130" s="4" t="s">
        <v>2453</v>
      </c>
      <c r="U130" s="5" t="s">
        <v>7</v>
      </c>
      <c r="V130" s="4" t="s">
        <v>2611</v>
      </c>
      <c r="W130" s="5" t="s">
        <v>7</v>
      </c>
      <c r="X130" s="4" t="s">
        <v>2454</v>
      </c>
      <c r="Y130" s="5" t="s">
        <v>7</v>
      </c>
      <c r="Z130" s="4" t="s">
        <v>2455</v>
      </c>
      <c r="AA130" s="5" t="s">
        <v>7</v>
      </c>
      <c r="AB13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246609390</v>
      </c>
      <c r="AC130" s="8" t="str">
        <f>IF(NOT(AND(ISNUMBER(VALUE(prodcom_data[[#This Row],[PRODQNT - EU27_2020 - 2019 - amount]])), ISNUMBER(VALUE(prodcom_data[[#This Row],[IMPQNT - EU27_2020 - 2019 - amount]])))), "secrets", "")</f>
        <v/>
      </c>
      <c r="AD13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250743096</v>
      </c>
      <c r="AE130" s="8" t="str">
        <f>IF(NOT(AND(ISNUMBER(VALUE(prodcom_data[[#This Row],[PRODQNT - EU27_2020 - 2022 - amount]])), ISNUMBER(VALUE(prodcom_data[[#This Row],[IMPQNT - EU27_2020 - 2022 - amount]])))), "secrets", "")</f>
        <v/>
      </c>
      <c r="AF130" s="7">
        <f>_xlfn.LET(_xlpm.production_amount, VALUE(prodcom_data[[#This Row],[PRODQNT - FR - 2019 - amount]]), IF(ISNUMBER(_xlpm.production_amount), _xlpm.production_amount, 0))+_xlfn.LET(_xlpm.import_amount, VALUE(prodcom_data[[#This Row],[IMPQNT - FR - 2019 - amount]]), IF(ISNUMBER(_xlpm.import_amount), _xlpm.import_amount, 0))</f>
        <v>31412200</v>
      </c>
      <c r="AG130" s="8" t="str">
        <f>IF(NOT(AND(ISNUMBER(VALUE(prodcom_data[[#This Row],[PRODQNT - FR - 2019 - amount]])), ISNUMBER(VALUE(prodcom_data[[#This Row],[IMPQNT - FR - 2019 - amount]])))), "secrets", "")</f>
        <v>secrets</v>
      </c>
      <c r="AH130" s="7">
        <f>_xlfn.LET(_xlpm.production_amount, VALUE(prodcom_data[[#This Row],[PRODQNT - FR - 2022 - amount]]), IF(ISNUMBER(_xlpm.production_amount), _xlpm.production_amount, 0))+_xlfn.LET(_xlpm.import_amount, VALUE(prodcom_data[[#This Row],[IMPQNT - FR - 2022 - amount]]), IF(ISNUMBER(_xlpm.import_amount), _xlpm.import_amount, 0))</f>
        <v>30346758</v>
      </c>
      <c r="AI130" s="8" t="str">
        <f>IF(NOT(AND(ISNUMBER(VALUE(prodcom_data[[#This Row],[PRODQNT - FR - 2022 - amount]])), ISNUMBER(VALUE(prodcom_data[[#This Row],[IMPQNT - FR - 2022 - amount]])))), "secrets", "")</f>
        <v>secrets</v>
      </c>
      <c r="AJ13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0.79762913990660789</v>
      </c>
      <c r="AK130" s="10" t="s">
        <v>2642</v>
      </c>
    </row>
    <row r="131" spans="1:37" hidden="1" x14ac:dyDescent="0.3">
      <c r="A131" s="4" t="s">
        <v>3</v>
      </c>
      <c r="B131" s="4" t="s">
        <v>105</v>
      </c>
      <c r="C131" s="4" t="s">
        <v>106</v>
      </c>
      <c r="D131" s="4" t="s">
        <v>107</v>
      </c>
      <c r="E131" s="5" t="s">
        <v>7</v>
      </c>
      <c r="F131" s="4" t="s">
        <v>993</v>
      </c>
      <c r="G131" s="5" t="s">
        <v>7</v>
      </c>
      <c r="H131" s="4" t="s">
        <v>994</v>
      </c>
      <c r="I131" s="5" t="s">
        <v>7</v>
      </c>
      <c r="J131" s="4" t="s">
        <v>63</v>
      </c>
      <c r="K131" s="5" t="s">
        <v>7</v>
      </c>
      <c r="L131" s="4" t="s">
        <v>995</v>
      </c>
      <c r="M131" s="5" t="s">
        <v>7</v>
      </c>
      <c r="N131" s="4" t="s">
        <v>996</v>
      </c>
      <c r="O131" s="5" t="s">
        <v>7</v>
      </c>
      <c r="P131" s="4" t="s">
        <v>997</v>
      </c>
      <c r="Q131" s="5" t="s">
        <v>7</v>
      </c>
      <c r="R131" s="4" t="s">
        <v>998</v>
      </c>
      <c r="S131" s="5" t="s">
        <v>7</v>
      </c>
      <c r="T131" s="4" t="s">
        <v>999</v>
      </c>
      <c r="U131" s="5" t="s">
        <v>7</v>
      </c>
      <c r="V131" s="4" t="s">
        <v>2611</v>
      </c>
      <c r="W131" s="5" t="s">
        <v>7</v>
      </c>
      <c r="X131" s="4" t="s">
        <v>1000</v>
      </c>
      <c r="Y131" s="5" t="s">
        <v>7</v>
      </c>
      <c r="Z131" s="4" t="s">
        <v>1001</v>
      </c>
      <c r="AA131" s="5" t="s">
        <v>7</v>
      </c>
      <c r="AB13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211210079</v>
      </c>
      <c r="AC131" s="8" t="str">
        <f>IF(NOT(AND(ISNUMBER(VALUE(prodcom_data[[#This Row],[PRODQNT - EU27_2020 - 2019 - amount]])), ISNUMBER(VALUE(prodcom_data[[#This Row],[IMPQNT - EU27_2020 - 2019 - amount]])))), "secrets", "")</f>
        <v/>
      </c>
      <c r="AD13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239369024</v>
      </c>
      <c r="AE131" s="8" t="str">
        <f>IF(NOT(AND(ISNUMBER(VALUE(prodcom_data[[#This Row],[PRODQNT - EU27_2020 - 2022 - amount]])), ISNUMBER(VALUE(prodcom_data[[#This Row],[IMPQNT - EU27_2020 - 2022 - amount]])))), "secrets", "")</f>
        <v/>
      </c>
      <c r="AF131" s="7">
        <f>_xlfn.LET(_xlpm.production_amount, VALUE(prodcom_data[[#This Row],[PRODQNT - FR - 2019 - amount]]), IF(ISNUMBER(_xlpm.production_amount), _xlpm.production_amount, 0))+_xlfn.LET(_xlpm.import_amount, VALUE(prodcom_data[[#This Row],[IMPQNT - FR - 2019 - amount]]), IF(ISNUMBER(_xlpm.import_amount), _xlpm.import_amount, 0))</f>
        <v>8125176</v>
      </c>
      <c r="AG131" s="8" t="str">
        <f>IF(NOT(AND(ISNUMBER(VALUE(prodcom_data[[#This Row],[PRODQNT - FR - 2019 - amount]])), ISNUMBER(VALUE(prodcom_data[[#This Row],[IMPQNT - FR - 2019 - amount]])))), "secrets", "")</f>
        <v/>
      </c>
      <c r="AH131" s="7">
        <f>_xlfn.LET(_xlpm.production_amount, VALUE(prodcom_data[[#This Row],[PRODQNT - FR - 2022 - amount]]), IF(ISNUMBER(_xlpm.production_amount), _xlpm.production_amount, 0))+_xlfn.LET(_xlpm.import_amount, VALUE(prodcom_data[[#This Row],[IMPQNT - FR - 2022 - amount]]), IF(ISNUMBER(_xlpm.import_amount), _xlpm.import_amount, 0))</f>
        <v>6133457</v>
      </c>
      <c r="AI131" s="8" t="str">
        <f>IF(NOT(AND(ISNUMBER(VALUE(prodcom_data[[#This Row],[PRODQNT - FR - 2022 - amount]])), ISNUMBER(VALUE(prodcom_data[[#This Row],[IMPQNT - FR - 2022 - amount]])))), "secrets", "")</f>
        <v>secrets</v>
      </c>
      <c r="AJ13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0.87730649726841847</v>
      </c>
      <c r="AK131" s="10" t="s">
        <v>2641</v>
      </c>
    </row>
    <row r="132" spans="1:37" hidden="1" x14ac:dyDescent="0.3">
      <c r="A132" s="4" t="s">
        <v>3</v>
      </c>
      <c r="B132" s="4" t="s">
        <v>281</v>
      </c>
      <c r="C132" s="4" t="s">
        <v>282</v>
      </c>
      <c r="D132" s="4" t="s">
        <v>283</v>
      </c>
      <c r="E132" s="5" t="s">
        <v>7</v>
      </c>
      <c r="F132" s="4" t="s">
        <v>1469</v>
      </c>
      <c r="G132" s="5" t="s">
        <v>7</v>
      </c>
      <c r="H132" s="4" t="s">
        <v>1470</v>
      </c>
      <c r="I132" s="5" t="s">
        <v>7</v>
      </c>
      <c r="J132" s="4" t="s">
        <v>1471</v>
      </c>
      <c r="K132" s="5" t="s">
        <v>7</v>
      </c>
      <c r="L132" s="4" t="s">
        <v>1472</v>
      </c>
      <c r="M132" s="5" t="s">
        <v>7</v>
      </c>
      <c r="N132" s="4" t="s">
        <v>1473</v>
      </c>
      <c r="O132" s="5" t="s">
        <v>7</v>
      </c>
      <c r="P132" s="4" t="s">
        <v>2611</v>
      </c>
      <c r="Q132" s="5" t="s">
        <v>7</v>
      </c>
      <c r="R132" s="4" t="s">
        <v>713</v>
      </c>
      <c r="S132" s="5" t="s">
        <v>7</v>
      </c>
      <c r="T132" s="4" t="s">
        <v>1474</v>
      </c>
      <c r="U132" s="5" t="s">
        <v>7</v>
      </c>
      <c r="V132" s="4" t="s">
        <v>2611</v>
      </c>
      <c r="W132" s="5" t="s">
        <v>7</v>
      </c>
      <c r="X132" s="4" t="s">
        <v>1475</v>
      </c>
      <c r="Y132" s="5" t="s">
        <v>7</v>
      </c>
      <c r="Z132" s="4" t="s">
        <v>1476</v>
      </c>
      <c r="AA132" s="5" t="s">
        <v>7</v>
      </c>
      <c r="AB13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201988526</v>
      </c>
      <c r="AC132" s="8" t="str">
        <f>IF(NOT(AND(ISNUMBER(VALUE(prodcom_data[[#This Row],[PRODQNT - EU27_2020 - 2019 - amount]])), ISNUMBER(VALUE(prodcom_data[[#This Row],[IMPQNT - EU27_2020 - 2019 - amount]])))), "secrets", "")</f>
        <v/>
      </c>
      <c r="AD13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225045819</v>
      </c>
      <c r="AE132" s="8" t="str">
        <f>IF(NOT(AND(ISNUMBER(VALUE(prodcom_data[[#This Row],[PRODQNT - EU27_2020 - 2022 - amount]])), ISNUMBER(VALUE(prodcom_data[[#This Row],[IMPQNT - EU27_2020 - 2022 - amount]])))), "secrets", "")</f>
        <v/>
      </c>
      <c r="AF132" s="7">
        <f>_xlfn.LET(_xlpm.production_amount, VALUE(prodcom_data[[#This Row],[PRODQNT - FR - 2019 - amount]]), IF(ISNUMBER(_xlpm.production_amount), _xlpm.production_amount, 0))+_xlfn.LET(_xlpm.import_amount, VALUE(prodcom_data[[#This Row],[IMPQNT - FR - 2019 - amount]]), IF(ISNUMBER(_xlpm.import_amount), _xlpm.import_amount, 0))</f>
        <v>3878700</v>
      </c>
      <c r="AG132" s="8" t="str">
        <f>IF(NOT(AND(ISNUMBER(VALUE(prodcom_data[[#This Row],[PRODQNT - FR - 2019 - amount]])), ISNUMBER(VALUE(prodcom_data[[#This Row],[IMPQNT - FR - 2019 - amount]])))), "secrets", "")</f>
        <v>secrets</v>
      </c>
      <c r="AH132" s="7">
        <f>_xlfn.LET(_xlpm.production_amount, VALUE(prodcom_data[[#This Row],[PRODQNT - FR - 2022 - amount]]), IF(ISNUMBER(_xlpm.production_amount), _xlpm.production_amount, 0))+_xlfn.LET(_xlpm.import_amount, VALUE(prodcom_data[[#This Row],[IMPQNT - FR - 2022 - amount]]), IF(ISNUMBER(_xlpm.import_amount), _xlpm.import_amount, 0))</f>
        <v>6592344</v>
      </c>
      <c r="AI132" s="8" t="str">
        <f>IF(NOT(AND(ISNUMBER(VALUE(prodcom_data[[#This Row],[PRODQNT - FR - 2022 - amount]])), ISNUMBER(VALUE(prodcom_data[[#This Row],[IMPQNT - FR - 2022 - amount]])))), "secrets", "")</f>
        <v>secrets</v>
      </c>
      <c r="AJ13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0.74303894532695136</v>
      </c>
      <c r="AK132" s="10" t="s">
        <v>2641</v>
      </c>
    </row>
    <row r="133" spans="1:37" hidden="1" x14ac:dyDescent="0.3">
      <c r="A133" s="4" t="s">
        <v>3</v>
      </c>
      <c r="B133" s="4" t="s">
        <v>384</v>
      </c>
      <c r="C133" s="4" t="s">
        <v>385</v>
      </c>
      <c r="D133" s="4" t="s">
        <v>386</v>
      </c>
      <c r="E133" s="5" t="s">
        <v>7</v>
      </c>
      <c r="F133" s="4" t="s">
        <v>1766</v>
      </c>
      <c r="G133" s="5" t="s">
        <v>7</v>
      </c>
      <c r="H133" s="4" t="s">
        <v>1767</v>
      </c>
      <c r="I133" s="5" t="s">
        <v>7</v>
      </c>
      <c r="J133" s="4" t="s">
        <v>66</v>
      </c>
      <c r="K133" s="5" t="s">
        <v>7</v>
      </c>
      <c r="L133" s="4" t="s">
        <v>1768</v>
      </c>
      <c r="M133" s="5" t="s">
        <v>7</v>
      </c>
      <c r="N133" s="4" t="s">
        <v>1769</v>
      </c>
      <c r="O133" s="5" t="s">
        <v>7</v>
      </c>
      <c r="P133" s="4" t="s">
        <v>2611</v>
      </c>
      <c r="Q133" s="5" t="s">
        <v>7</v>
      </c>
      <c r="R133" s="4" t="s">
        <v>1770</v>
      </c>
      <c r="S133" s="5" t="s">
        <v>7</v>
      </c>
      <c r="T133" s="4" t="s">
        <v>1771</v>
      </c>
      <c r="U133" s="5" t="s">
        <v>7</v>
      </c>
      <c r="V133" s="4" t="s">
        <v>2611</v>
      </c>
      <c r="W133" s="5" t="s">
        <v>7</v>
      </c>
      <c r="X133" s="4" t="s">
        <v>1772</v>
      </c>
      <c r="Y133" s="5" t="s">
        <v>7</v>
      </c>
      <c r="Z133" s="4" t="s">
        <v>1773</v>
      </c>
      <c r="AA133" s="5" t="s">
        <v>7</v>
      </c>
      <c r="AB13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243422717</v>
      </c>
      <c r="AC133" s="8" t="str">
        <f>IF(NOT(AND(ISNUMBER(VALUE(prodcom_data[[#This Row],[PRODQNT - EU27_2020 - 2019 - amount]])), ISNUMBER(VALUE(prodcom_data[[#This Row],[IMPQNT - EU27_2020 - 2019 - amount]])))), "secrets", "")</f>
        <v/>
      </c>
      <c r="AD13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216369439</v>
      </c>
      <c r="AE133" s="8" t="str">
        <f>IF(NOT(AND(ISNUMBER(VALUE(prodcom_data[[#This Row],[PRODQNT - EU27_2020 - 2022 - amount]])), ISNUMBER(VALUE(prodcom_data[[#This Row],[IMPQNT - EU27_2020 - 2022 - amount]])))), "secrets", "")</f>
        <v/>
      </c>
      <c r="AF133" s="7">
        <f>_xlfn.LET(_xlpm.production_amount, VALUE(prodcom_data[[#This Row],[PRODQNT - FR - 2019 - amount]]), IF(ISNUMBER(_xlpm.production_amount), _xlpm.production_amount, 0))+_xlfn.LET(_xlpm.import_amount, VALUE(prodcom_data[[#This Row],[IMPQNT - FR - 2019 - amount]]), IF(ISNUMBER(_xlpm.import_amount), _xlpm.import_amount, 0))</f>
        <v>28157900</v>
      </c>
      <c r="AG133" s="8" t="str">
        <f>IF(NOT(AND(ISNUMBER(VALUE(prodcom_data[[#This Row],[PRODQNT - FR - 2019 - amount]])), ISNUMBER(VALUE(prodcom_data[[#This Row],[IMPQNT - FR - 2019 - amount]])))), "secrets", "")</f>
        <v>secrets</v>
      </c>
      <c r="AH133" s="7">
        <f>_xlfn.LET(_xlpm.production_amount, VALUE(prodcom_data[[#This Row],[PRODQNT - FR - 2022 - amount]]), IF(ISNUMBER(_xlpm.production_amount), _xlpm.production_amount, 0))+_xlfn.LET(_xlpm.import_amount, VALUE(prodcom_data[[#This Row],[IMPQNT - FR - 2022 - amount]]), IF(ISNUMBER(_xlpm.import_amount), _xlpm.import_amount, 0))</f>
        <v>27152276</v>
      </c>
      <c r="AI133" s="8" t="str">
        <f>IF(NOT(AND(ISNUMBER(VALUE(prodcom_data[[#This Row],[PRODQNT - FR - 2022 - amount]])), ISNUMBER(VALUE(prodcom_data[[#This Row],[IMPQNT - FR - 2022 - amount]])))), "secrets", "")</f>
        <v>secrets</v>
      </c>
      <c r="AJ13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0.55460697478630516</v>
      </c>
      <c r="AK133" s="10" t="s">
        <v>2658</v>
      </c>
    </row>
    <row r="134" spans="1:37" x14ac:dyDescent="0.3">
      <c r="A134" s="4" t="s">
        <v>3</v>
      </c>
      <c r="B134" s="4" t="s">
        <v>208</v>
      </c>
      <c r="C134" s="4" t="s">
        <v>209</v>
      </c>
      <c r="D134" s="4" t="s">
        <v>210</v>
      </c>
      <c r="E134" s="5" t="s">
        <v>7</v>
      </c>
      <c r="F134" s="4" t="s">
        <v>1281</v>
      </c>
      <c r="G134" s="5" t="s">
        <v>7</v>
      </c>
      <c r="H134" s="4" t="s">
        <v>1282</v>
      </c>
      <c r="I134" s="5" t="s">
        <v>7</v>
      </c>
      <c r="J134" s="4" t="s">
        <v>1283</v>
      </c>
      <c r="K134" s="5" t="s">
        <v>7</v>
      </c>
      <c r="L134" s="4" t="s">
        <v>1284</v>
      </c>
      <c r="M134" s="5" t="s">
        <v>7</v>
      </c>
      <c r="N134" s="4" t="s">
        <v>1285</v>
      </c>
      <c r="O134" s="5" t="s">
        <v>7</v>
      </c>
      <c r="P134" s="4" t="s">
        <v>713</v>
      </c>
      <c r="Q134" s="5" t="s">
        <v>7</v>
      </c>
      <c r="R134" s="4" t="s">
        <v>713</v>
      </c>
      <c r="S134" s="5" t="s">
        <v>7</v>
      </c>
      <c r="T134" s="4" t="s">
        <v>1286</v>
      </c>
      <c r="U134" s="5" t="s">
        <v>7</v>
      </c>
      <c r="V134" s="4" t="s">
        <v>713</v>
      </c>
      <c r="W134" s="5" t="s">
        <v>7</v>
      </c>
      <c r="X134" s="4" t="s">
        <v>1287</v>
      </c>
      <c r="Y134" s="5" t="s">
        <v>7</v>
      </c>
      <c r="Z134" s="4" t="s">
        <v>1288</v>
      </c>
      <c r="AA134" s="5" t="s">
        <v>7</v>
      </c>
      <c r="AB13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230358293</v>
      </c>
      <c r="AC134" s="8" t="str">
        <f>IF(NOT(AND(ISNUMBER(VALUE(prodcom_data[[#This Row],[PRODQNT - EU27_2020 - 2019 - amount]])), ISNUMBER(VALUE(prodcom_data[[#This Row],[IMPQNT - EU27_2020 - 2019 - amount]])))), "secrets", "")</f>
        <v/>
      </c>
      <c r="AD13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215273632</v>
      </c>
      <c r="AE134" s="8" t="str">
        <f>IF(NOT(AND(ISNUMBER(VALUE(prodcom_data[[#This Row],[PRODQNT - EU27_2020 - 2022 - amount]])), ISNUMBER(VALUE(prodcom_data[[#This Row],[IMPQNT - EU27_2020 - 2022 - amount]])))), "secrets", "")</f>
        <v/>
      </c>
      <c r="AF134" s="7">
        <f>_xlfn.LET(_xlpm.production_amount, VALUE(prodcom_data[[#This Row],[PRODQNT - FR - 2019 - amount]]), IF(ISNUMBER(_xlpm.production_amount), _xlpm.production_amount, 0))+_xlfn.LET(_xlpm.import_amount, VALUE(prodcom_data[[#This Row],[IMPQNT - FR - 2019 - amount]]), IF(ISNUMBER(_xlpm.import_amount), _xlpm.import_amount, 0))</f>
        <v>19613400</v>
      </c>
      <c r="AG134" s="8" t="str">
        <f>IF(NOT(AND(ISNUMBER(VALUE(prodcom_data[[#This Row],[PRODQNT - FR - 2019 - amount]])), ISNUMBER(VALUE(prodcom_data[[#This Row],[IMPQNT - FR - 2019 - amount]])))), "secrets", "")</f>
        <v/>
      </c>
      <c r="AH134" s="7">
        <f>_xlfn.LET(_xlpm.production_amount, VALUE(prodcom_data[[#This Row],[PRODQNT - FR - 2022 - amount]]), IF(ISNUMBER(_xlpm.production_amount), _xlpm.production_amount, 0))+_xlfn.LET(_xlpm.import_amount, VALUE(prodcom_data[[#This Row],[IMPQNT - FR - 2022 - amount]]), IF(ISNUMBER(_xlpm.import_amount), _xlpm.import_amount, 0))</f>
        <v>17071723</v>
      </c>
      <c r="AI134" s="8" t="str">
        <f>IF(NOT(AND(ISNUMBER(VALUE(prodcom_data[[#This Row],[PRODQNT - FR - 2022 - amount]])), ISNUMBER(VALUE(prodcom_data[[#This Row],[IMPQNT - FR - 2022 - amount]])))), "secrets", "")</f>
        <v/>
      </c>
      <c r="AJ13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1.1148601794389756E-2</v>
      </c>
      <c r="AK134" s="10" t="s">
        <v>2642</v>
      </c>
    </row>
    <row r="135" spans="1:37" x14ac:dyDescent="0.3">
      <c r="A135" s="4" t="s">
        <v>3</v>
      </c>
      <c r="B135" s="4" t="s">
        <v>676</v>
      </c>
      <c r="C135" s="4" t="s">
        <v>677</v>
      </c>
      <c r="D135" s="4" t="s">
        <v>678</v>
      </c>
      <c r="E135" s="5" t="s">
        <v>7</v>
      </c>
      <c r="F135" s="4" t="s">
        <v>2603</v>
      </c>
      <c r="G135" s="5" t="s">
        <v>7</v>
      </c>
      <c r="H135" s="4" t="s">
        <v>2604</v>
      </c>
      <c r="I135" s="5" t="s">
        <v>7</v>
      </c>
      <c r="J135" s="4" t="s">
        <v>2605</v>
      </c>
      <c r="K135" s="5" t="s">
        <v>7</v>
      </c>
      <c r="L135" s="4" t="s">
        <v>2606</v>
      </c>
      <c r="M135" s="5" t="s">
        <v>7</v>
      </c>
      <c r="N135" s="4" t="s">
        <v>2607</v>
      </c>
      <c r="O135" s="5" t="s">
        <v>7</v>
      </c>
      <c r="P135" s="4" t="s">
        <v>713</v>
      </c>
      <c r="Q135" s="5" t="s">
        <v>7</v>
      </c>
      <c r="R135" s="4" t="s">
        <v>713</v>
      </c>
      <c r="S135" s="5" t="s">
        <v>7</v>
      </c>
      <c r="T135" s="4" t="s">
        <v>2608</v>
      </c>
      <c r="U135" s="5" t="s">
        <v>7</v>
      </c>
      <c r="V135" s="4" t="s">
        <v>2611</v>
      </c>
      <c r="W135" s="5" t="s">
        <v>7</v>
      </c>
      <c r="X135" s="4" t="s">
        <v>2609</v>
      </c>
      <c r="Y135" s="5" t="s">
        <v>7</v>
      </c>
      <c r="Z135" s="4" t="s">
        <v>2610</v>
      </c>
      <c r="AA135" s="5" t="s">
        <v>7</v>
      </c>
      <c r="AB13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173966767</v>
      </c>
      <c r="AC135" s="8" t="str">
        <f>IF(NOT(AND(ISNUMBER(VALUE(prodcom_data[[#This Row],[PRODQNT - EU27_2020 - 2019 - amount]])), ISNUMBER(VALUE(prodcom_data[[#This Row],[IMPQNT - EU27_2020 - 2019 - amount]])))), "secrets", "")</f>
        <v/>
      </c>
      <c r="AD13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215072005</v>
      </c>
      <c r="AE135" s="8" t="str">
        <f>IF(NOT(AND(ISNUMBER(VALUE(prodcom_data[[#This Row],[PRODQNT - EU27_2020 - 2022 - amount]])), ISNUMBER(VALUE(prodcom_data[[#This Row],[IMPQNT - EU27_2020 - 2022 - amount]])))), "secrets", "")</f>
        <v/>
      </c>
      <c r="AF135" s="7">
        <f>_xlfn.LET(_xlpm.production_amount, VALUE(prodcom_data[[#This Row],[PRODQNT - FR - 2019 - amount]]), IF(ISNUMBER(_xlpm.production_amount), _xlpm.production_amount, 0))+_xlfn.LET(_xlpm.import_amount, VALUE(prodcom_data[[#This Row],[IMPQNT - FR - 2019 - amount]]), IF(ISNUMBER(_xlpm.import_amount), _xlpm.import_amount, 0))</f>
        <v>10387800</v>
      </c>
      <c r="AG135" s="8" t="str">
        <f>IF(NOT(AND(ISNUMBER(VALUE(prodcom_data[[#This Row],[PRODQNT - FR - 2019 - amount]])), ISNUMBER(VALUE(prodcom_data[[#This Row],[IMPQNT - FR - 2019 - amount]])))), "secrets", "")</f>
        <v/>
      </c>
      <c r="AH135" s="7">
        <f>_xlfn.LET(_xlpm.production_amount, VALUE(prodcom_data[[#This Row],[PRODQNT - FR - 2022 - amount]]), IF(ISNUMBER(_xlpm.production_amount), _xlpm.production_amount, 0))+_xlfn.LET(_xlpm.import_amount, VALUE(prodcom_data[[#This Row],[IMPQNT - FR - 2022 - amount]]), IF(ISNUMBER(_xlpm.import_amount), _xlpm.import_amount, 0))</f>
        <v>12673156</v>
      </c>
      <c r="AI135" s="8" t="str">
        <f>IF(NOT(AND(ISNUMBER(VALUE(prodcom_data[[#This Row],[PRODQNT - FR - 2022 - amount]])), ISNUMBER(VALUE(prodcom_data[[#This Row],[IMPQNT - FR - 2022 - amount]])))), "secrets", "")</f>
        <v>secrets</v>
      </c>
      <c r="AJ13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0.82989044529528611</v>
      </c>
      <c r="AK135" s="10" t="s">
        <v>2642</v>
      </c>
    </row>
    <row r="136" spans="1:37" hidden="1" x14ac:dyDescent="0.3">
      <c r="A136" s="4" t="s">
        <v>3</v>
      </c>
      <c r="B136" s="4" t="s">
        <v>587</v>
      </c>
      <c r="C136" s="4" t="s">
        <v>588</v>
      </c>
      <c r="D136" s="4" t="s">
        <v>589</v>
      </c>
      <c r="E136" s="5" t="s">
        <v>7</v>
      </c>
      <c r="F136" s="4" t="s">
        <v>2329</v>
      </c>
      <c r="G136" s="5" t="s">
        <v>7</v>
      </c>
      <c r="H136" s="4" t="s">
        <v>2330</v>
      </c>
      <c r="I136" s="5" t="s">
        <v>7</v>
      </c>
      <c r="J136" s="4" t="s">
        <v>2331</v>
      </c>
      <c r="K136" s="5" t="s">
        <v>7</v>
      </c>
      <c r="L136" s="4" t="s">
        <v>2332</v>
      </c>
      <c r="M136" s="5" t="s">
        <v>7</v>
      </c>
      <c r="N136" s="4" t="s">
        <v>2333</v>
      </c>
      <c r="O136" s="5" t="s">
        <v>7</v>
      </c>
      <c r="P136" s="4" t="s">
        <v>2334</v>
      </c>
      <c r="Q136" s="5" t="s">
        <v>7</v>
      </c>
      <c r="R136" s="4" t="s">
        <v>2335</v>
      </c>
      <c r="S136" s="5" t="s">
        <v>7</v>
      </c>
      <c r="T136" s="4" t="s">
        <v>2336</v>
      </c>
      <c r="U136" s="5" t="s">
        <v>7</v>
      </c>
      <c r="V136" s="4" t="s">
        <v>2611</v>
      </c>
      <c r="W136" s="5" t="s">
        <v>7</v>
      </c>
      <c r="X136" s="4" t="s">
        <v>2337</v>
      </c>
      <c r="Y136" s="5" t="s">
        <v>7</v>
      </c>
      <c r="Z136" s="4" t="s">
        <v>2338</v>
      </c>
      <c r="AA136" s="5" t="s">
        <v>7</v>
      </c>
      <c r="AB13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217144786</v>
      </c>
      <c r="AC136" s="8" t="str">
        <f>IF(NOT(AND(ISNUMBER(VALUE(prodcom_data[[#This Row],[PRODQNT - EU27_2020 - 2019 - amount]])), ISNUMBER(VALUE(prodcom_data[[#This Row],[IMPQNT - EU27_2020 - 2019 - amount]])))), "secrets", "")</f>
        <v/>
      </c>
      <c r="AD13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208252257</v>
      </c>
      <c r="AE136" s="8" t="str">
        <f>IF(NOT(AND(ISNUMBER(VALUE(prodcom_data[[#This Row],[PRODQNT - EU27_2020 - 2022 - amount]])), ISNUMBER(VALUE(prodcom_data[[#This Row],[IMPQNT - EU27_2020 - 2022 - amount]])))), "secrets", "")</f>
        <v/>
      </c>
      <c r="AF136" s="7">
        <f>_xlfn.LET(_xlpm.production_amount, VALUE(prodcom_data[[#This Row],[PRODQNT - FR - 2019 - amount]]), IF(ISNUMBER(_xlpm.production_amount), _xlpm.production_amount, 0))+_xlfn.LET(_xlpm.import_amount, VALUE(prodcom_data[[#This Row],[IMPQNT - FR - 2019 - amount]]), IF(ISNUMBER(_xlpm.import_amount), _xlpm.import_amount, 0))</f>
        <v>22985451</v>
      </c>
      <c r="AG136" s="8" t="str">
        <f>IF(NOT(AND(ISNUMBER(VALUE(prodcom_data[[#This Row],[PRODQNT - FR - 2019 - amount]])), ISNUMBER(VALUE(prodcom_data[[#This Row],[IMPQNT - FR - 2019 - amount]])))), "secrets", "")</f>
        <v/>
      </c>
      <c r="AH136" s="7">
        <f>_xlfn.LET(_xlpm.production_amount, VALUE(prodcom_data[[#This Row],[PRODQNT - FR - 2022 - amount]]), IF(ISNUMBER(_xlpm.production_amount), _xlpm.production_amount, 0))+_xlfn.LET(_xlpm.import_amount, VALUE(prodcom_data[[#This Row],[IMPQNT - FR - 2022 - amount]]), IF(ISNUMBER(_xlpm.import_amount), _xlpm.import_amount, 0))</f>
        <v>18163855</v>
      </c>
      <c r="AI136" s="8" t="str">
        <f>IF(NOT(AND(ISNUMBER(VALUE(prodcom_data[[#This Row],[PRODQNT - FR - 2022 - amount]])), ISNUMBER(VALUE(prodcom_data[[#This Row],[IMPQNT - FR - 2022 - amount]])))), "secrets", "")</f>
        <v>secrets</v>
      </c>
      <c r="AJ13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0.64650089722677051</v>
      </c>
      <c r="AK136" s="10" t="s">
        <v>2641</v>
      </c>
    </row>
    <row r="137" spans="1:37" hidden="1" x14ac:dyDescent="0.3">
      <c r="A137" s="4" t="s">
        <v>3</v>
      </c>
      <c r="B137" s="4" t="s">
        <v>343</v>
      </c>
      <c r="C137" s="4" t="s">
        <v>344</v>
      </c>
      <c r="D137" s="4" t="s">
        <v>110</v>
      </c>
      <c r="E137" s="5" t="s">
        <v>7</v>
      </c>
      <c r="F137" s="4" t="s">
        <v>1643</v>
      </c>
      <c r="G137" s="5" t="s">
        <v>7</v>
      </c>
      <c r="H137" s="4" t="s">
        <v>1644</v>
      </c>
      <c r="I137" s="5" t="s">
        <v>7</v>
      </c>
      <c r="J137" s="4" t="s">
        <v>583</v>
      </c>
      <c r="K137" s="5" t="s">
        <v>7</v>
      </c>
      <c r="L137" s="4" t="s">
        <v>1645</v>
      </c>
      <c r="M137" s="5" t="s">
        <v>7</v>
      </c>
      <c r="N137" s="4" t="s">
        <v>1646</v>
      </c>
      <c r="O137" s="5" t="s">
        <v>7</v>
      </c>
      <c r="P137" s="4" t="s">
        <v>1647</v>
      </c>
      <c r="Q137" s="5" t="s">
        <v>7</v>
      </c>
      <c r="R137" s="4" t="s">
        <v>1648</v>
      </c>
      <c r="S137" s="5" t="s">
        <v>7</v>
      </c>
      <c r="T137" s="4" t="s">
        <v>1649</v>
      </c>
      <c r="U137" s="5" t="s">
        <v>7</v>
      </c>
      <c r="V137" s="4" t="s">
        <v>2611</v>
      </c>
      <c r="W137" s="5" t="s">
        <v>7</v>
      </c>
      <c r="X137" s="4" t="s">
        <v>1650</v>
      </c>
      <c r="Y137" s="5" t="s">
        <v>7</v>
      </c>
      <c r="Z137" s="4" t="s">
        <v>1651</v>
      </c>
      <c r="AA137" s="5" t="s">
        <v>7</v>
      </c>
      <c r="AB13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314745381</v>
      </c>
      <c r="AC137" s="8" t="str">
        <f>IF(NOT(AND(ISNUMBER(VALUE(prodcom_data[[#This Row],[PRODQNT - EU27_2020 - 2019 - amount]])), ISNUMBER(VALUE(prodcom_data[[#This Row],[IMPQNT - EU27_2020 - 2019 - amount]])))), "secrets", "")</f>
        <v/>
      </c>
      <c r="AD13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203829766</v>
      </c>
      <c r="AE137" s="8" t="str">
        <f>IF(NOT(AND(ISNUMBER(VALUE(prodcom_data[[#This Row],[PRODQNT - EU27_2020 - 2022 - amount]])), ISNUMBER(VALUE(prodcom_data[[#This Row],[IMPQNT - EU27_2020 - 2022 - amount]])))), "secrets", "")</f>
        <v/>
      </c>
      <c r="AF137" s="7">
        <f>_xlfn.LET(_xlpm.production_amount, VALUE(prodcom_data[[#This Row],[PRODQNT - FR - 2019 - amount]]), IF(ISNUMBER(_xlpm.production_amount), _xlpm.production_amount, 0))+_xlfn.LET(_xlpm.import_amount, VALUE(prodcom_data[[#This Row],[IMPQNT - FR - 2019 - amount]]), IF(ISNUMBER(_xlpm.import_amount), _xlpm.import_amount, 0))</f>
        <v>4066487</v>
      </c>
      <c r="AG137" s="8" t="str">
        <f>IF(NOT(AND(ISNUMBER(VALUE(prodcom_data[[#This Row],[PRODQNT - FR - 2019 - amount]])), ISNUMBER(VALUE(prodcom_data[[#This Row],[IMPQNT - FR - 2019 - amount]])))), "secrets", "")</f>
        <v/>
      </c>
      <c r="AH137" s="7">
        <f>_xlfn.LET(_xlpm.production_amount, VALUE(prodcom_data[[#This Row],[PRODQNT - FR - 2022 - amount]]), IF(ISNUMBER(_xlpm.production_amount), _xlpm.production_amount, 0))+_xlfn.LET(_xlpm.import_amount, VALUE(prodcom_data[[#This Row],[IMPQNT - FR - 2022 - amount]]), IF(ISNUMBER(_xlpm.import_amount), _xlpm.import_amount, 0))</f>
        <v>3328027</v>
      </c>
      <c r="AI137" s="8" t="str">
        <f>IF(NOT(AND(ISNUMBER(VALUE(prodcom_data[[#This Row],[PRODQNT - FR - 2022 - amount]])), ISNUMBER(VALUE(prodcom_data[[#This Row],[IMPQNT - FR - 2022 - amount]])))), "secrets", "")</f>
        <v>secrets</v>
      </c>
      <c r="AJ13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0.88308986235111508</v>
      </c>
      <c r="AK137" s="10" t="s">
        <v>2641</v>
      </c>
    </row>
    <row r="138" spans="1:37" x14ac:dyDescent="0.3">
      <c r="A138" s="4" t="s">
        <v>3</v>
      </c>
      <c r="B138" s="4" t="s">
        <v>674</v>
      </c>
      <c r="C138" s="4" t="s">
        <v>675</v>
      </c>
      <c r="D138" s="4" t="s">
        <v>33</v>
      </c>
      <c r="E138" s="5" t="s">
        <v>7</v>
      </c>
      <c r="F138" s="4" t="s">
        <v>2594</v>
      </c>
      <c r="G138" s="5" t="s">
        <v>7</v>
      </c>
      <c r="H138" s="4" t="s">
        <v>2595</v>
      </c>
      <c r="I138" s="5" t="s">
        <v>7</v>
      </c>
      <c r="J138" s="4" t="s">
        <v>583</v>
      </c>
      <c r="K138" s="5" t="s">
        <v>7</v>
      </c>
      <c r="L138" s="4" t="s">
        <v>2596</v>
      </c>
      <c r="M138" s="5" t="s">
        <v>7</v>
      </c>
      <c r="N138" s="4" t="s">
        <v>2597</v>
      </c>
      <c r="O138" s="5" t="s">
        <v>7</v>
      </c>
      <c r="P138" s="4" t="s">
        <v>2598</v>
      </c>
      <c r="Q138" s="5" t="s">
        <v>7</v>
      </c>
      <c r="R138" s="4" t="s">
        <v>2599</v>
      </c>
      <c r="S138" s="5" t="s">
        <v>7</v>
      </c>
      <c r="T138" s="4" t="s">
        <v>2600</v>
      </c>
      <c r="U138" s="5" t="s">
        <v>7</v>
      </c>
      <c r="V138" s="4" t="s">
        <v>2611</v>
      </c>
      <c r="W138" s="5" t="s">
        <v>7</v>
      </c>
      <c r="X138" s="4" t="s">
        <v>2601</v>
      </c>
      <c r="Y138" s="5" t="s">
        <v>7</v>
      </c>
      <c r="Z138" s="4" t="s">
        <v>2602</v>
      </c>
      <c r="AA138" s="5" t="s">
        <v>7</v>
      </c>
      <c r="AB13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120666257</v>
      </c>
      <c r="AC138" s="8" t="str">
        <f>IF(NOT(AND(ISNUMBER(VALUE(prodcom_data[[#This Row],[PRODQNT - EU27_2020 - 2019 - amount]])), ISNUMBER(VALUE(prodcom_data[[#This Row],[IMPQNT - EU27_2020 - 2019 - amount]])))), "secrets", "")</f>
        <v/>
      </c>
      <c r="AD13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199361212</v>
      </c>
      <c r="AE138" s="8" t="str">
        <f>IF(NOT(AND(ISNUMBER(VALUE(prodcom_data[[#This Row],[PRODQNT - EU27_2020 - 2022 - amount]])), ISNUMBER(VALUE(prodcom_data[[#This Row],[IMPQNT - EU27_2020 - 2022 - amount]])))), "secrets", "")</f>
        <v/>
      </c>
      <c r="AF138" s="7">
        <f>_xlfn.LET(_xlpm.production_amount, VALUE(prodcom_data[[#This Row],[PRODQNT - FR - 2019 - amount]]), IF(ISNUMBER(_xlpm.production_amount), _xlpm.production_amount, 0))+_xlfn.LET(_xlpm.import_amount, VALUE(prodcom_data[[#This Row],[IMPQNT - FR - 2019 - amount]]), IF(ISNUMBER(_xlpm.import_amount), _xlpm.import_amount, 0))</f>
        <v>21230749</v>
      </c>
      <c r="AG138" s="8" t="str">
        <f>IF(NOT(AND(ISNUMBER(VALUE(prodcom_data[[#This Row],[PRODQNT - FR - 2019 - amount]])), ISNUMBER(VALUE(prodcom_data[[#This Row],[IMPQNT - FR - 2019 - amount]])))), "secrets", "")</f>
        <v/>
      </c>
      <c r="AH138" s="7">
        <f>_xlfn.LET(_xlpm.production_amount, VALUE(prodcom_data[[#This Row],[PRODQNT - FR - 2022 - amount]]), IF(ISNUMBER(_xlpm.production_amount), _xlpm.production_amount, 0))+_xlfn.LET(_xlpm.import_amount, VALUE(prodcom_data[[#This Row],[IMPQNT - FR - 2022 - amount]]), IF(ISNUMBER(_xlpm.import_amount), _xlpm.import_amount, 0))</f>
        <v>10409845</v>
      </c>
      <c r="AI138" s="8" t="str">
        <f>IF(NOT(AND(ISNUMBER(VALUE(prodcom_data[[#This Row],[PRODQNT - FR - 2022 - amount]])), ISNUMBER(VALUE(prodcom_data[[#This Row],[IMPQNT - FR - 2022 - amount]])))), "secrets", "")</f>
        <v>secrets</v>
      </c>
      <c r="AJ13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0.90288375654538056</v>
      </c>
      <c r="AK138" s="10" t="s">
        <v>2642</v>
      </c>
    </row>
    <row r="139" spans="1:37" x14ac:dyDescent="0.3">
      <c r="A139" s="4" t="s">
        <v>3</v>
      </c>
      <c r="B139" s="4" t="s">
        <v>554</v>
      </c>
      <c r="C139" s="4" t="s">
        <v>555</v>
      </c>
      <c r="D139" s="4" t="s">
        <v>556</v>
      </c>
      <c r="E139" s="5" t="s">
        <v>7</v>
      </c>
      <c r="F139" s="4" t="s">
        <v>2223</v>
      </c>
      <c r="G139" s="5" t="s">
        <v>7</v>
      </c>
      <c r="H139" s="4" t="s">
        <v>2224</v>
      </c>
      <c r="I139" s="5" t="s">
        <v>7</v>
      </c>
      <c r="J139" s="4" t="s">
        <v>2225</v>
      </c>
      <c r="K139" s="5" t="s">
        <v>7</v>
      </c>
      <c r="L139" s="4" t="s">
        <v>2226</v>
      </c>
      <c r="M139" s="5" t="s">
        <v>7</v>
      </c>
      <c r="N139" s="4" t="s">
        <v>2227</v>
      </c>
      <c r="O139" s="5" t="s">
        <v>7</v>
      </c>
      <c r="P139" s="4" t="s">
        <v>2611</v>
      </c>
      <c r="Q139" s="5" t="s">
        <v>7</v>
      </c>
      <c r="R139" s="4" t="s">
        <v>2228</v>
      </c>
      <c r="S139" s="5" t="s">
        <v>7</v>
      </c>
      <c r="T139" s="4" t="s">
        <v>2229</v>
      </c>
      <c r="U139" s="5" t="s">
        <v>7</v>
      </c>
      <c r="V139" s="4" t="s">
        <v>2611</v>
      </c>
      <c r="W139" s="5" t="s">
        <v>7</v>
      </c>
      <c r="X139" s="4" t="s">
        <v>2230</v>
      </c>
      <c r="Y139" s="5" t="s">
        <v>7</v>
      </c>
      <c r="Z139" s="4" t="s">
        <v>2231</v>
      </c>
      <c r="AA139" s="5" t="s">
        <v>7</v>
      </c>
      <c r="AB13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257947893</v>
      </c>
      <c r="AC139" s="8" t="str">
        <f>IF(NOT(AND(ISNUMBER(VALUE(prodcom_data[[#This Row],[PRODQNT - EU27_2020 - 2019 - amount]])), ISNUMBER(VALUE(prodcom_data[[#This Row],[IMPQNT - EU27_2020 - 2019 - amount]])))), "secrets", "")</f>
        <v/>
      </c>
      <c r="AD13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192897948</v>
      </c>
      <c r="AE139" s="8" t="str">
        <f>IF(NOT(AND(ISNUMBER(VALUE(prodcom_data[[#This Row],[PRODQNT - EU27_2020 - 2022 - amount]])), ISNUMBER(VALUE(prodcom_data[[#This Row],[IMPQNT - EU27_2020 - 2022 - amount]])))), "secrets", "")</f>
        <v/>
      </c>
      <c r="AF139" s="7">
        <f>_xlfn.LET(_xlpm.production_amount, VALUE(prodcom_data[[#This Row],[PRODQNT - FR - 2019 - amount]]), IF(ISNUMBER(_xlpm.production_amount), _xlpm.production_amount, 0))+_xlfn.LET(_xlpm.import_amount, VALUE(prodcom_data[[#This Row],[IMPQNT - FR - 2019 - amount]]), IF(ISNUMBER(_xlpm.import_amount), _xlpm.import_amount, 0))</f>
        <v>6134500</v>
      </c>
      <c r="AG139" s="8" t="str">
        <f>IF(NOT(AND(ISNUMBER(VALUE(prodcom_data[[#This Row],[PRODQNT - FR - 2019 - amount]])), ISNUMBER(VALUE(prodcom_data[[#This Row],[IMPQNT - FR - 2019 - amount]])))), "secrets", "")</f>
        <v>secrets</v>
      </c>
      <c r="AH139" s="7">
        <f>_xlfn.LET(_xlpm.production_amount, VALUE(prodcom_data[[#This Row],[PRODQNT - FR - 2022 - amount]]), IF(ISNUMBER(_xlpm.production_amount), _xlpm.production_amount, 0))+_xlfn.LET(_xlpm.import_amount, VALUE(prodcom_data[[#This Row],[IMPQNT - FR - 2022 - amount]]), IF(ISNUMBER(_xlpm.import_amount), _xlpm.import_amount, 0))</f>
        <v>4043142</v>
      </c>
      <c r="AI139" s="8" t="str">
        <f>IF(NOT(AND(ISNUMBER(VALUE(prodcom_data[[#This Row],[PRODQNT - FR - 2022 - amount]])), ISNUMBER(VALUE(prodcom_data[[#This Row],[IMPQNT - FR - 2022 - amount]])))), "secrets", "")</f>
        <v>secrets</v>
      </c>
      <c r="AJ13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0.78425003774534707</v>
      </c>
      <c r="AK139" s="10" t="s">
        <v>2642</v>
      </c>
    </row>
    <row r="140" spans="1:37" x14ac:dyDescent="0.3">
      <c r="A140" s="4" t="s">
        <v>3</v>
      </c>
      <c r="B140" s="4" t="s">
        <v>87</v>
      </c>
      <c r="C140" s="4" t="s">
        <v>88</v>
      </c>
      <c r="D140" s="4" t="s">
        <v>89</v>
      </c>
      <c r="E140" s="5" t="s">
        <v>7</v>
      </c>
      <c r="F140" s="4" t="s">
        <v>938</v>
      </c>
      <c r="G140" s="5" t="s">
        <v>7</v>
      </c>
      <c r="H140" s="4" t="s">
        <v>939</v>
      </c>
      <c r="I140" s="5" t="s">
        <v>7</v>
      </c>
      <c r="J140" s="4" t="s">
        <v>940</v>
      </c>
      <c r="K140" s="5" t="s">
        <v>7</v>
      </c>
      <c r="L140" s="4" t="s">
        <v>941</v>
      </c>
      <c r="M140" s="5" t="s">
        <v>7</v>
      </c>
      <c r="N140" s="4" t="s">
        <v>942</v>
      </c>
      <c r="O140" s="5" t="s">
        <v>7</v>
      </c>
      <c r="P140" s="4" t="s">
        <v>943</v>
      </c>
      <c r="Q140" s="5" t="s">
        <v>7</v>
      </c>
      <c r="R140" s="4" t="s">
        <v>944</v>
      </c>
      <c r="S140" s="5" t="s">
        <v>7</v>
      </c>
      <c r="T140" s="4" t="s">
        <v>945</v>
      </c>
      <c r="U140" s="5" t="s">
        <v>7</v>
      </c>
      <c r="V140" s="4" t="s">
        <v>946</v>
      </c>
      <c r="W140" s="5" t="s">
        <v>7</v>
      </c>
      <c r="X140" s="4" t="s">
        <v>947</v>
      </c>
      <c r="Y140" s="5" t="s">
        <v>7</v>
      </c>
      <c r="Z140" s="4" t="s">
        <v>948</v>
      </c>
      <c r="AA140" s="5" t="s">
        <v>7</v>
      </c>
      <c r="AB14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239943672</v>
      </c>
      <c r="AC140" s="8" t="str">
        <f>IF(NOT(AND(ISNUMBER(VALUE(prodcom_data[[#This Row],[PRODQNT - EU27_2020 - 2019 - amount]])), ISNUMBER(VALUE(prodcom_data[[#This Row],[IMPQNT - EU27_2020 - 2019 - amount]])))), "secrets", "")</f>
        <v/>
      </c>
      <c r="AD14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191832537</v>
      </c>
      <c r="AE140" s="8" t="str">
        <f>IF(NOT(AND(ISNUMBER(VALUE(prodcom_data[[#This Row],[PRODQNT - EU27_2020 - 2022 - amount]])), ISNUMBER(VALUE(prodcom_data[[#This Row],[IMPQNT - EU27_2020 - 2022 - amount]])))), "secrets", "")</f>
        <v/>
      </c>
      <c r="AF140" s="7">
        <f>_xlfn.LET(_xlpm.production_amount, VALUE(prodcom_data[[#This Row],[PRODQNT - FR - 2019 - amount]]), IF(ISNUMBER(_xlpm.production_amount), _xlpm.production_amount, 0))+_xlfn.LET(_xlpm.import_amount, VALUE(prodcom_data[[#This Row],[IMPQNT - FR - 2019 - amount]]), IF(ISNUMBER(_xlpm.import_amount), _xlpm.import_amount, 0))</f>
        <v>64578791</v>
      </c>
      <c r="AG140" s="8" t="str">
        <f>IF(NOT(AND(ISNUMBER(VALUE(prodcom_data[[#This Row],[PRODQNT - FR - 2019 - amount]])), ISNUMBER(VALUE(prodcom_data[[#This Row],[IMPQNT - FR - 2019 - amount]])))), "secrets", "")</f>
        <v/>
      </c>
      <c r="AH140" s="7">
        <f>_xlfn.LET(_xlpm.production_amount, VALUE(prodcom_data[[#This Row],[PRODQNT - FR - 2022 - amount]]), IF(ISNUMBER(_xlpm.production_amount), _xlpm.production_amount, 0))+_xlfn.LET(_xlpm.import_amount, VALUE(prodcom_data[[#This Row],[IMPQNT - FR - 2022 - amount]]), IF(ISNUMBER(_xlpm.import_amount), _xlpm.import_amount, 0))</f>
        <v>63000247</v>
      </c>
      <c r="AI140" s="8" t="str">
        <f>IF(NOT(AND(ISNUMBER(VALUE(prodcom_data[[#This Row],[PRODQNT - FR - 2022 - amount]])), ISNUMBER(VALUE(prodcom_data[[#This Row],[IMPQNT - FR - 2022 - amount]])))), "secrets", "")</f>
        <v/>
      </c>
      <c r="AJ14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0.94068840365698758</v>
      </c>
      <c r="AK140" s="10" t="s">
        <v>2642</v>
      </c>
    </row>
    <row r="141" spans="1:37" x14ac:dyDescent="0.3">
      <c r="A141" s="4" t="s">
        <v>3</v>
      </c>
      <c r="B141" s="4" t="s">
        <v>608</v>
      </c>
      <c r="C141" s="4" t="s">
        <v>609</v>
      </c>
      <c r="D141" s="4" t="s">
        <v>610</v>
      </c>
      <c r="E141" s="5" t="s">
        <v>7</v>
      </c>
      <c r="F141" s="4" t="s">
        <v>2395</v>
      </c>
      <c r="G141" s="5" t="s">
        <v>7</v>
      </c>
      <c r="H141" s="4" t="s">
        <v>2396</v>
      </c>
      <c r="I141" s="5" t="s">
        <v>7</v>
      </c>
      <c r="J141" s="4" t="s">
        <v>2397</v>
      </c>
      <c r="K141" s="5" t="s">
        <v>7</v>
      </c>
      <c r="L141" s="4" t="s">
        <v>2398</v>
      </c>
      <c r="M141" s="5" t="s">
        <v>7</v>
      </c>
      <c r="N141" s="4" t="s">
        <v>2399</v>
      </c>
      <c r="O141" s="5" t="s">
        <v>7</v>
      </c>
      <c r="P141" s="4" t="s">
        <v>2400</v>
      </c>
      <c r="Q141" s="5" t="s">
        <v>7</v>
      </c>
      <c r="R141" s="4" t="s">
        <v>2401</v>
      </c>
      <c r="S141" s="5" t="s">
        <v>7</v>
      </c>
      <c r="T141" s="4" t="s">
        <v>2402</v>
      </c>
      <c r="U141" s="5" t="s">
        <v>7</v>
      </c>
      <c r="V141" s="4" t="s">
        <v>2403</v>
      </c>
      <c r="W141" s="5" t="s">
        <v>7</v>
      </c>
      <c r="X141" s="4" t="s">
        <v>2404</v>
      </c>
      <c r="Y141" s="5" t="s">
        <v>7</v>
      </c>
      <c r="Z141" s="4" t="s">
        <v>2405</v>
      </c>
      <c r="AA141" s="5" t="s">
        <v>7</v>
      </c>
      <c r="AB14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173467538</v>
      </c>
      <c r="AC141" s="8" t="str">
        <f>IF(NOT(AND(ISNUMBER(VALUE(prodcom_data[[#This Row],[PRODQNT - EU27_2020 - 2019 - amount]])), ISNUMBER(VALUE(prodcom_data[[#This Row],[IMPQNT - EU27_2020 - 2019 - amount]])))), "secrets", "")</f>
        <v/>
      </c>
      <c r="AD14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184664437</v>
      </c>
      <c r="AE141" s="8" t="str">
        <f>IF(NOT(AND(ISNUMBER(VALUE(prodcom_data[[#This Row],[PRODQNT - EU27_2020 - 2022 - amount]])), ISNUMBER(VALUE(prodcom_data[[#This Row],[IMPQNT - EU27_2020 - 2022 - amount]])))), "secrets", "")</f>
        <v/>
      </c>
      <c r="AF141" s="7">
        <f>_xlfn.LET(_xlpm.production_amount, VALUE(prodcom_data[[#This Row],[PRODQNT - FR - 2019 - amount]]), IF(ISNUMBER(_xlpm.production_amount), _xlpm.production_amount, 0))+_xlfn.LET(_xlpm.import_amount, VALUE(prodcom_data[[#This Row],[IMPQNT - FR - 2019 - amount]]), IF(ISNUMBER(_xlpm.import_amount), _xlpm.import_amount, 0))</f>
        <v>55114672</v>
      </c>
      <c r="AG141" s="8" t="str">
        <f>IF(NOT(AND(ISNUMBER(VALUE(prodcom_data[[#This Row],[PRODQNT - FR - 2019 - amount]])), ISNUMBER(VALUE(prodcom_data[[#This Row],[IMPQNT - FR - 2019 - amount]])))), "secrets", "")</f>
        <v/>
      </c>
      <c r="AH141" s="7">
        <f>_xlfn.LET(_xlpm.production_amount, VALUE(prodcom_data[[#This Row],[PRODQNT - FR - 2022 - amount]]), IF(ISNUMBER(_xlpm.production_amount), _xlpm.production_amount, 0))+_xlfn.LET(_xlpm.import_amount, VALUE(prodcom_data[[#This Row],[IMPQNT - FR - 2022 - amount]]), IF(ISNUMBER(_xlpm.import_amount), _xlpm.import_amount, 0))</f>
        <v>56027742</v>
      </c>
      <c r="AI141" s="8" t="str">
        <f>IF(NOT(AND(ISNUMBER(VALUE(prodcom_data[[#This Row],[PRODQNT - FR - 2022 - amount]])), ISNUMBER(VALUE(prodcom_data[[#This Row],[IMPQNT - FR - 2022 - amount]])))), "secrets", "")</f>
        <v/>
      </c>
      <c r="AJ14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0.95264796437226296</v>
      </c>
      <c r="AK141" s="10" t="s">
        <v>2642</v>
      </c>
    </row>
    <row r="142" spans="1:37" hidden="1" x14ac:dyDescent="0.3">
      <c r="A142" s="4" t="s">
        <v>3</v>
      </c>
      <c r="B142" s="4" t="s">
        <v>378</v>
      </c>
      <c r="C142" s="4" t="s">
        <v>379</v>
      </c>
      <c r="D142" s="4" t="s">
        <v>380</v>
      </c>
      <c r="E142" s="5" t="s">
        <v>7</v>
      </c>
      <c r="F142" s="4" t="s">
        <v>1745</v>
      </c>
      <c r="G142" s="5" t="s">
        <v>7</v>
      </c>
      <c r="H142" s="4" t="s">
        <v>1746</v>
      </c>
      <c r="I142" s="5" t="s">
        <v>7</v>
      </c>
      <c r="J142" s="4" t="s">
        <v>1747</v>
      </c>
      <c r="K142" s="5" t="s">
        <v>7</v>
      </c>
      <c r="L142" s="4" t="s">
        <v>1748</v>
      </c>
      <c r="M142" s="5" t="s">
        <v>7</v>
      </c>
      <c r="N142" s="4" t="s">
        <v>1749</v>
      </c>
      <c r="O142" s="5" t="s">
        <v>7</v>
      </c>
      <c r="P142" s="4" t="s">
        <v>1750</v>
      </c>
      <c r="Q142" s="5" t="s">
        <v>7</v>
      </c>
      <c r="R142" s="4" t="s">
        <v>1751</v>
      </c>
      <c r="S142" s="5" t="s">
        <v>7</v>
      </c>
      <c r="T142" s="4" t="s">
        <v>1752</v>
      </c>
      <c r="U142" s="5" t="s">
        <v>7</v>
      </c>
      <c r="V142" s="4" t="s">
        <v>1753</v>
      </c>
      <c r="W142" s="5" t="s">
        <v>7</v>
      </c>
      <c r="X142" s="4" t="s">
        <v>1754</v>
      </c>
      <c r="Y142" s="5" t="s">
        <v>7</v>
      </c>
      <c r="Z142" s="4" t="s">
        <v>1755</v>
      </c>
      <c r="AA142" s="5" t="s">
        <v>7</v>
      </c>
      <c r="AB14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167112218</v>
      </c>
      <c r="AC142" s="8" t="str">
        <f>IF(NOT(AND(ISNUMBER(VALUE(prodcom_data[[#This Row],[PRODQNT - EU27_2020 - 2019 - amount]])), ISNUMBER(VALUE(prodcom_data[[#This Row],[IMPQNT - EU27_2020 - 2019 - amount]])))), "secrets", "")</f>
        <v/>
      </c>
      <c r="AD14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179846553</v>
      </c>
      <c r="AE142" s="8" t="str">
        <f>IF(NOT(AND(ISNUMBER(VALUE(prodcom_data[[#This Row],[PRODQNT - EU27_2020 - 2022 - amount]])), ISNUMBER(VALUE(prodcom_data[[#This Row],[IMPQNT - EU27_2020 - 2022 - amount]])))), "secrets", "")</f>
        <v/>
      </c>
      <c r="AF142" s="7">
        <f>_xlfn.LET(_xlpm.production_amount, VALUE(prodcom_data[[#This Row],[PRODQNT - FR - 2019 - amount]]), IF(ISNUMBER(_xlpm.production_amount), _xlpm.production_amount, 0))+_xlfn.LET(_xlpm.import_amount, VALUE(prodcom_data[[#This Row],[IMPQNT - FR - 2019 - amount]]), IF(ISNUMBER(_xlpm.import_amount), _xlpm.import_amount, 0))</f>
        <v>24465344</v>
      </c>
      <c r="AG142" s="8" t="str">
        <f>IF(NOT(AND(ISNUMBER(VALUE(prodcom_data[[#This Row],[PRODQNT - FR - 2019 - amount]])), ISNUMBER(VALUE(prodcom_data[[#This Row],[IMPQNT - FR - 2019 - amount]])))), "secrets", "")</f>
        <v/>
      </c>
      <c r="AH142" s="7">
        <f>_xlfn.LET(_xlpm.production_amount, VALUE(prodcom_data[[#This Row],[PRODQNT - FR - 2022 - amount]]), IF(ISNUMBER(_xlpm.production_amount), _xlpm.production_amount, 0))+_xlfn.LET(_xlpm.import_amount, VALUE(prodcom_data[[#This Row],[IMPQNT - FR - 2022 - amount]]), IF(ISNUMBER(_xlpm.import_amount), _xlpm.import_amount, 0))</f>
        <v>34527609</v>
      </c>
      <c r="AI142" s="8" t="str">
        <f>IF(NOT(AND(ISNUMBER(VALUE(prodcom_data[[#This Row],[PRODQNT - FR - 2022 - amount]])), ISNUMBER(VALUE(prodcom_data[[#This Row],[IMPQNT - FR - 2022 - amount]])))), "secrets", "")</f>
        <v/>
      </c>
      <c r="AJ14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0.6857952178822132</v>
      </c>
      <c r="AK142" s="10" t="s">
        <v>2641</v>
      </c>
    </row>
    <row r="143" spans="1:37" x14ac:dyDescent="0.3">
      <c r="A143" s="4" t="s">
        <v>3</v>
      </c>
      <c r="B143" s="4" t="s">
        <v>232</v>
      </c>
      <c r="C143" s="4" t="s">
        <v>233</v>
      </c>
      <c r="D143" s="4" t="s">
        <v>234</v>
      </c>
      <c r="E143" s="5" t="s">
        <v>7</v>
      </c>
      <c r="F143" s="4" t="s">
        <v>1346</v>
      </c>
      <c r="G143" s="5" t="s">
        <v>7</v>
      </c>
      <c r="H143" s="4" t="s">
        <v>1347</v>
      </c>
      <c r="I143" s="5" t="s">
        <v>7</v>
      </c>
      <c r="J143" s="4" t="s">
        <v>86</v>
      </c>
      <c r="K143" s="5" t="s">
        <v>7</v>
      </c>
      <c r="L143" s="4" t="s">
        <v>1348</v>
      </c>
      <c r="M143" s="5" t="s">
        <v>7</v>
      </c>
      <c r="N143" s="4" t="s">
        <v>1349</v>
      </c>
      <c r="O143" s="5" t="s">
        <v>7</v>
      </c>
      <c r="P143" s="4" t="s">
        <v>2611</v>
      </c>
      <c r="Q143" s="5" t="s">
        <v>7</v>
      </c>
      <c r="R143" s="4" t="s">
        <v>1350</v>
      </c>
      <c r="S143" s="5" t="s">
        <v>7</v>
      </c>
      <c r="T143" s="4" t="s">
        <v>1351</v>
      </c>
      <c r="U143" s="5" t="s">
        <v>7</v>
      </c>
      <c r="V143" s="4" t="s">
        <v>2611</v>
      </c>
      <c r="W143" s="5" t="s">
        <v>7</v>
      </c>
      <c r="X143" s="4" t="s">
        <v>1352</v>
      </c>
      <c r="Y143" s="5" t="s">
        <v>7</v>
      </c>
      <c r="Z143" s="4" t="s">
        <v>1353</v>
      </c>
      <c r="AA143" s="5" t="s">
        <v>7</v>
      </c>
      <c r="AB14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187133380</v>
      </c>
      <c r="AC143" s="8" t="str">
        <f>IF(NOT(AND(ISNUMBER(VALUE(prodcom_data[[#This Row],[PRODQNT - EU27_2020 - 2019 - amount]])), ISNUMBER(VALUE(prodcom_data[[#This Row],[IMPQNT - EU27_2020 - 2019 - amount]])))), "secrets", "")</f>
        <v/>
      </c>
      <c r="AD14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178851124</v>
      </c>
      <c r="AE143" s="8" t="str">
        <f>IF(NOT(AND(ISNUMBER(VALUE(prodcom_data[[#This Row],[PRODQNT - EU27_2020 - 2022 - amount]])), ISNUMBER(VALUE(prodcom_data[[#This Row],[IMPQNT - EU27_2020 - 2022 - amount]])))), "secrets", "")</f>
        <v/>
      </c>
      <c r="AF143" s="7">
        <f>_xlfn.LET(_xlpm.production_amount, VALUE(prodcom_data[[#This Row],[PRODQNT - FR - 2019 - amount]]), IF(ISNUMBER(_xlpm.production_amount), _xlpm.production_amount, 0))+_xlfn.LET(_xlpm.import_amount, VALUE(prodcom_data[[#This Row],[IMPQNT - FR - 2019 - amount]]), IF(ISNUMBER(_xlpm.import_amount), _xlpm.import_amount, 0))</f>
        <v>15632000</v>
      </c>
      <c r="AG143" s="8" t="str">
        <f>IF(NOT(AND(ISNUMBER(VALUE(prodcom_data[[#This Row],[PRODQNT - FR - 2019 - amount]])), ISNUMBER(VALUE(prodcom_data[[#This Row],[IMPQNT - FR - 2019 - amount]])))), "secrets", "")</f>
        <v>secrets</v>
      </c>
      <c r="AH143" s="7">
        <f>_xlfn.LET(_xlpm.production_amount, VALUE(prodcom_data[[#This Row],[PRODQNT - FR - 2022 - amount]]), IF(ISNUMBER(_xlpm.production_amount), _xlpm.production_amount, 0))+_xlfn.LET(_xlpm.import_amount, VALUE(prodcom_data[[#This Row],[IMPQNT - FR - 2022 - amount]]), IF(ISNUMBER(_xlpm.import_amount), _xlpm.import_amount, 0))</f>
        <v>14637989</v>
      </c>
      <c r="AI143" s="8" t="str">
        <f>IF(NOT(AND(ISNUMBER(VALUE(prodcom_data[[#This Row],[PRODQNT - FR - 2022 - amount]])), ISNUMBER(VALUE(prodcom_data[[#This Row],[IMPQNT - FR - 2022 - amount]])))), "secrets", "")</f>
        <v>secrets</v>
      </c>
      <c r="AJ14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0.89459879491727434</v>
      </c>
      <c r="AK143" s="10" t="s">
        <v>2642</v>
      </c>
    </row>
    <row r="144" spans="1:37" x14ac:dyDescent="0.3">
      <c r="A144" s="4" t="s">
        <v>3</v>
      </c>
      <c r="B144" s="4" t="s">
        <v>84</v>
      </c>
      <c r="C144" s="4" t="s">
        <v>85</v>
      </c>
      <c r="D144" s="4" t="s">
        <v>86</v>
      </c>
      <c r="E144" s="5" t="s">
        <v>7</v>
      </c>
      <c r="F144" s="4" t="s">
        <v>929</v>
      </c>
      <c r="G144" s="5" t="s">
        <v>7</v>
      </c>
      <c r="H144" s="4" t="s">
        <v>930</v>
      </c>
      <c r="I144" s="5" t="s">
        <v>7</v>
      </c>
      <c r="J144" s="4" t="s">
        <v>931</v>
      </c>
      <c r="K144" s="5" t="s">
        <v>7</v>
      </c>
      <c r="L144" s="4" t="s">
        <v>932</v>
      </c>
      <c r="M144" s="5" t="s">
        <v>7</v>
      </c>
      <c r="N144" s="4" t="s">
        <v>933</v>
      </c>
      <c r="O144" s="5" t="s">
        <v>7</v>
      </c>
      <c r="P144" s="4" t="s">
        <v>703</v>
      </c>
      <c r="Q144" s="5" t="s">
        <v>703</v>
      </c>
      <c r="R144" s="4" t="s">
        <v>934</v>
      </c>
      <c r="S144" s="5" t="s">
        <v>7</v>
      </c>
      <c r="T144" s="4" t="s">
        <v>935</v>
      </c>
      <c r="U144" s="5" t="s">
        <v>7</v>
      </c>
      <c r="V144" s="4" t="s">
        <v>703</v>
      </c>
      <c r="W144" s="5" t="s">
        <v>703</v>
      </c>
      <c r="X144" s="4" t="s">
        <v>936</v>
      </c>
      <c r="Y144" s="5" t="s">
        <v>7</v>
      </c>
      <c r="Z144" s="4" t="s">
        <v>937</v>
      </c>
      <c r="AA144" s="5" t="s">
        <v>7</v>
      </c>
      <c r="AB14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163513061</v>
      </c>
      <c r="AC144" s="8" t="str">
        <f>IF(NOT(AND(ISNUMBER(VALUE(prodcom_data[[#This Row],[PRODQNT - EU27_2020 - 2019 - amount]])), ISNUMBER(VALUE(prodcom_data[[#This Row],[IMPQNT - EU27_2020 - 2019 - amount]])))), "secrets", "")</f>
        <v/>
      </c>
      <c r="AD14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175733411</v>
      </c>
      <c r="AE144" s="8" t="str">
        <f>IF(NOT(AND(ISNUMBER(VALUE(prodcom_data[[#This Row],[PRODQNT - EU27_2020 - 2022 - amount]])), ISNUMBER(VALUE(prodcom_data[[#This Row],[IMPQNT - EU27_2020 - 2022 - amount]])))), "secrets", "")</f>
        <v/>
      </c>
      <c r="AF144" s="7">
        <f>_xlfn.LET(_xlpm.production_amount, VALUE(prodcom_data[[#This Row],[PRODQNT - FR - 2019 - amount]]), IF(ISNUMBER(_xlpm.production_amount), _xlpm.production_amount, 0))+_xlfn.LET(_xlpm.import_amount, VALUE(prodcom_data[[#This Row],[IMPQNT - FR - 2019 - amount]]), IF(ISNUMBER(_xlpm.import_amount), _xlpm.import_amount, 0))</f>
        <v>4755100</v>
      </c>
      <c r="AG144" s="8" t="str">
        <f>IF(NOT(AND(ISNUMBER(VALUE(prodcom_data[[#This Row],[PRODQNT - FR - 2019 - amount]])), ISNUMBER(VALUE(prodcom_data[[#This Row],[IMPQNT - FR - 2019 - amount]])))), "secrets", "")</f>
        <v>secrets</v>
      </c>
      <c r="AH144" s="7">
        <f>_xlfn.LET(_xlpm.production_amount, VALUE(prodcom_data[[#This Row],[PRODQNT - FR - 2022 - amount]]), IF(ISNUMBER(_xlpm.production_amount), _xlpm.production_amount, 0))+_xlfn.LET(_xlpm.import_amount, VALUE(prodcom_data[[#This Row],[IMPQNT - FR - 2022 - amount]]), IF(ISNUMBER(_xlpm.import_amount), _xlpm.import_amount, 0))</f>
        <v>1545644</v>
      </c>
      <c r="AI144" s="8" t="str">
        <f>IF(NOT(AND(ISNUMBER(VALUE(prodcom_data[[#This Row],[PRODQNT - FR - 2022 - amount]])), ISNUMBER(VALUE(prodcom_data[[#This Row],[IMPQNT - FR - 2022 - amount]])))), "secrets", "")</f>
        <v>secrets</v>
      </c>
      <c r="AJ14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0.99129225346909133</v>
      </c>
      <c r="AK144" s="10" t="s">
        <v>2642</v>
      </c>
    </row>
    <row r="145" spans="1:37" hidden="1" x14ac:dyDescent="0.3">
      <c r="A145" s="4" t="s">
        <v>3</v>
      </c>
      <c r="B145" s="4" t="s">
        <v>31</v>
      </c>
      <c r="C145" s="4" t="s">
        <v>32</v>
      </c>
      <c r="D145" s="4" t="s">
        <v>33</v>
      </c>
      <c r="E145" s="5" t="s">
        <v>7</v>
      </c>
      <c r="F145" s="4" t="s">
        <v>776</v>
      </c>
      <c r="G145" s="5" t="s">
        <v>7</v>
      </c>
      <c r="H145" s="4" t="s">
        <v>777</v>
      </c>
      <c r="I145" s="5" t="s">
        <v>7</v>
      </c>
      <c r="J145" s="4" t="s">
        <v>778</v>
      </c>
      <c r="K145" s="5" t="s">
        <v>7</v>
      </c>
      <c r="L145" s="4" t="s">
        <v>779</v>
      </c>
      <c r="M145" s="5" t="s">
        <v>7</v>
      </c>
      <c r="N145" s="4" t="s">
        <v>780</v>
      </c>
      <c r="O145" s="5" t="s">
        <v>7</v>
      </c>
      <c r="P145" s="4" t="s">
        <v>2611</v>
      </c>
      <c r="Q145" s="5" t="s">
        <v>7</v>
      </c>
      <c r="R145" s="4" t="s">
        <v>781</v>
      </c>
      <c r="S145" s="5" t="s">
        <v>7</v>
      </c>
      <c r="T145" s="4" t="s">
        <v>782</v>
      </c>
      <c r="U145" s="5" t="s">
        <v>7</v>
      </c>
      <c r="V145" s="4" t="s">
        <v>2611</v>
      </c>
      <c r="W145" s="5" t="s">
        <v>7</v>
      </c>
      <c r="X145" s="4" t="s">
        <v>783</v>
      </c>
      <c r="Y145" s="5" t="s">
        <v>7</v>
      </c>
      <c r="Z145" s="4" t="s">
        <v>784</v>
      </c>
      <c r="AA145" s="5" t="s">
        <v>7</v>
      </c>
      <c r="AB14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167517838</v>
      </c>
      <c r="AC145" s="8" t="str">
        <f>IF(NOT(AND(ISNUMBER(VALUE(prodcom_data[[#This Row],[PRODQNT - EU27_2020 - 2019 - amount]])), ISNUMBER(VALUE(prodcom_data[[#This Row],[IMPQNT - EU27_2020 - 2019 - amount]])))), "secrets", "")</f>
        <v/>
      </c>
      <c r="AD14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174628323</v>
      </c>
      <c r="AE145" s="8" t="str">
        <f>IF(NOT(AND(ISNUMBER(VALUE(prodcom_data[[#This Row],[PRODQNT - EU27_2020 - 2022 - amount]])), ISNUMBER(VALUE(prodcom_data[[#This Row],[IMPQNT - EU27_2020 - 2022 - amount]])))), "secrets", "")</f>
        <v/>
      </c>
      <c r="AF145" s="7">
        <f>_xlfn.LET(_xlpm.production_amount, VALUE(prodcom_data[[#This Row],[PRODQNT - FR - 2019 - amount]]), IF(ISNUMBER(_xlpm.production_amount), _xlpm.production_amount, 0))+_xlfn.LET(_xlpm.import_amount, VALUE(prodcom_data[[#This Row],[IMPQNT - FR - 2019 - amount]]), IF(ISNUMBER(_xlpm.import_amount), _xlpm.import_amount, 0))</f>
        <v>14136100</v>
      </c>
      <c r="AG145" s="8" t="str">
        <f>IF(NOT(AND(ISNUMBER(VALUE(prodcom_data[[#This Row],[PRODQNT - FR - 2019 - amount]])), ISNUMBER(VALUE(prodcom_data[[#This Row],[IMPQNT - FR - 2019 - amount]])))), "secrets", "")</f>
        <v>secrets</v>
      </c>
      <c r="AH145" s="7">
        <f>_xlfn.LET(_xlpm.production_amount, VALUE(prodcom_data[[#This Row],[PRODQNT - FR - 2022 - amount]]), IF(ISNUMBER(_xlpm.production_amount), _xlpm.production_amount, 0))+_xlfn.LET(_xlpm.import_amount, VALUE(prodcom_data[[#This Row],[IMPQNT - FR - 2022 - amount]]), IF(ISNUMBER(_xlpm.import_amount), _xlpm.import_amount, 0))</f>
        <v>28847014</v>
      </c>
      <c r="AI145" s="8" t="str">
        <f>IF(NOT(AND(ISNUMBER(VALUE(prodcom_data[[#This Row],[PRODQNT - FR - 2022 - amount]])), ISNUMBER(VALUE(prodcom_data[[#This Row],[IMPQNT - FR - 2022 - amount]])))), "secrets", "")</f>
        <v>secrets</v>
      </c>
      <c r="AJ14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0.57120501580949157</v>
      </c>
      <c r="AK145" s="10" t="s">
        <v>2641</v>
      </c>
    </row>
    <row r="146" spans="1:37" x14ac:dyDescent="0.3">
      <c r="A146" s="4" t="s">
        <v>3</v>
      </c>
      <c r="B146" s="4" t="s">
        <v>669</v>
      </c>
      <c r="C146" s="4" t="s">
        <v>670</v>
      </c>
      <c r="D146" s="4" t="s">
        <v>671</v>
      </c>
      <c r="E146" s="5" t="s">
        <v>7</v>
      </c>
      <c r="F146" s="4" t="s">
        <v>2584</v>
      </c>
      <c r="G146" s="5" t="s">
        <v>7</v>
      </c>
      <c r="H146" s="4" t="s">
        <v>2585</v>
      </c>
      <c r="I146" s="5" t="s">
        <v>7</v>
      </c>
      <c r="J146" s="4" t="s">
        <v>2586</v>
      </c>
      <c r="K146" s="5" t="s">
        <v>7</v>
      </c>
      <c r="L146" s="4" t="s">
        <v>2587</v>
      </c>
      <c r="M146" s="5" t="s">
        <v>7</v>
      </c>
      <c r="N146" s="4" t="s">
        <v>2588</v>
      </c>
      <c r="O146" s="5" t="s">
        <v>7</v>
      </c>
      <c r="P146" s="4" t="s">
        <v>2589</v>
      </c>
      <c r="Q146" s="5" t="s">
        <v>7</v>
      </c>
      <c r="R146" s="4" t="s">
        <v>2590</v>
      </c>
      <c r="S146" s="5" t="s">
        <v>7</v>
      </c>
      <c r="T146" s="4" t="s">
        <v>2591</v>
      </c>
      <c r="U146" s="5" t="s">
        <v>7</v>
      </c>
      <c r="V146" s="4" t="s">
        <v>2611</v>
      </c>
      <c r="W146" s="5" t="s">
        <v>7</v>
      </c>
      <c r="X146" s="4" t="s">
        <v>2592</v>
      </c>
      <c r="Y146" s="5" t="s">
        <v>7</v>
      </c>
      <c r="Z146" s="4" t="s">
        <v>2593</v>
      </c>
      <c r="AA146" s="5" t="s">
        <v>7</v>
      </c>
      <c r="AB14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140197294</v>
      </c>
      <c r="AC146" s="8" t="str">
        <f>IF(NOT(AND(ISNUMBER(VALUE(prodcom_data[[#This Row],[PRODQNT - EU27_2020 - 2019 - amount]])), ISNUMBER(VALUE(prodcom_data[[#This Row],[IMPQNT - EU27_2020 - 2019 - amount]])))), "secrets", "")</f>
        <v/>
      </c>
      <c r="AD14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161101341</v>
      </c>
      <c r="AE146" s="8" t="str">
        <f>IF(NOT(AND(ISNUMBER(VALUE(prodcom_data[[#This Row],[PRODQNT - EU27_2020 - 2022 - amount]])), ISNUMBER(VALUE(prodcom_data[[#This Row],[IMPQNT - EU27_2020 - 2022 - amount]])))), "secrets", "")</f>
        <v/>
      </c>
      <c r="AF146" s="7">
        <f>_xlfn.LET(_xlpm.production_amount, VALUE(prodcom_data[[#This Row],[PRODQNT - FR - 2019 - amount]]), IF(ISNUMBER(_xlpm.production_amount), _xlpm.production_amount, 0))+_xlfn.LET(_xlpm.import_amount, VALUE(prodcom_data[[#This Row],[IMPQNT - FR - 2019 - amount]]), IF(ISNUMBER(_xlpm.import_amount), _xlpm.import_amount, 0))</f>
        <v>3060494</v>
      </c>
      <c r="AG146" s="8" t="str">
        <f>IF(NOT(AND(ISNUMBER(VALUE(prodcom_data[[#This Row],[PRODQNT - FR - 2019 - amount]])), ISNUMBER(VALUE(prodcom_data[[#This Row],[IMPQNT - FR - 2019 - amount]])))), "secrets", "")</f>
        <v/>
      </c>
      <c r="AH146" s="7">
        <f>_xlfn.LET(_xlpm.production_amount, VALUE(prodcom_data[[#This Row],[PRODQNT - FR - 2022 - amount]]), IF(ISNUMBER(_xlpm.production_amount), _xlpm.production_amount, 0))+_xlfn.LET(_xlpm.import_amount, VALUE(prodcom_data[[#This Row],[IMPQNT - FR - 2022 - amount]]), IF(ISNUMBER(_xlpm.import_amount), _xlpm.import_amount, 0))</f>
        <v>1370891</v>
      </c>
      <c r="AI146" s="8" t="str">
        <f>IF(NOT(AND(ISNUMBER(VALUE(prodcom_data[[#This Row],[PRODQNT - FR - 2022 - amount]])), ISNUMBER(VALUE(prodcom_data[[#This Row],[IMPQNT - FR - 2022 - amount]])))), "secrets", "")</f>
        <v>secrets</v>
      </c>
      <c r="AJ14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0.95690379138433124</v>
      </c>
      <c r="AK146" s="10" t="s">
        <v>2642</v>
      </c>
    </row>
    <row r="147" spans="1:37" x14ac:dyDescent="0.3">
      <c r="A147" s="4" t="s">
        <v>3</v>
      </c>
      <c r="B147" s="4" t="s">
        <v>423</v>
      </c>
      <c r="C147" s="4" t="s">
        <v>424</v>
      </c>
      <c r="D147" s="4" t="s">
        <v>425</v>
      </c>
      <c r="E147" s="5" t="s">
        <v>7</v>
      </c>
      <c r="F147" s="4" t="s">
        <v>1850</v>
      </c>
      <c r="G147" s="5" t="s">
        <v>7</v>
      </c>
      <c r="H147" s="4" t="s">
        <v>1851</v>
      </c>
      <c r="I147" s="5" t="s">
        <v>7</v>
      </c>
      <c r="J147" s="4" t="s">
        <v>1852</v>
      </c>
      <c r="K147" s="5" t="s">
        <v>7</v>
      </c>
      <c r="L147" s="4" t="s">
        <v>1853</v>
      </c>
      <c r="M147" s="5" t="s">
        <v>7</v>
      </c>
      <c r="N147" s="4" t="s">
        <v>1854</v>
      </c>
      <c r="O147" s="5" t="s">
        <v>7</v>
      </c>
      <c r="P147" s="4" t="s">
        <v>1855</v>
      </c>
      <c r="Q147" s="5" t="s">
        <v>7</v>
      </c>
      <c r="R147" s="4" t="s">
        <v>713</v>
      </c>
      <c r="S147" s="5" t="s">
        <v>7</v>
      </c>
      <c r="T147" s="4" t="s">
        <v>1856</v>
      </c>
      <c r="U147" s="5" t="s">
        <v>7</v>
      </c>
      <c r="V147" s="4" t="s">
        <v>2611</v>
      </c>
      <c r="W147" s="5" t="s">
        <v>7</v>
      </c>
      <c r="X147" s="4" t="s">
        <v>1857</v>
      </c>
      <c r="Y147" s="5" t="s">
        <v>7</v>
      </c>
      <c r="Z147" s="4" t="s">
        <v>1858</v>
      </c>
      <c r="AA147" s="5" t="s">
        <v>7</v>
      </c>
      <c r="AB14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172724696</v>
      </c>
      <c r="AC147" s="8" t="str">
        <f>IF(NOT(AND(ISNUMBER(VALUE(prodcom_data[[#This Row],[PRODQNT - EU27_2020 - 2019 - amount]])), ISNUMBER(VALUE(prodcom_data[[#This Row],[IMPQNT - EU27_2020 - 2019 - amount]])))), "secrets", "")</f>
        <v/>
      </c>
      <c r="AD14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157621582</v>
      </c>
      <c r="AE147" s="8" t="str">
        <f>IF(NOT(AND(ISNUMBER(VALUE(prodcom_data[[#This Row],[PRODQNT - EU27_2020 - 2022 - amount]])), ISNUMBER(VALUE(prodcom_data[[#This Row],[IMPQNT - EU27_2020 - 2022 - amount]])))), "secrets", "")</f>
        <v/>
      </c>
      <c r="AF147" s="7">
        <f>_xlfn.LET(_xlpm.production_amount, VALUE(prodcom_data[[#This Row],[PRODQNT - FR - 2019 - amount]]), IF(ISNUMBER(_xlpm.production_amount), _xlpm.production_amount, 0))+_xlfn.LET(_xlpm.import_amount, VALUE(prodcom_data[[#This Row],[IMPQNT - FR - 2019 - amount]]), IF(ISNUMBER(_xlpm.import_amount), _xlpm.import_amount, 0))</f>
        <v>16007417</v>
      </c>
      <c r="AG147" s="8" t="str">
        <f>IF(NOT(AND(ISNUMBER(VALUE(prodcom_data[[#This Row],[PRODQNT - FR - 2019 - amount]])), ISNUMBER(VALUE(prodcom_data[[#This Row],[IMPQNT - FR - 2019 - amount]])))), "secrets", "")</f>
        <v/>
      </c>
      <c r="AH147" s="7">
        <f>_xlfn.LET(_xlpm.production_amount, VALUE(prodcom_data[[#This Row],[PRODQNT - FR - 2022 - amount]]), IF(ISNUMBER(_xlpm.production_amount), _xlpm.production_amount, 0))+_xlfn.LET(_xlpm.import_amount, VALUE(prodcom_data[[#This Row],[IMPQNT - FR - 2022 - amount]]), IF(ISNUMBER(_xlpm.import_amount), _xlpm.import_amount, 0))</f>
        <v>15431757</v>
      </c>
      <c r="AI147" s="8" t="str">
        <f>IF(NOT(AND(ISNUMBER(VALUE(prodcom_data[[#This Row],[PRODQNT - FR - 2022 - amount]])), ISNUMBER(VALUE(prodcom_data[[#This Row],[IMPQNT - FR - 2022 - amount]])))), "secrets", "")</f>
        <v>secrets</v>
      </c>
      <c r="AJ14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0.5992467135623597</v>
      </c>
      <c r="AK147" s="10" t="s">
        <v>2642</v>
      </c>
    </row>
    <row r="148" spans="1:37" x14ac:dyDescent="0.3">
      <c r="A148" s="4" t="s">
        <v>3</v>
      </c>
      <c r="B148" s="4" t="s">
        <v>177</v>
      </c>
      <c r="C148" s="4" t="s">
        <v>178</v>
      </c>
      <c r="D148" s="4" t="s">
        <v>179</v>
      </c>
      <c r="E148" s="5" t="s">
        <v>7</v>
      </c>
      <c r="F148" s="4" t="s">
        <v>1203</v>
      </c>
      <c r="G148" s="5" t="s">
        <v>7</v>
      </c>
      <c r="H148" s="4" t="s">
        <v>1204</v>
      </c>
      <c r="I148" s="5" t="s">
        <v>7</v>
      </c>
      <c r="J148" s="4" t="s">
        <v>1205</v>
      </c>
      <c r="K148" s="5" t="s">
        <v>7</v>
      </c>
      <c r="L148" s="4" t="s">
        <v>1206</v>
      </c>
      <c r="M148" s="5" t="s">
        <v>7</v>
      </c>
      <c r="N148" s="4" t="s">
        <v>1207</v>
      </c>
      <c r="O148" s="5" t="s">
        <v>7</v>
      </c>
      <c r="P148" s="4" t="s">
        <v>703</v>
      </c>
      <c r="Q148" s="5" t="s">
        <v>703</v>
      </c>
      <c r="R148" s="4" t="s">
        <v>1208</v>
      </c>
      <c r="S148" s="5" t="s">
        <v>7</v>
      </c>
      <c r="T148" s="4" t="s">
        <v>1209</v>
      </c>
      <c r="U148" s="5" t="s">
        <v>7</v>
      </c>
      <c r="V148" s="4" t="s">
        <v>703</v>
      </c>
      <c r="W148" s="5" t="s">
        <v>703</v>
      </c>
      <c r="X148" s="4" t="s">
        <v>1210</v>
      </c>
      <c r="Y148" s="5" t="s">
        <v>7</v>
      </c>
      <c r="Z148" s="4" t="s">
        <v>1211</v>
      </c>
      <c r="AA148" s="5" t="s">
        <v>7</v>
      </c>
      <c r="AB14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178932241</v>
      </c>
      <c r="AC148" s="8" t="str">
        <f>IF(NOT(AND(ISNUMBER(VALUE(prodcom_data[[#This Row],[PRODQNT - EU27_2020 - 2019 - amount]])), ISNUMBER(VALUE(prodcom_data[[#This Row],[IMPQNT - EU27_2020 - 2019 - amount]])))), "secrets", "")</f>
        <v/>
      </c>
      <c r="AD14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146947489</v>
      </c>
      <c r="AE148" s="8" t="str">
        <f>IF(NOT(AND(ISNUMBER(VALUE(prodcom_data[[#This Row],[PRODQNT - EU27_2020 - 2022 - amount]])), ISNUMBER(VALUE(prodcom_data[[#This Row],[IMPQNT - EU27_2020 - 2022 - amount]])))), "secrets", "")</f>
        <v/>
      </c>
      <c r="AF148" s="7">
        <f>_xlfn.LET(_xlpm.production_amount, VALUE(prodcom_data[[#This Row],[PRODQNT - FR - 2019 - amount]]), IF(ISNUMBER(_xlpm.production_amount), _xlpm.production_amount, 0))+_xlfn.LET(_xlpm.import_amount, VALUE(prodcom_data[[#This Row],[IMPQNT - FR - 2019 - amount]]), IF(ISNUMBER(_xlpm.import_amount), _xlpm.import_amount, 0))</f>
        <v>5083100</v>
      </c>
      <c r="AG148" s="8" t="str">
        <f>IF(NOT(AND(ISNUMBER(VALUE(prodcom_data[[#This Row],[PRODQNT - FR - 2019 - amount]])), ISNUMBER(VALUE(prodcom_data[[#This Row],[IMPQNT - FR - 2019 - amount]])))), "secrets", "")</f>
        <v>secrets</v>
      </c>
      <c r="AH148" s="7">
        <f>_xlfn.LET(_xlpm.production_amount, VALUE(prodcom_data[[#This Row],[PRODQNT - FR - 2022 - amount]]), IF(ISNUMBER(_xlpm.production_amount), _xlpm.production_amount, 0))+_xlfn.LET(_xlpm.import_amount, VALUE(prodcom_data[[#This Row],[IMPQNT - FR - 2022 - amount]]), IF(ISNUMBER(_xlpm.import_amount), _xlpm.import_amount, 0))</f>
        <v>7202036</v>
      </c>
      <c r="AI148" s="8" t="str">
        <f>IF(NOT(AND(ISNUMBER(VALUE(prodcom_data[[#This Row],[PRODQNT - FR - 2022 - amount]])), ISNUMBER(VALUE(prodcom_data[[#This Row],[IMPQNT - FR - 2022 - amount]])))), "secrets", "")</f>
        <v>secrets</v>
      </c>
      <c r="AJ14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0.96788625629390646</v>
      </c>
      <c r="AK148" s="10" t="s">
        <v>2642</v>
      </c>
    </row>
    <row r="149" spans="1:37" x14ac:dyDescent="0.3">
      <c r="A149" s="4" t="s">
        <v>3</v>
      </c>
      <c r="B149" s="4" t="s">
        <v>174</v>
      </c>
      <c r="C149" s="4" t="s">
        <v>175</v>
      </c>
      <c r="D149" s="4" t="s">
        <v>176</v>
      </c>
      <c r="E149" s="5" t="s">
        <v>7</v>
      </c>
      <c r="F149" s="4" t="s">
        <v>1194</v>
      </c>
      <c r="G149" s="5" t="s">
        <v>7</v>
      </c>
      <c r="H149" s="4" t="s">
        <v>1195</v>
      </c>
      <c r="I149" s="5" t="s">
        <v>7</v>
      </c>
      <c r="J149" s="4" t="s">
        <v>1196</v>
      </c>
      <c r="K149" s="5" t="s">
        <v>7</v>
      </c>
      <c r="L149" s="4" t="s">
        <v>1197</v>
      </c>
      <c r="M149" s="5" t="s">
        <v>7</v>
      </c>
      <c r="N149" s="4" t="s">
        <v>1198</v>
      </c>
      <c r="O149" s="5" t="s">
        <v>7</v>
      </c>
      <c r="P149" s="4" t="s">
        <v>2611</v>
      </c>
      <c r="Q149" s="5" t="s">
        <v>7</v>
      </c>
      <c r="R149" s="4" t="s">
        <v>1199</v>
      </c>
      <c r="S149" s="5" t="s">
        <v>7</v>
      </c>
      <c r="T149" s="4" t="s">
        <v>1200</v>
      </c>
      <c r="U149" s="5" t="s">
        <v>7</v>
      </c>
      <c r="V149" s="4" t="s">
        <v>713</v>
      </c>
      <c r="W149" s="5" t="s">
        <v>7</v>
      </c>
      <c r="X149" s="4" t="s">
        <v>1201</v>
      </c>
      <c r="Y149" s="5" t="s">
        <v>7</v>
      </c>
      <c r="Z149" s="4" t="s">
        <v>1202</v>
      </c>
      <c r="AA149" s="5" t="s">
        <v>7</v>
      </c>
      <c r="AB14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178027001</v>
      </c>
      <c r="AC149" s="8" t="str">
        <f>IF(NOT(AND(ISNUMBER(VALUE(prodcom_data[[#This Row],[PRODQNT - EU27_2020 - 2019 - amount]])), ISNUMBER(VALUE(prodcom_data[[#This Row],[IMPQNT - EU27_2020 - 2019 - amount]])))), "secrets", "")</f>
        <v/>
      </c>
      <c r="AD14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144173007</v>
      </c>
      <c r="AE149" s="8" t="str">
        <f>IF(NOT(AND(ISNUMBER(VALUE(prodcom_data[[#This Row],[PRODQNT - EU27_2020 - 2022 - amount]])), ISNUMBER(VALUE(prodcom_data[[#This Row],[IMPQNT - EU27_2020 - 2022 - amount]])))), "secrets", "")</f>
        <v/>
      </c>
      <c r="AF149" s="7">
        <f>_xlfn.LET(_xlpm.production_amount, VALUE(prodcom_data[[#This Row],[PRODQNT - FR - 2019 - amount]]), IF(ISNUMBER(_xlpm.production_amount), _xlpm.production_amount, 0))+_xlfn.LET(_xlpm.import_amount, VALUE(prodcom_data[[#This Row],[IMPQNT - FR - 2019 - amount]]), IF(ISNUMBER(_xlpm.import_amount), _xlpm.import_amount, 0))</f>
        <v>18380400</v>
      </c>
      <c r="AG149" s="8" t="str">
        <f>IF(NOT(AND(ISNUMBER(VALUE(prodcom_data[[#This Row],[PRODQNT - FR - 2019 - amount]])), ISNUMBER(VALUE(prodcom_data[[#This Row],[IMPQNT - FR - 2019 - amount]])))), "secrets", "")</f>
        <v>secrets</v>
      </c>
      <c r="AH149" s="7">
        <f>_xlfn.LET(_xlpm.production_amount, VALUE(prodcom_data[[#This Row],[PRODQNT - FR - 2022 - amount]]), IF(ISNUMBER(_xlpm.production_amount), _xlpm.production_amount, 0))+_xlfn.LET(_xlpm.import_amount, VALUE(prodcom_data[[#This Row],[IMPQNT - FR - 2022 - amount]]), IF(ISNUMBER(_xlpm.import_amount), _xlpm.import_amount, 0))</f>
        <v>20367959</v>
      </c>
      <c r="AI149" s="8" t="str">
        <f>IF(NOT(AND(ISNUMBER(VALUE(prodcom_data[[#This Row],[PRODQNT - FR - 2022 - amount]])), ISNUMBER(VALUE(prodcom_data[[#This Row],[IMPQNT - FR - 2022 - amount]])))), "secrets", "")</f>
        <v/>
      </c>
      <c r="AJ14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0.64725014717907636</v>
      </c>
      <c r="AK149" s="10" t="s">
        <v>2642</v>
      </c>
    </row>
    <row r="150" spans="1:37" x14ac:dyDescent="0.3">
      <c r="A150" s="4" t="s">
        <v>3</v>
      </c>
      <c r="B150" s="4" t="s">
        <v>64</v>
      </c>
      <c r="C150" s="4" t="s">
        <v>65</v>
      </c>
      <c r="D150" s="4" t="s">
        <v>66</v>
      </c>
      <c r="E150" s="5" t="s">
        <v>7</v>
      </c>
      <c r="F150" s="4" t="s">
        <v>872</v>
      </c>
      <c r="G150" s="5" t="s">
        <v>7</v>
      </c>
      <c r="H150" s="4" t="s">
        <v>873</v>
      </c>
      <c r="I150" s="5" t="s">
        <v>7</v>
      </c>
      <c r="J150" s="4" t="s">
        <v>874</v>
      </c>
      <c r="K150" s="5" t="s">
        <v>7</v>
      </c>
      <c r="L150" s="4" t="s">
        <v>875</v>
      </c>
      <c r="M150" s="5" t="s">
        <v>7</v>
      </c>
      <c r="N150" s="4" t="s">
        <v>876</v>
      </c>
      <c r="O150" s="5" t="s">
        <v>7</v>
      </c>
      <c r="P150" s="4" t="s">
        <v>877</v>
      </c>
      <c r="Q150" s="5" t="s">
        <v>7</v>
      </c>
      <c r="R150" s="4" t="s">
        <v>878</v>
      </c>
      <c r="S150" s="5" t="s">
        <v>7</v>
      </c>
      <c r="T150" s="4" t="s">
        <v>879</v>
      </c>
      <c r="U150" s="5" t="s">
        <v>7</v>
      </c>
      <c r="V150" s="4" t="s">
        <v>2611</v>
      </c>
      <c r="W150" s="5" t="s">
        <v>7</v>
      </c>
      <c r="X150" s="4" t="s">
        <v>880</v>
      </c>
      <c r="Y150" s="5" t="s">
        <v>7</v>
      </c>
      <c r="Z150" s="4" t="s">
        <v>881</v>
      </c>
      <c r="AA150" s="5" t="s">
        <v>7</v>
      </c>
      <c r="AB15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123226171</v>
      </c>
      <c r="AC150" s="8" t="str">
        <f>IF(NOT(AND(ISNUMBER(VALUE(prodcom_data[[#This Row],[PRODQNT - EU27_2020 - 2019 - amount]])), ISNUMBER(VALUE(prodcom_data[[#This Row],[IMPQNT - EU27_2020 - 2019 - amount]])))), "secrets", "")</f>
        <v/>
      </c>
      <c r="AD15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143056485</v>
      </c>
      <c r="AE150" s="8" t="str">
        <f>IF(NOT(AND(ISNUMBER(VALUE(prodcom_data[[#This Row],[PRODQNT - EU27_2020 - 2022 - amount]])), ISNUMBER(VALUE(prodcom_data[[#This Row],[IMPQNT - EU27_2020 - 2022 - amount]])))), "secrets", "")</f>
        <v/>
      </c>
      <c r="AF150" s="7">
        <f>_xlfn.LET(_xlpm.production_amount, VALUE(prodcom_data[[#This Row],[PRODQNT - FR - 2019 - amount]]), IF(ISNUMBER(_xlpm.production_amount), _xlpm.production_amount, 0))+_xlfn.LET(_xlpm.import_amount, VALUE(prodcom_data[[#This Row],[IMPQNT - FR - 2019 - amount]]), IF(ISNUMBER(_xlpm.import_amount), _xlpm.import_amount, 0))</f>
        <v>46640525</v>
      </c>
      <c r="AG150" s="8" t="str">
        <f>IF(NOT(AND(ISNUMBER(VALUE(prodcom_data[[#This Row],[PRODQNT - FR - 2019 - amount]])), ISNUMBER(VALUE(prodcom_data[[#This Row],[IMPQNT - FR - 2019 - amount]])))), "secrets", "")</f>
        <v/>
      </c>
      <c r="AH150" s="7">
        <f>_xlfn.LET(_xlpm.production_amount, VALUE(prodcom_data[[#This Row],[PRODQNT - FR - 2022 - amount]]), IF(ISNUMBER(_xlpm.production_amount), _xlpm.production_amount, 0))+_xlfn.LET(_xlpm.import_amount, VALUE(prodcom_data[[#This Row],[IMPQNT - FR - 2022 - amount]]), IF(ISNUMBER(_xlpm.import_amount), _xlpm.import_amount, 0))</f>
        <v>4090040</v>
      </c>
      <c r="AI150" s="8" t="str">
        <f>IF(NOT(AND(ISNUMBER(VALUE(prodcom_data[[#This Row],[PRODQNT - FR - 2022 - amount]])), ISNUMBER(VALUE(prodcom_data[[#This Row],[IMPQNT - FR - 2022 - amount]])))), "secrets", "")</f>
        <v>secrets</v>
      </c>
      <c r="AJ15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0.97863441842570087</v>
      </c>
      <c r="AK150" s="10" t="s">
        <v>2642</v>
      </c>
    </row>
    <row r="151" spans="1:37" x14ac:dyDescent="0.3">
      <c r="A151" s="4" t="s">
        <v>3</v>
      </c>
      <c r="B151" s="4" t="s">
        <v>241</v>
      </c>
      <c r="C151" s="4" t="s">
        <v>242</v>
      </c>
      <c r="D151" s="4" t="s">
        <v>243</v>
      </c>
      <c r="E151" s="5" t="s">
        <v>7</v>
      </c>
      <c r="F151" s="4" t="s">
        <v>1369</v>
      </c>
      <c r="G151" s="5" t="s">
        <v>7</v>
      </c>
      <c r="H151" s="4" t="s">
        <v>1370</v>
      </c>
      <c r="I151" s="5" t="s">
        <v>7</v>
      </c>
      <c r="J151" s="4" t="s">
        <v>66</v>
      </c>
      <c r="K151" s="5" t="s">
        <v>7</v>
      </c>
      <c r="L151" s="4" t="s">
        <v>1371</v>
      </c>
      <c r="M151" s="5" t="s">
        <v>7</v>
      </c>
      <c r="N151" s="4" t="s">
        <v>1372</v>
      </c>
      <c r="O151" s="5" t="s">
        <v>7</v>
      </c>
      <c r="P151" s="4" t="s">
        <v>1373</v>
      </c>
      <c r="Q151" s="5" t="s">
        <v>7</v>
      </c>
      <c r="R151" s="4" t="s">
        <v>1374</v>
      </c>
      <c r="S151" s="5" t="s">
        <v>7</v>
      </c>
      <c r="T151" s="4" t="s">
        <v>1375</v>
      </c>
      <c r="U151" s="5" t="s">
        <v>7</v>
      </c>
      <c r="V151" s="4" t="s">
        <v>2611</v>
      </c>
      <c r="W151" s="5" t="s">
        <v>7</v>
      </c>
      <c r="X151" s="4" t="s">
        <v>1376</v>
      </c>
      <c r="Y151" s="5" t="s">
        <v>7</v>
      </c>
      <c r="Z151" s="4" t="s">
        <v>1377</v>
      </c>
      <c r="AA151" s="5" t="s">
        <v>7</v>
      </c>
      <c r="AB15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216307198</v>
      </c>
      <c r="AC151" s="8" t="str">
        <f>IF(NOT(AND(ISNUMBER(VALUE(prodcom_data[[#This Row],[PRODQNT - EU27_2020 - 2019 - amount]])), ISNUMBER(VALUE(prodcom_data[[#This Row],[IMPQNT - EU27_2020 - 2019 - amount]])))), "secrets", "")</f>
        <v/>
      </c>
      <c r="AD15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131264959</v>
      </c>
      <c r="AE151" s="8" t="str">
        <f>IF(NOT(AND(ISNUMBER(VALUE(prodcom_data[[#This Row],[PRODQNT - EU27_2020 - 2022 - amount]])), ISNUMBER(VALUE(prodcom_data[[#This Row],[IMPQNT - EU27_2020 - 2022 - amount]])))), "secrets", "")</f>
        <v/>
      </c>
      <c r="AF151" s="7">
        <f>_xlfn.LET(_xlpm.production_amount, VALUE(prodcom_data[[#This Row],[PRODQNT - FR - 2019 - amount]]), IF(ISNUMBER(_xlpm.production_amount), _xlpm.production_amount, 0))+_xlfn.LET(_xlpm.import_amount, VALUE(prodcom_data[[#This Row],[IMPQNT - FR - 2019 - amount]]), IF(ISNUMBER(_xlpm.import_amount), _xlpm.import_amount, 0))</f>
        <v>755450</v>
      </c>
      <c r="AG151" s="8" t="str">
        <f>IF(NOT(AND(ISNUMBER(VALUE(prodcom_data[[#This Row],[PRODQNT - FR - 2019 - amount]])), ISNUMBER(VALUE(prodcom_data[[#This Row],[IMPQNT - FR - 2019 - amount]])))), "secrets", "")</f>
        <v/>
      </c>
      <c r="AH151" s="7">
        <f>_xlfn.LET(_xlpm.production_amount, VALUE(prodcom_data[[#This Row],[PRODQNT - FR - 2022 - amount]]), IF(ISNUMBER(_xlpm.production_amount), _xlpm.production_amount, 0))+_xlfn.LET(_xlpm.import_amount, VALUE(prodcom_data[[#This Row],[IMPQNT - FR - 2022 - amount]]), IF(ISNUMBER(_xlpm.import_amount), _xlpm.import_amount, 0))</f>
        <v>770559</v>
      </c>
      <c r="AI151" s="8" t="str">
        <f>IF(NOT(AND(ISNUMBER(VALUE(prodcom_data[[#This Row],[PRODQNT - FR - 2022 - amount]])), ISNUMBER(VALUE(prodcom_data[[#This Row],[IMPQNT - FR - 2022 - amount]])))), "secrets", "")</f>
        <v>secrets</v>
      </c>
      <c r="AJ15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0.9141815219703836</v>
      </c>
      <c r="AK151" s="10" t="s">
        <v>2642</v>
      </c>
    </row>
    <row r="152" spans="1:37" x14ac:dyDescent="0.3">
      <c r="A152" s="4" t="s">
        <v>3</v>
      </c>
      <c r="B152" s="4" t="s">
        <v>305</v>
      </c>
      <c r="C152" s="4" t="s">
        <v>306</v>
      </c>
      <c r="D152" s="4" t="s">
        <v>307</v>
      </c>
      <c r="E152" s="5" t="s">
        <v>7</v>
      </c>
      <c r="F152" s="4" t="s">
        <v>1540</v>
      </c>
      <c r="G152" s="5" t="s">
        <v>7</v>
      </c>
      <c r="H152" s="4" t="s">
        <v>1541</v>
      </c>
      <c r="I152" s="5" t="s">
        <v>7</v>
      </c>
      <c r="J152" s="4" t="s">
        <v>1329</v>
      </c>
      <c r="K152" s="5" t="s">
        <v>7</v>
      </c>
      <c r="L152" s="4" t="s">
        <v>1542</v>
      </c>
      <c r="M152" s="5" t="s">
        <v>7</v>
      </c>
      <c r="N152" s="4" t="s">
        <v>1543</v>
      </c>
      <c r="O152" s="5" t="s">
        <v>7</v>
      </c>
      <c r="P152" s="4" t="s">
        <v>2611</v>
      </c>
      <c r="Q152" s="5" t="s">
        <v>7</v>
      </c>
      <c r="R152" s="4" t="s">
        <v>713</v>
      </c>
      <c r="S152" s="5" t="s">
        <v>7</v>
      </c>
      <c r="T152" s="4" t="s">
        <v>1544</v>
      </c>
      <c r="U152" s="5" t="s">
        <v>7</v>
      </c>
      <c r="V152" s="4" t="s">
        <v>2611</v>
      </c>
      <c r="W152" s="5" t="s">
        <v>7</v>
      </c>
      <c r="X152" s="4" t="s">
        <v>1545</v>
      </c>
      <c r="Y152" s="5" t="s">
        <v>7</v>
      </c>
      <c r="Z152" s="4" t="s">
        <v>1546</v>
      </c>
      <c r="AA152" s="5" t="s">
        <v>7</v>
      </c>
      <c r="AB15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183679653</v>
      </c>
      <c r="AC152" s="8" t="str">
        <f>IF(NOT(AND(ISNUMBER(VALUE(prodcom_data[[#This Row],[PRODQNT - EU27_2020 - 2019 - amount]])), ISNUMBER(VALUE(prodcom_data[[#This Row],[IMPQNT - EU27_2020 - 2019 - amount]])))), "secrets", "")</f>
        <v/>
      </c>
      <c r="AD15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129400775</v>
      </c>
      <c r="AE152" s="8" t="str">
        <f>IF(NOT(AND(ISNUMBER(VALUE(prodcom_data[[#This Row],[PRODQNT - EU27_2020 - 2022 - amount]])), ISNUMBER(VALUE(prodcom_data[[#This Row],[IMPQNT - EU27_2020 - 2022 - amount]])))), "secrets", "")</f>
        <v/>
      </c>
      <c r="AF152" s="7">
        <f>_xlfn.LET(_xlpm.production_amount, VALUE(prodcom_data[[#This Row],[PRODQNT - FR - 2019 - amount]]), IF(ISNUMBER(_xlpm.production_amount), _xlpm.production_amount, 0))+_xlfn.LET(_xlpm.import_amount, VALUE(prodcom_data[[#This Row],[IMPQNT - FR - 2019 - amount]]), IF(ISNUMBER(_xlpm.import_amount), _xlpm.import_amount, 0))</f>
        <v>11014800</v>
      </c>
      <c r="AG152" s="8" t="str">
        <f>IF(NOT(AND(ISNUMBER(VALUE(prodcom_data[[#This Row],[PRODQNT - FR - 2019 - amount]])), ISNUMBER(VALUE(prodcom_data[[#This Row],[IMPQNT - FR - 2019 - amount]])))), "secrets", "")</f>
        <v>secrets</v>
      </c>
      <c r="AH152" s="7">
        <f>_xlfn.LET(_xlpm.production_amount, VALUE(prodcom_data[[#This Row],[PRODQNT - FR - 2022 - amount]]), IF(ISNUMBER(_xlpm.production_amount), _xlpm.production_amount, 0))+_xlfn.LET(_xlpm.import_amount, VALUE(prodcom_data[[#This Row],[IMPQNT - FR - 2022 - amount]]), IF(ISNUMBER(_xlpm.import_amount), _xlpm.import_amount, 0))</f>
        <v>15410088</v>
      </c>
      <c r="AI152" s="8" t="str">
        <f>IF(NOT(AND(ISNUMBER(VALUE(prodcom_data[[#This Row],[PRODQNT - FR - 2022 - amount]])), ISNUMBER(VALUE(prodcom_data[[#This Row],[IMPQNT - FR - 2022 - amount]])))), "secrets", "")</f>
        <v>secrets</v>
      </c>
      <c r="AJ15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0.69551360878634616</v>
      </c>
      <c r="AK152" s="10" t="s">
        <v>2642</v>
      </c>
    </row>
    <row r="153" spans="1:37" hidden="1" x14ac:dyDescent="0.3">
      <c r="A153" s="4" t="s">
        <v>3</v>
      </c>
      <c r="B153" s="4" t="s">
        <v>479</v>
      </c>
      <c r="C153" s="4" t="s">
        <v>480</v>
      </c>
      <c r="D153" s="4" t="s">
        <v>481</v>
      </c>
      <c r="E153" s="5" t="s">
        <v>7</v>
      </c>
      <c r="F153" s="4" t="s">
        <v>2008</v>
      </c>
      <c r="G153" s="5" t="s">
        <v>7</v>
      </c>
      <c r="H153" s="4" t="s">
        <v>2009</v>
      </c>
      <c r="I153" s="5" t="s">
        <v>7</v>
      </c>
      <c r="J153" s="4" t="s">
        <v>292</v>
      </c>
      <c r="K153" s="5" t="s">
        <v>7</v>
      </c>
      <c r="L153" s="4" t="s">
        <v>2010</v>
      </c>
      <c r="M153" s="5" t="s">
        <v>7</v>
      </c>
      <c r="N153" s="4" t="s">
        <v>2011</v>
      </c>
      <c r="O153" s="5" t="s">
        <v>7</v>
      </c>
      <c r="P153" s="4" t="s">
        <v>2611</v>
      </c>
      <c r="Q153" s="5" t="s">
        <v>7</v>
      </c>
      <c r="R153" s="4" t="s">
        <v>2012</v>
      </c>
      <c r="S153" s="5" t="s">
        <v>7</v>
      </c>
      <c r="T153" s="4" t="s">
        <v>2013</v>
      </c>
      <c r="U153" s="5" t="s">
        <v>7</v>
      </c>
      <c r="V153" s="4" t="s">
        <v>2611</v>
      </c>
      <c r="W153" s="5" t="s">
        <v>7</v>
      </c>
      <c r="X153" s="4" t="s">
        <v>2014</v>
      </c>
      <c r="Y153" s="5" t="s">
        <v>7</v>
      </c>
      <c r="Z153" s="4" t="s">
        <v>2015</v>
      </c>
      <c r="AA153" s="5" t="s">
        <v>7</v>
      </c>
      <c r="AB15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184407921</v>
      </c>
      <c r="AC153" s="8" t="str">
        <f>IF(NOT(AND(ISNUMBER(VALUE(prodcom_data[[#This Row],[PRODQNT - EU27_2020 - 2019 - amount]])), ISNUMBER(VALUE(prodcom_data[[#This Row],[IMPQNT - EU27_2020 - 2019 - amount]])))), "secrets", "")</f>
        <v/>
      </c>
      <c r="AD15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126570895</v>
      </c>
      <c r="AE153" s="8" t="str">
        <f>IF(NOT(AND(ISNUMBER(VALUE(prodcom_data[[#This Row],[PRODQNT - EU27_2020 - 2022 - amount]])), ISNUMBER(VALUE(prodcom_data[[#This Row],[IMPQNT - EU27_2020 - 2022 - amount]])))), "secrets", "")</f>
        <v/>
      </c>
      <c r="AF153" s="7">
        <f>_xlfn.LET(_xlpm.production_amount, VALUE(prodcom_data[[#This Row],[PRODQNT - FR - 2019 - amount]]), IF(ISNUMBER(_xlpm.production_amount), _xlpm.production_amount, 0))+_xlfn.LET(_xlpm.import_amount, VALUE(prodcom_data[[#This Row],[IMPQNT - FR - 2019 - amount]]), IF(ISNUMBER(_xlpm.import_amount), _xlpm.import_amount, 0))</f>
        <v>11001700</v>
      </c>
      <c r="AG153" s="8" t="str">
        <f>IF(NOT(AND(ISNUMBER(VALUE(prodcom_data[[#This Row],[PRODQNT - FR - 2019 - amount]])), ISNUMBER(VALUE(prodcom_data[[#This Row],[IMPQNT - FR - 2019 - amount]])))), "secrets", "")</f>
        <v>secrets</v>
      </c>
      <c r="AH153" s="7">
        <f>_xlfn.LET(_xlpm.production_amount, VALUE(prodcom_data[[#This Row],[PRODQNT - FR - 2022 - amount]]), IF(ISNUMBER(_xlpm.production_amount), _xlpm.production_amount, 0))+_xlfn.LET(_xlpm.import_amount, VALUE(prodcom_data[[#This Row],[IMPQNT - FR - 2022 - amount]]), IF(ISNUMBER(_xlpm.import_amount), _xlpm.import_amount, 0))</f>
        <v>7917515</v>
      </c>
      <c r="AI153" s="8" t="str">
        <f>IF(NOT(AND(ISNUMBER(VALUE(prodcom_data[[#This Row],[PRODQNT - FR - 2022 - amount]])), ISNUMBER(VALUE(prodcom_data[[#This Row],[IMPQNT - FR - 2022 - amount]])))), "secrets", "")</f>
        <v>secrets</v>
      </c>
      <c r="AJ15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0.63205684055564271</v>
      </c>
      <c r="AK153" s="10" t="s">
        <v>2641</v>
      </c>
    </row>
    <row r="154" spans="1:37" x14ac:dyDescent="0.3">
      <c r="A154" s="4" t="s">
        <v>3</v>
      </c>
      <c r="B154" s="4" t="s">
        <v>628</v>
      </c>
      <c r="C154" s="4" t="s">
        <v>629</v>
      </c>
      <c r="D154" s="4" t="s">
        <v>630</v>
      </c>
      <c r="E154" s="5" t="s">
        <v>7</v>
      </c>
      <c r="F154" s="4" t="s">
        <v>2465</v>
      </c>
      <c r="G154" s="5" t="s">
        <v>7</v>
      </c>
      <c r="H154" s="4" t="s">
        <v>2466</v>
      </c>
      <c r="I154" s="5" t="s">
        <v>7</v>
      </c>
      <c r="J154" s="4" t="s">
        <v>146</v>
      </c>
      <c r="K154" s="5" t="s">
        <v>7</v>
      </c>
      <c r="L154" s="4" t="s">
        <v>2467</v>
      </c>
      <c r="M154" s="5" t="s">
        <v>7</v>
      </c>
      <c r="N154" s="4" t="s">
        <v>2468</v>
      </c>
      <c r="O154" s="5" t="s">
        <v>7</v>
      </c>
      <c r="P154" s="4" t="s">
        <v>2469</v>
      </c>
      <c r="Q154" s="5" t="s">
        <v>7</v>
      </c>
      <c r="R154" s="4" t="s">
        <v>713</v>
      </c>
      <c r="S154" s="5" t="s">
        <v>7</v>
      </c>
      <c r="T154" s="4" t="s">
        <v>2470</v>
      </c>
      <c r="U154" s="5" t="s">
        <v>7</v>
      </c>
      <c r="V154" s="4" t="s">
        <v>2471</v>
      </c>
      <c r="W154" s="5" t="s">
        <v>7</v>
      </c>
      <c r="X154" s="4" t="s">
        <v>2472</v>
      </c>
      <c r="Y154" s="5" t="s">
        <v>7</v>
      </c>
      <c r="Z154" s="4" t="s">
        <v>2473</v>
      </c>
      <c r="AA154" s="5" t="s">
        <v>7</v>
      </c>
      <c r="AB15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125944781</v>
      </c>
      <c r="AC154" s="8" t="str">
        <f>IF(NOT(AND(ISNUMBER(VALUE(prodcom_data[[#This Row],[PRODQNT - EU27_2020 - 2019 - amount]])), ISNUMBER(VALUE(prodcom_data[[#This Row],[IMPQNT - EU27_2020 - 2019 - amount]])))), "secrets", "")</f>
        <v/>
      </c>
      <c r="AD15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124425211</v>
      </c>
      <c r="AE154" s="8" t="str">
        <f>IF(NOT(AND(ISNUMBER(VALUE(prodcom_data[[#This Row],[PRODQNT - EU27_2020 - 2022 - amount]])), ISNUMBER(VALUE(prodcom_data[[#This Row],[IMPQNT - EU27_2020 - 2022 - amount]])))), "secrets", "")</f>
        <v/>
      </c>
      <c r="AF154" s="7">
        <f>_xlfn.LET(_xlpm.production_amount, VALUE(prodcom_data[[#This Row],[PRODQNT - FR - 2019 - amount]]), IF(ISNUMBER(_xlpm.production_amount), _xlpm.production_amount, 0))+_xlfn.LET(_xlpm.import_amount, VALUE(prodcom_data[[#This Row],[IMPQNT - FR - 2019 - amount]]), IF(ISNUMBER(_xlpm.import_amount), _xlpm.import_amount, 0))</f>
        <v>7121875</v>
      </c>
      <c r="AG154" s="8" t="str">
        <f>IF(NOT(AND(ISNUMBER(VALUE(prodcom_data[[#This Row],[PRODQNT - FR - 2019 - amount]])), ISNUMBER(VALUE(prodcom_data[[#This Row],[IMPQNT - FR - 2019 - amount]])))), "secrets", "")</f>
        <v/>
      </c>
      <c r="AH154" s="7">
        <f>_xlfn.LET(_xlpm.production_amount, VALUE(prodcom_data[[#This Row],[PRODQNT - FR - 2022 - amount]]), IF(ISNUMBER(_xlpm.production_amount), _xlpm.production_amount, 0))+_xlfn.LET(_xlpm.import_amount, VALUE(prodcom_data[[#This Row],[IMPQNT - FR - 2022 - amount]]), IF(ISNUMBER(_xlpm.import_amount), _xlpm.import_amount, 0))</f>
        <v>6924329</v>
      </c>
      <c r="AI154" s="8" t="str">
        <f>IF(NOT(AND(ISNUMBER(VALUE(prodcom_data[[#This Row],[PRODQNT - FR - 2022 - amount]])), ISNUMBER(VALUE(prodcom_data[[#This Row],[IMPQNT - FR - 2022 - amount]])))), "secrets", "")</f>
        <v/>
      </c>
      <c r="AJ15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0.56258695032472161</v>
      </c>
      <c r="AK154" s="10" t="s">
        <v>2642</v>
      </c>
    </row>
    <row r="155" spans="1:37" x14ac:dyDescent="0.3">
      <c r="A155" s="4" t="s">
        <v>3</v>
      </c>
      <c r="B155" s="4" t="s">
        <v>575</v>
      </c>
      <c r="C155" s="4" t="s">
        <v>576</v>
      </c>
      <c r="D155" s="4" t="s">
        <v>577</v>
      </c>
      <c r="E155" s="5" t="s">
        <v>7</v>
      </c>
      <c r="F155" s="4" t="s">
        <v>2290</v>
      </c>
      <c r="G155" s="5" t="s">
        <v>7</v>
      </c>
      <c r="H155" s="4" t="s">
        <v>2291</v>
      </c>
      <c r="I155" s="5" t="s">
        <v>7</v>
      </c>
      <c r="J155" s="4" t="s">
        <v>2292</v>
      </c>
      <c r="K155" s="5" t="s">
        <v>7</v>
      </c>
      <c r="L155" s="4" t="s">
        <v>2293</v>
      </c>
      <c r="M155" s="5" t="s">
        <v>7</v>
      </c>
      <c r="N155" s="4" t="s">
        <v>2294</v>
      </c>
      <c r="O155" s="5" t="s">
        <v>7</v>
      </c>
      <c r="P155" s="4" t="s">
        <v>2295</v>
      </c>
      <c r="Q155" s="5" t="s">
        <v>7</v>
      </c>
      <c r="R155" s="4" t="s">
        <v>2296</v>
      </c>
      <c r="S155" s="5" t="s">
        <v>7</v>
      </c>
      <c r="T155" s="4" t="s">
        <v>2297</v>
      </c>
      <c r="U155" s="5" t="s">
        <v>7</v>
      </c>
      <c r="V155" s="4" t="s">
        <v>2611</v>
      </c>
      <c r="W155" s="5" t="s">
        <v>7</v>
      </c>
      <c r="X155" s="4" t="s">
        <v>2298</v>
      </c>
      <c r="Y155" s="5" t="s">
        <v>7</v>
      </c>
      <c r="Z155" s="4" t="s">
        <v>2299</v>
      </c>
      <c r="AA155" s="5" t="s">
        <v>7</v>
      </c>
      <c r="AB15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181010365</v>
      </c>
      <c r="AC155" s="8" t="str">
        <f>IF(NOT(AND(ISNUMBER(VALUE(prodcom_data[[#This Row],[PRODQNT - EU27_2020 - 2019 - amount]])), ISNUMBER(VALUE(prodcom_data[[#This Row],[IMPQNT - EU27_2020 - 2019 - amount]])))), "secrets", "")</f>
        <v/>
      </c>
      <c r="AD15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123148493</v>
      </c>
      <c r="AE155" s="8" t="str">
        <f>IF(NOT(AND(ISNUMBER(VALUE(prodcom_data[[#This Row],[PRODQNT - EU27_2020 - 2022 - amount]])), ISNUMBER(VALUE(prodcom_data[[#This Row],[IMPQNT - EU27_2020 - 2022 - amount]])))), "secrets", "")</f>
        <v/>
      </c>
      <c r="AF155" s="7">
        <f>_xlfn.LET(_xlpm.production_amount, VALUE(prodcom_data[[#This Row],[PRODQNT - FR - 2019 - amount]]), IF(ISNUMBER(_xlpm.production_amount), _xlpm.production_amount, 0))+_xlfn.LET(_xlpm.import_amount, VALUE(prodcom_data[[#This Row],[IMPQNT - FR - 2019 - amount]]), IF(ISNUMBER(_xlpm.import_amount), _xlpm.import_amount, 0))</f>
        <v>31227928</v>
      </c>
      <c r="AG155" s="8" t="str">
        <f>IF(NOT(AND(ISNUMBER(VALUE(prodcom_data[[#This Row],[PRODQNT - FR - 2019 - amount]])), ISNUMBER(VALUE(prodcom_data[[#This Row],[IMPQNT - FR - 2019 - amount]])))), "secrets", "")</f>
        <v/>
      </c>
      <c r="AH155" s="7">
        <f>_xlfn.LET(_xlpm.production_amount, VALUE(prodcom_data[[#This Row],[PRODQNT - FR - 2022 - amount]]), IF(ISNUMBER(_xlpm.production_amount), _xlpm.production_amount, 0))+_xlfn.LET(_xlpm.import_amount, VALUE(prodcom_data[[#This Row],[IMPQNT - FR - 2022 - amount]]), IF(ISNUMBER(_xlpm.import_amount), _xlpm.import_amount, 0))</f>
        <v>5803914</v>
      </c>
      <c r="AI155" s="8" t="str">
        <f>IF(NOT(AND(ISNUMBER(VALUE(prodcom_data[[#This Row],[PRODQNT - FR - 2022 - amount]])), ISNUMBER(VALUE(prodcom_data[[#This Row],[IMPQNT - FR - 2022 - amount]])))), "secrets", "")</f>
        <v>secrets</v>
      </c>
      <c r="AJ15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0.60647770980031401</v>
      </c>
      <c r="AK155" s="10" t="s">
        <v>2642</v>
      </c>
    </row>
    <row r="156" spans="1:37" x14ac:dyDescent="0.3">
      <c r="A156" s="4" t="s">
        <v>3</v>
      </c>
      <c r="B156" s="4" t="s">
        <v>81</v>
      </c>
      <c r="C156" s="4" t="s">
        <v>82</v>
      </c>
      <c r="D156" s="4" t="s">
        <v>83</v>
      </c>
      <c r="E156" s="5" t="s">
        <v>7</v>
      </c>
      <c r="F156" s="4" t="s">
        <v>921</v>
      </c>
      <c r="G156" s="5" t="s">
        <v>7</v>
      </c>
      <c r="H156" s="4" t="s">
        <v>922</v>
      </c>
      <c r="I156" s="5" t="s">
        <v>7</v>
      </c>
      <c r="J156" s="4" t="s">
        <v>66</v>
      </c>
      <c r="K156" s="5" t="s">
        <v>7</v>
      </c>
      <c r="L156" s="4" t="s">
        <v>923</v>
      </c>
      <c r="M156" s="5" t="s">
        <v>7</v>
      </c>
      <c r="N156" s="4" t="s">
        <v>924</v>
      </c>
      <c r="O156" s="5" t="s">
        <v>7</v>
      </c>
      <c r="P156" s="4" t="s">
        <v>703</v>
      </c>
      <c r="Q156" s="5" t="s">
        <v>703</v>
      </c>
      <c r="R156" s="4" t="s">
        <v>925</v>
      </c>
      <c r="S156" s="5" t="s">
        <v>7</v>
      </c>
      <c r="T156" s="4" t="s">
        <v>926</v>
      </c>
      <c r="U156" s="5" t="s">
        <v>7</v>
      </c>
      <c r="V156" s="4" t="s">
        <v>703</v>
      </c>
      <c r="W156" s="5" t="s">
        <v>703</v>
      </c>
      <c r="X156" s="4" t="s">
        <v>927</v>
      </c>
      <c r="Y156" s="5" t="s">
        <v>7</v>
      </c>
      <c r="Z156" s="4" t="s">
        <v>928</v>
      </c>
      <c r="AA156" s="5" t="s">
        <v>7</v>
      </c>
      <c r="AB15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109316549</v>
      </c>
      <c r="AC156" s="8" t="str">
        <f>IF(NOT(AND(ISNUMBER(VALUE(prodcom_data[[#This Row],[PRODQNT - EU27_2020 - 2019 - amount]])), ISNUMBER(VALUE(prodcom_data[[#This Row],[IMPQNT - EU27_2020 - 2019 - amount]])))), "secrets", "")</f>
        <v/>
      </c>
      <c r="AD15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122962437</v>
      </c>
      <c r="AE156" s="8" t="str">
        <f>IF(NOT(AND(ISNUMBER(VALUE(prodcom_data[[#This Row],[PRODQNT - EU27_2020 - 2022 - amount]])), ISNUMBER(VALUE(prodcom_data[[#This Row],[IMPQNT - EU27_2020 - 2022 - amount]])))), "secrets", "")</f>
        <v/>
      </c>
      <c r="AF156" s="7">
        <f>_xlfn.LET(_xlpm.production_amount, VALUE(prodcom_data[[#This Row],[PRODQNT - FR - 2019 - amount]]), IF(ISNUMBER(_xlpm.production_amount), _xlpm.production_amount, 0))+_xlfn.LET(_xlpm.import_amount, VALUE(prodcom_data[[#This Row],[IMPQNT - FR - 2019 - amount]]), IF(ISNUMBER(_xlpm.import_amount), _xlpm.import_amount, 0))</f>
        <v>1352700</v>
      </c>
      <c r="AG156" s="8" t="str">
        <f>IF(NOT(AND(ISNUMBER(VALUE(prodcom_data[[#This Row],[PRODQNT - FR - 2019 - amount]])), ISNUMBER(VALUE(prodcom_data[[#This Row],[IMPQNT - FR - 2019 - amount]])))), "secrets", "")</f>
        <v>secrets</v>
      </c>
      <c r="AH156" s="7">
        <f>_xlfn.LET(_xlpm.production_amount, VALUE(prodcom_data[[#This Row],[PRODQNT - FR - 2022 - amount]]), IF(ISNUMBER(_xlpm.production_amount), _xlpm.production_amount, 0))+_xlfn.LET(_xlpm.import_amount, VALUE(prodcom_data[[#This Row],[IMPQNT - FR - 2022 - amount]]), IF(ISNUMBER(_xlpm.import_amount), _xlpm.import_amount, 0))</f>
        <v>959259</v>
      </c>
      <c r="AI156" s="8" t="str">
        <f>IF(NOT(AND(ISNUMBER(VALUE(prodcom_data[[#This Row],[PRODQNT - FR - 2022 - amount]])), ISNUMBER(VALUE(prodcom_data[[#This Row],[IMPQNT - FR - 2022 - amount]])))), "secrets", "")</f>
        <v>secrets</v>
      </c>
      <c r="AJ15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0.97590778881521356</v>
      </c>
      <c r="AK156" s="10" t="s">
        <v>2642</v>
      </c>
    </row>
    <row r="157" spans="1:37" hidden="1" x14ac:dyDescent="0.3">
      <c r="A157" s="4" t="s">
        <v>3</v>
      </c>
      <c r="B157" s="4" t="s">
        <v>366</v>
      </c>
      <c r="C157" s="4" t="s">
        <v>367</v>
      </c>
      <c r="D157" s="4" t="s">
        <v>368</v>
      </c>
      <c r="E157" s="5" t="s">
        <v>7</v>
      </c>
      <c r="F157" s="4" t="s">
        <v>1706</v>
      </c>
      <c r="G157" s="5" t="s">
        <v>7</v>
      </c>
      <c r="H157" s="4" t="s">
        <v>1707</v>
      </c>
      <c r="I157" s="5" t="s">
        <v>7</v>
      </c>
      <c r="J157" s="4" t="s">
        <v>1708</v>
      </c>
      <c r="K157" s="5" t="s">
        <v>7</v>
      </c>
      <c r="L157" s="4" t="s">
        <v>1709</v>
      </c>
      <c r="M157" s="5" t="s">
        <v>7</v>
      </c>
      <c r="N157" s="4" t="s">
        <v>1710</v>
      </c>
      <c r="O157" s="5" t="s">
        <v>7</v>
      </c>
      <c r="P157" s="4" t="s">
        <v>1711</v>
      </c>
      <c r="Q157" s="5" t="s">
        <v>7</v>
      </c>
      <c r="R157" s="4" t="s">
        <v>1712</v>
      </c>
      <c r="S157" s="5" t="s">
        <v>7</v>
      </c>
      <c r="T157" s="4" t="s">
        <v>1713</v>
      </c>
      <c r="U157" s="5" t="s">
        <v>7</v>
      </c>
      <c r="V157" s="4" t="s">
        <v>2611</v>
      </c>
      <c r="W157" s="5" t="s">
        <v>7</v>
      </c>
      <c r="X157" s="4" t="s">
        <v>1714</v>
      </c>
      <c r="Y157" s="5" t="s">
        <v>7</v>
      </c>
      <c r="Z157" s="4" t="s">
        <v>1715</v>
      </c>
      <c r="AA157" s="5" t="s">
        <v>7</v>
      </c>
      <c r="AB15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114589025</v>
      </c>
      <c r="AC157" s="8" t="str">
        <f>IF(NOT(AND(ISNUMBER(VALUE(prodcom_data[[#This Row],[PRODQNT - EU27_2020 - 2019 - amount]])), ISNUMBER(VALUE(prodcom_data[[#This Row],[IMPQNT - EU27_2020 - 2019 - amount]])))), "secrets", "")</f>
        <v/>
      </c>
      <c r="AD15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121030169</v>
      </c>
      <c r="AE157" s="8" t="str">
        <f>IF(NOT(AND(ISNUMBER(VALUE(prodcom_data[[#This Row],[PRODQNT - EU27_2020 - 2022 - amount]])), ISNUMBER(VALUE(prodcom_data[[#This Row],[IMPQNT - EU27_2020 - 2022 - amount]])))), "secrets", "")</f>
        <v/>
      </c>
      <c r="AF157" s="7">
        <f>_xlfn.LET(_xlpm.production_amount, VALUE(prodcom_data[[#This Row],[PRODQNT - FR - 2019 - amount]]), IF(ISNUMBER(_xlpm.production_amount), _xlpm.production_amount, 0))+_xlfn.LET(_xlpm.import_amount, VALUE(prodcom_data[[#This Row],[IMPQNT - FR - 2019 - amount]]), IF(ISNUMBER(_xlpm.import_amount), _xlpm.import_amount, 0))</f>
        <v>15284724</v>
      </c>
      <c r="AG157" s="8" t="str">
        <f>IF(NOT(AND(ISNUMBER(VALUE(prodcom_data[[#This Row],[PRODQNT - FR - 2019 - amount]])), ISNUMBER(VALUE(prodcom_data[[#This Row],[IMPQNT - FR - 2019 - amount]])))), "secrets", "")</f>
        <v/>
      </c>
      <c r="AH157" s="7">
        <f>_xlfn.LET(_xlpm.production_amount, VALUE(prodcom_data[[#This Row],[PRODQNT - FR - 2022 - amount]]), IF(ISNUMBER(_xlpm.production_amount), _xlpm.production_amount, 0))+_xlfn.LET(_xlpm.import_amount, VALUE(prodcom_data[[#This Row],[IMPQNT - FR - 2022 - amount]]), IF(ISNUMBER(_xlpm.import_amount), _xlpm.import_amount, 0))</f>
        <v>9942247</v>
      </c>
      <c r="AI157" s="8" t="str">
        <f>IF(NOT(AND(ISNUMBER(VALUE(prodcom_data[[#This Row],[PRODQNT - FR - 2022 - amount]])), ISNUMBER(VALUE(prodcom_data[[#This Row],[IMPQNT - FR - 2022 - amount]])))), "secrets", "")</f>
        <v>secrets</v>
      </c>
      <c r="AJ15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0.69404183018202681</v>
      </c>
      <c r="AK157" s="10" t="s">
        <v>2641</v>
      </c>
    </row>
    <row r="158" spans="1:37" x14ac:dyDescent="0.3">
      <c r="A158" s="4" t="s">
        <v>3</v>
      </c>
      <c r="B158" s="4" t="s">
        <v>229</v>
      </c>
      <c r="C158" s="4" t="s">
        <v>230</v>
      </c>
      <c r="D158" s="4" t="s">
        <v>231</v>
      </c>
      <c r="E158" s="5" t="s">
        <v>7</v>
      </c>
      <c r="F158" s="4" t="s">
        <v>1335</v>
      </c>
      <c r="G158" s="5" t="s">
        <v>7</v>
      </c>
      <c r="H158" s="4" t="s">
        <v>1336</v>
      </c>
      <c r="I158" s="5" t="s">
        <v>7</v>
      </c>
      <c r="J158" s="4" t="s">
        <v>1337</v>
      </c>
      <c r="K158" s="5" t="s">
        <v>7</v>
      </c>
      <c r="L158" s="4" t="s">
        <v>1338</v>
      </c>
      <c r="M158" s="5" t="s">
        <v>7</v>
      </c>
      <c r="N158" s="4" t="s">
        <v>1339</v>
      </c>
      <c r="O158" s="5" t="s">
        <v>7</v>
      </c>
      <c r="P158" s="4" t="s">
        <v>1340</v>
      </c>
      <c r="Q158" s="5" t="s">
        <v>7</v>
      </c>
      <c r="R158" s="4" t="s">
        <v>1341</v>
      </c>
      <c r="S158" s="5" t="s">
        <v>7</v>
      </c>
      <c r="T158" s="4" t="s">
        <v>1342</v>
      </c>
      <c r="U158" s="5" t="s">
        <v>7</v>
      </c>
      <c r="V158" s="4" t="s">
        <v>1343</v>
      </c>
      <c r="W158" s="5" t="s">
        <v>7</v>
      </c>
      <c r="X158" s="4" t="s">
        <v>1344</v>
      </c>
      <c r="Y158" s="5" t="s">
        <v>7</v>
      </c>
      <c r="Z158" s="4" t="s">
        <v>1345</v>
      </c>
      <c r="AA158" s="5" t="s">
        <v>7</v>
      </c>
      <c r="AB15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46338989</v>
      </c>
      <c r="AC158" s="8" t="str">
        <f>IF(NOT(AND(ISNUMBER(VALUE(prodcom_data[[#This Row],[PRODQNT - EU27_2020 - 2019 - amount]])), ISNUMBER(VALUE(prodcom_data[[#This Row],[IMPQNT - EU27_2020 - 2019 - amount]])))), "secrets", "")</f>
        <v/>
      </c>
      <c r="AD15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119555866</v>
      </c>
      <c r="AE158" s="8" t="str">
        <f>IF(NOT(AND(ISNUMBER(VALUE(prodcom_data[[#This Row],[PRODQNT - EU27_2020 - 2022 - amount]])), ISNUMBER(VALUE(prodcom_data[[#This Row],[IMPQNT - EU27_2020 - 2022 - amount]])))), "secrets", "")</f>
        <v/>
      </c>
      <c r="AF158" s="7">
        <f>_xlfn.LET(_xlpm.production_amount, VALUE(prodcom_data[[#This Row],[PRODQNT - FR - 2019 - amount]]), IF(ISNUMBER(_xlpm.production_amount), _xlpm.production_amount, 0))+_xlfn.LET(_xlpm.import_amount, VALUE(prodcom_data[[#This Row],[IMPQNT - FR - 2019 - amount]]), IF(ISNUMBER(_xlpm.import_amount), _xlpm.import_amount, 0))</f>
        <v>5813886</v>
      </c>
      <c r="AG158" s="8" t="str">
        <f>IF(NOT(AND(ISNUMBER(VALUE(prodcom_data[[#This Row],[PRODQNT - FR - 2019 - amount]])), ISNUMBER(VALUE(prodcom_data[[#This Row],[IMPQNT - FR - 2019 - amount]])))), "secrets", "")</f>
        <v/>
      </c>
      <c r="AH158" s="7">
        <f>_xlfn.LET(_xlpm.production_amount, VALUE(prodcom_data[[#This Row],[PRODQNT - FR - 2022 - amount]]), IF(ISNUMBER(_xlpm.production_amount), _xlpm.production_amount, 0))+_xlfn.LET(_xlpm.import_amount, VALUE(prodcom_data[[#This Row],[IMPQNT - FR - 2022 - amount]]), IF(ISNUMBER(_xlpm.import_amount), _xlpm.import_amount, 0))</f>
        <v>6523228</v>
      </c>
      <c r="AI158" s="8" t="str">
        <f>IF(NOT(AND(ISNUMBER(VALUE(prodcom_data[[#This Row],[PRODQNT - FR - 2022 - amount]])), ISNUMBER(VALUE(prodcom_data[[#This Row],[IMPQNT - FR - 2022 - amount]])))), "secrets", "")</f>
        <v/>
      </c>
      <c r="AJ15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0.94883006409739856</v>
      </c>
      <c r="AK158" s="10" t="s">
        <v>2642</v>
      </c>
    </row>
    <row r="159" spans="1:37" x14ac:dyDescent="0.3">
      <c r="A159" s="4" t="s">
        <v>3</v>
      </c>
      <c r="B159" s="4" t="s">
        <v>93</v>
      </c>
      <c r="C159" s="4" t="s">
        <v>94</v>
      </c>
      <c r="D159" s="4" t="s">
        <v>95</v>
      </c>
      <c r="E159" s="5" t="s">
        <v>7</v>
      </c>
      <c r="F159" s="4" t="s">
        <v>958</v>
      </c>
      <c r="G159" s="5" t="s">
        <v>7</v>
      </c>
      <c r="H159" s="4" t="s">
        <v>959</v>
      </c>
      <c r="I159" s="5" t="s">
        <v>7</v>
      </c>
      <c r="J159" s="4" t="s">
        <v>960</v>
      </c>
      <c r="K159" s="5" t="s">
        <v>7</v>
      </c>
      <c r="L159" s="4" t="s">
        <v>961</v>
      </c>
      <c r="M159" s="5" t="s">
        <v>7</v>
      </c>
      <c r="N159" s="4" t="s">
        <v>962</v>
      </c>
      <c r="O159" s="5" t="s">
        <v>7</v>
      </c>
      <c r="P159" s="4" t="s">
        <v>2611</v>
      </c>
      <c r="Q159" s="5" t="s">
        <v>7</v>
      </c>
      <c r="R159" s="4" t="s">
        <v>963</v>
      </c>
      <c r="S159" s="5" t="s">
        <v>7</v>
      </c>
      <c r="T159" s="4" t="s">
        <v>964</v>
      </c>
      <c r="U159" s="5" t="s">
        <v>7</v>
      </c>
      <c r="V159" s="4" t="s">
        <v>713</v>
      </c>
      <c r="W159" s="5" t="s">
        <v>7</v>
      </c>
      <c r="X159" s="4" t="s">
        <v>965</v>
      </c>
      <c r="Y159" s="5" t="s">
        <v>7</v>
      </c>
      <c r="Z159" s="4" t="s">
        <v>966</v>
      </c>
      <c r="AA159" s="5" t="s">
        <v>7</v>
      </c>
      <c r="AB15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53744269</v>
      </c>
      <c r="AC159" s="8" t="str">
        <f>IF(NOT(AND(ISNUMBER(VALUE(prodcom_data[[#This Row],[PRODQNT - EU27_2020 - 2019 - amount]])), ISNUMBER(VALUE(prodcom_data[[#This Row],[IMPQNT - EU27_2020 - 2019 - amount]])))), "secrets", "")</f>
        <v/>
      </c>
      <c r="AD15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109553337</v>
      </c>
      <c r="AE159" s="8" t="str">
        <f>IF(NOT(AND(ISNUMBER(VALUE(prodcom_data[[#This Row],[PRODQNT - EU27_2020 - 2022 - amount]])), ISNUMBER(VALUE(prodcom_data[[#This Row],[IMPQNT - EU27_2020 - 2022 - amount]])))), "secrets", "")</f>
        <v/>
      </c>
      <c r="AF159" s="7">
        <f>_xlfn.LET(_xlpm.production_amount, VALUE(prodcom_data[[#This Row],[PRODQNT - FR - 2019 - amount]]), IF(ISNUMBER(_xlpm.production_amount), _xlpm.production_amount, 0))+_xlfn.LET(_xlpm.import_amount, VALUE(prodcom_data[[#This Row],[IMPQNT - FR - 2019 - amount]]), IF(ISNUMBER(_xlpm.import_amount), _xlpm.import_amount, 0))</f>
        <v>1143200</v>
      </c>
      <c r="AG159" s="8" t="str">
        <f>IF(NOT(AND(ISNUMBER(VALUE(prodcom_data[[#This Row],[PRODQNT - FR - 2019 - amount]])), ISNUMBER(VALUE(prodcom_data[[#This Row],[IMPQNT - FR - 2019 - amount]])))), "secrets", "")</f>
        <v>secrets</v>
      </c>
      <c r="AH159" s="7">
        <f>_xlfn.LET(_xlpm.production_amount, VALUE(prodcom_data[[#This Row],[PRODQNT - FR - 2022 - amount]]), IF(ISNUMBER(_xlpm.production_amount), _xlpm.production_amount, 0))+_xlfn.LET(_xlpm.import_amount, VALUE(prodcom_data[[#This Row],[IMPQNT - FR - 2022 - amount]]), IF(ISNUMBER(_xlpm.import_amount), _xlpm.import_amount, 0))</f>
        <v>1575460</v>
      </c>
      <c r="AI159" s="8" t="str">
        <f>IF(NOT(AND(ISNUMBER(VALUE(prodcom_data[[#This Row],[PRODQNT - FR - 2022 - amount]])), ISNUMBER(VALUE(prodcom_data[[#This Row],[IMPQNT - FR - 2022 - amount]])))), "secrets", "")</f>
        <v/>
      </c>
      <c r="AJ15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0.87715172017078769</v>
      </c>
      <c r="AK159" s="10" t="s">
        <v>2642</v>
      </c>
    </row>
    <row r="160" spans="1:37" x14ac:dyDescent="0.3">
      <c r="A160" s="4" t="s">
        <v>3</v>
      </c>
      <c r="B160" s="4" t="s">
        <v>381</v>
      </c>
      <c r="C160" s="4" t="s">
        <v>382</v>
      </c>
      <c r="D160" s="4" t="s">
        <v>383</v>
      </c>
      <c r="E160" s="5" t="s">
        <v>7</v>
      </c>
      <c r="F160" s="4" t="s">
        <v>1756</v>
      </c>
      <c r="G160" s="5" t="s">
        <v>7</v>
      </c>
      <c r="H160" s="4" t="s">
        <v>1757</v>
      </c>
      <c r="I160" s="5" t="s">
        <v>7</v>
      </c>
      <c r="J160" s="4" t="s">
        <v>92</v>
      </c>
      <c r="K160" s="5" t="s">
        <v>7</v>
      </c>
      <c r="L160" s="4" t="s">
        <v>1758</v>
      </c>
      <c r="M160" s="5" t="s">
        <v>7</v>
      </c>
      <c r="N160" s="4" t="s">
        <v>1759</v>
      </c>
      <c r="O160" s="5" t="s">
        <v>7</v>
      </c>
      <c r="P160" s="4" t="s">
        <v>1760</v>
      </c>
      <c r="Q160" s="5" t="s">
        <v>7</v>
      </c>
      <c r="R160" s="4" t="s">
        <v>1761</v>
      </c>
      <c r="S160" s="5" t="s">
        <v>7</v>
      </c>
      <c r="T160" s="4" t="s">
        <v>1762</v>
      </c>
      <c r="U160" s="5" t="s">
        <v>7</v>
      </c>
      <c r="V160" s="4" t="s">
        <v>1763</v>
      </c>
      <c r="W160" s="5" t="s">
        <v>7</v>
      </c>
      <c r="X160" s="4" t="s">
        <v>1764</v>
      </c>
      <c r="Y160" s="5" t="s">
        <v>7</v>
      </c>
      <c r="Z160" s="4" t="s">
        <v>1765</v>
      </c>
      <c r="AA160" s="5" t="s">
        <v>7</v>
      </c>
      <c r="AB16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146392934</v>
      </c>
      <c r="AC160" s="8" t="str">
        <f>IF(NOT(AND(ISNUMBER(VALUE(prodcom_data[[#This Row],[PRODQNT - EU27_2020 - 2019 - amount]])), ISNUMBER(VALUE(prodcom_data[[#This Row],[IMPQNT - EU27_2020 - 2019 - amount]])))), "secrets", "")</f>
        <v/>
      </c>
      <c r="AD16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108792952</v>
      </c>
      <c r="AE160" s="8" t="str">
        <f>IF(NOT(AND(ISNUMBER(VALUE(prodcom_data[[#This Row],[PRODQNT - EU27_2020 - 2022 - amount]])), ISNUMBER(VALUE(prodcom_data[[#This Row],[IMPQNT - EU27_2020 - 2022 - amount]])))), "secrets", "")</f>
        <v/>
      </c>
      <c r="AF160" s="7">
        <f>_xlfn.LET(_xlpm.production_amount, VALUE(prodcom_data[[#This Row],[PRODQNT - FR - 2019 - amount]]), IF(ISNUMBER(_xlpm.production_amount), _xlpm.production_amount, 0))+_xlfn.LET(_xlpm.import_amount, VALUE(prodcom_data[[#This Row],[IMPQNT - FR - 2019 - amount]]), IF(ISNUMBER(_xlpm.import_amount), _xlpm.import_amount, 0))</f>
        <v>9234722</v>
      </c>
      <c r="AG160" s="8" t="str">
        <f>IF(NOT(AND(ISNUMBER(VALUE(prodcom_data[[#This Row],[PRODQNT - FR - 2019 - amount]])), ISNUMBER(VALUE(prodcom_data[[#This Row],[IMPQNT - FR - 2019 - amount]])))), "secrets", "")</f>
        <v/>
      </c>
      <c r="AH160" s="7">
        <f>_xlfn.LET(_xlpm.production_amount, VALUE(prodcom_data[[#This Row],[PRODQNT - FR - 2022 - amount]]), IF(ISNUMBER(_xlpm.production_amount), _xlpm.production_amount, 0))+_xlfn.LET(_xlpm.import_amount, VALUE(prodcom_data[[#This Row],[IMPQNT - FR - 2022 - amount]]), IF(ISNUMBER(_xlpm.import_amount), _xlpm.import_amount, 0))</f>
        <v>8106824</v>
      </c>
      <c r="AI160" s="8" t="str">
        <f>IF(NOT(AND(ISNUMBER(VALUE(prodcom_data[[#This Row],[PRODQNT - FR - 2022 - amount]])), ISNUMBER(VALUE(prodcom_data[[#This Row],[IMPQNT - FR - 2022 - amount]])))), "secrets", "")</f>
        <v/>
      </c>
      <c r="AJ16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0.41362973586744844</v>
      </c>
      <c r="AK160" s="10" t="s">
        <v>2642</v>
      </c>
    </row>
    <row r="161" spans="1:37" x14ac:dyDescent="0.3">
      <c r="A161" s="4" t="s">
        <v>3</v>
      </c>
      <c r="B161" s="4" t="s">
        <v>449</v>
      </c>
      <c r="C161" s="4" t="s">
        <v>450</v>
      </c>
      <c r="D161" s="4" t="s">
        <v>33</v>
      </c>
      <c r="E161" s="5" t="s">
        <v>7</v>
      </c>
      <c r="F161" s="4" t="s">
        <v>1920</v>
      </c>
      <c r="G161" s="5" t="s">
        <v>7</v>
      </c>
      <c r="H161" s="4" t="s">
        <v>1921</v>
      </c>
      <c r="I161" s="5" t="s">
        <v>7</v>
      </c>
      <c r="J161" s="4" t="s">
        <v>1922</v>
      </c>
      <c r="K161" s="5" t="s">
        <v>7</v>
      </c>
      <c r="L161" s="4" t="s">
        <v>1923</v>
      </c>
      <c r="M161" s="5" t="s">
        <v>7</v>
      </c>
      <c r="N161" s="4" t="s">
        <v>1924</v>
      </c>
      <c r="O161" s="5" t="s">
        <v>7</v>
      </c>
      <c r="P161" s="4" t="s">
        <v>2611</v>
      </c>
      <c r="Q161" s="5" t="s">
        <v>7</v>
      </c>
      <c r="R161" s="4" t="s">
        <v>1925</v>
      </c>
      <c r="S161" s="5" t="s">
        <v>7</v>
      </c>
      <c r="T161" s="4" t="s">
        <v>1926</v>
      </c>
      <c r="U161" s="5" t="s">
        <v>7</v>
      </c>
      <c r="V161" s="4" t="s">
        <v>1927</v>
      </c>
      <c r="W161" s="5" t="s">
        <v>7</v>
      </c>
      <c r="X161" s="4" t="s">
        <v>1928</v>
      </c>
      <c r="Y161" s="5" t="s">
        <v>7</v>
      </c>
      <c r="Z161" s="4" t="s">
        <v>1929</v>
      </c>
      <c r="AA161" s="5" t="s">
        <v>7</v>
      </c>
      <c r="AB16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133694804</v>
      </c>
      <c r="AC161" s="8" t="str">
        <f>IF(NOT(AND(ISNUMBER(VALUE(prodcom_data[[#This Row],[PRODQNT - EU27_2020 - 2019 - amount]])), ISNUMBER(VALUE(prodcom_data[[#This Row],[IMPQNT - EU27_2020 - 2019 - amount]])))), "secrets", "")</f>
        <v/>
      </c>
      <c r="AD16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108478131</v>
      </c>
      <c r="AE161" s="8" t="str">
        <f>IF(NOT(AND(ISNUMBER(VALUE(prodcom_data[[#This Row],[PRODQNT - EU27_2020 - 2022 - amount]])), ISNUMBER(VALUE(prodcom_data[[#This Row],[IMPQNT - EU27_2020 - 2022 - amount]])))), "secrets", "")</f>
        <v/>
      </c>
      <c r="AF161" s="7">
        <f>_xlfn.LET(_xlpm.production_amount, VALUE(prodcom_data[[#This Row],[PRODQNT - FR - 2019 - amount]]), IF(ISNUMBER(_xlpm.production_amount), _xlpm.production_amount, 0))+_xlfn.LET(_xlpm.import_amount, VALUE(prodcom_data[[#This Row],[IMPQNT - FR - 2019 - amount]]), IF(ISNUMBER(_xlpm.import_amount), _xlpm.import_amount, 0))</f>
        <v>5120800</v>
      </c>
      <c r="AG161" s="8" t="str">
        <f>IF(NOT(AND(ISNUMBER(VALUE(prodcom_data[[#This Row],[PRODQNT - FR - 2019 - amount]])), ISNUMBER(VALUE(prodcom_data[[#This Row],[IMPQNT - FR - 2019 - amount]])))), "secrets", "")</f>
        <v>secrets</v>
      </c>
      <c r="AH161" s="7">
        <f>_xlfn.LET(_xlpm.production_amount, VALUE(prodcom_data[[#This Row],[PRODQNT - FR - 2022 - amount]]), IF(ISNUMBER(_xlpm.production_amount), _xlpm.production_amount, 0))+_xlfn.LET(_xlpm.import_amount, VALUE(prodcom_data[[#This Row],[IMPQNT - FR - 2022 - amount]]), IF(ISNUMBER(_xlpm.import_amount), _xlpm.import_amount, 0))</f>
        <v>22964695</v>
      </c>
      <c r="AI161" s="8" t="str">
        <f>IF(NOT(AND(ISNUMBER(VALUE(prodcom_data[[#This Row],[PRODQNT - FR - 2022 - amount]])), ISNUMBER(VALUE(prodcom_data[[#This Row],[IMPQNT - FR - 2022 - amount]])))), "secrets", "")</f>
        <v/>
      </c>
      <c r="AJ16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0.69138359325162047</v>
      </c>
      <c r="AK161" s="10" t="s">
        <v>2642</v>
      </c>
    </row>
    <row r="162" spans="1:37" x14ac:dyDescent="0.3">
      <c r="A162" s="4" t="s">
        <v>3</v>
      </c>
      <c r="B162" s="4" t="s">
        <v>287</v>
      </c>
      <c r="C162" s="4" t="s">
        <v>288</v>
      </c>
      <c r="D162" s="4" t="s">
        <v>289</v>
      </c>
      <c r="E162" s="5" t="s">
        <v>7</v>
      </c>
      <c r="F162" s="4" t="s">
        <v>1486</v>
      </c>
      <c r="G162" s="5" t="s">
        <v>7</v>
      </c>
      <c r="H162" s="4" t="s">
        <v>1487</v>
      </c>
      <c r="I162" s="5" t="s">
        <v>7</v>
      </c>
      <c r="J162" s="4" t="s">
        <v>1488</v>
      </c>
      <c r="K162" s="5" t="s">
        <v>7</v>
      </c>
      <c r="L162" s="4" t="s">
        <v>1489</v>
      </c>
      <c r="M162" s="5" t="s">
        <v>7</v>
      </c>
      <c r="N162" s="4" t="s">
        <v>1490</v>
      </c>
      <c r="O162" s="5" t="s">
        <v>7</v>
      </c>
      <c r="P162" s="4" t="s">
        <v>2611</v>
      </c>
      <c r="Q162" s="5" t="s">
        <v>7</v>
      </c>
      <c r="R162" s="4" t="s">
        <v>1491</v>
      </c>
      <c r="S162" s="5" t="s">
        <v>7</v>
      </c>
      <c r="T162" s="4" t="s">
        <v>1492</v>
      </c>
      <c r="U162" s="5" t="s">
        <v>7</v>
      </c>
      <c r="V162" s="4" t="s">
        <v>2611</v>
      </c>
      <c r="W162" s="5" t="s">
        <v>7</v>
      </c>
      <c r="X162" s="4" t="s">
        <v>1493</v>
      </c>
      <c r="Y162" s="5" t="s">
        <v>7</v>
      </c>
      <c r="Z162" s="4" t="s">
        <v>1494</v>
      </c>
      <c r="AA162" s="5" t="s">
        <v>7</v>
      </c>
      <c r="AB16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118265350</v>
      </c>
      <c r="AC162" s="8" t="str">
        <f>IF(NOT(AND(ISNUMBER(VALUE(prodcom_data[[#This Row],[PRODQNT - EU27_2020 - 2019 - amount]])), ISNUMBER(VALUE(prodcom_data[[#This Row],[IMPQNT - EU27_2020 - 2019 - amount]])))), "secrets", "")</f>
        <v/>
      </c>
      <c r="AD16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108435542</v>
      </c>
      <c r="AE162" s="8" t="str">
        <f>IF(NOT(AND(ISNUMBER(VALUE(prodcom_data[[#This Row],[PRODQNT - EU27_2020 - 2022 - amount]])), ISNUMBER(VALUE(prodcom_data[[#This Row],[IMPQNT - EU27_2020 - 2022 - amount]])))), "secrets", "")</f>
        <v/>
      </c>
      <c r="AF162" s="7">
        <f>_xlfn.LET(_xlpm.production_amount, VALUE(prodcom_data[[#This Row],[PRODQNT - FR - 2019 - amount]]), IF(ISNUMBER(_xlpm.production_amount), _xlpm.production_amount, 0))+_xlfn.LET(_xlpm.import_amount, VALUE(prodcom_data[[#This Row],[IMPQNT - FR - 2019 - amount]]), IF(ISNUMBER(_xlpm.import_amount), _xlpm.import_amount, 0))</f>
        <v>6147800</v>
      </c>
      <c r="AG162" s="8" t="str">
        <f>IF(NOT(AND(ISNUMBER(VALUE(prodcom_data[[#This Row],[PRODQNT - FR - 2019 - amount]])), ISNUMBER(VALUE(prodcom_data[[#This Row],[IMPQNT - FR - 2019 - amount]])))), "secrets", "")</f>
        <v>secrets</v>
      </c>
      <c r="AH162" s="7">
        <f>_xlfn.LET(_xlpm.production_amount, VALUE(prodcom_data[[#This Row],[PRODQNT - FR - 2022 - amount]]), IF(ISNUMBER(_xlpm.production_amount), _xlpm.production_amount, 0))+_xlfn.LET(_xlpm.import_amount, VALUE(prodcom_data[[#This Row],[IMPQNT - FR - 2022 - amount]]), IF(ISNUMBER(_xlpm.import_amount), _xlpm.import_amount, 0))</f>
        <v>4951211</v>
      </c>
      <c r="AI162" s="8" t="str">
        <f>IF(NOT(AND(ISNUMBER(VALUE(prodcom_data[[#This Row],[PRODQNT - FR - 2022 - amount]])), ISNUMBER(VALUE(prodcom_data[[#This Row],[IMPQNT - FR - 2022 - amount]])))), "secrets", "")</f>
        <v>secrets</v>
      </c>
      <c r="AJ16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0.83504039662567464</v>
      </c>
      <c r="AK162" s="10" t="s">
        <v>2642</v>
      </c>
    </row>
    <row r="163" spans="1:37" x14ac:dyDescent="0.3">
      <c r="A163" s="4" t="s">
        <v>3</v>
      </c>
      <c r="B163" s="4" t="s">
        <v>299</v>
      </c>
      <c r="C163" s="4" t="s">
        <v>300</v>
      </c>
      <c r="D163" s="4" t="s">
        <v>301</v>
      </c>
      <c r="E163" s="5" t="s">
        <v>7</v>
      </c>
      <c r="F163" s="4" t="s">
        <v>1523</v>
      </c>
      <c r="G163" s="5" t="s">
        <v>7</v>
      </c>
      <c r="H163" s="4" t="s">
        <v>1524</v>
      </c>
      <c r="I163" s="5" t="s">
        <v>7</v>
      </c>
      <c r="J163" s="4" t="s">
        <v>1525</v>
      </c>
      <c r="K163" s="5" t="s">
        <v>7</v>
      </c>
      <c r="L163" s="4" t="s">
        <v>1526</v>
      </c>
      <c r="M163" s="5" t="s">
        <v>7</v>
      </c>
      <c r="N163" s="4" t="s">
        <v>1527</v>
      </c>
      <c r="O163" s="5" t="s">
        <v>7</v>
      </c>
      <c r="P163" s="4" t="s">
        <v>2611</v>
      </c>
      <c r="Q163" s="5" t="s">
        <v>7</v>
      </c>
      <c r="R163" s="4" t="s">
        <v>1528</v>
      </c>
      <c r="S163" s="5" t="s">
        <v>7</v>
      </c>
      <c r="T163" s="4" t="s">
        <v>1529</v>
      </c>
      <c r="U163" s="5" t="s">
        <v>7</v>
      </c>
      <c r="V163" s="4" t="s">
        <v>2611</v>
      </c>
      <c r="W163" s="5" t="s">
        <v>7</v>
      </c>
      <c r="X163" s="4" t="s">
        <v>1530</v>
      </c>
      <c r="Y163" s="5" t="s">
        <v>7</v>
      </c>
      <c r="Z163" s="4" t="s">
        <v>1531</v>
      </c>
      <c r="AA163" s="5" t="s">
        <v>7</v>
      </c>
      <c r="AB16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140275689</v>
      </c>
      <c r="AC163" s="8" t="str">
        <f>IF(NOT(AND(ISNUMBER(VALUE(prodcom_data[[#This Row],[PRODQNT - EU27_2020 - 2019 - amount]])), ISNUMBER(VALUE(prodcom_data[[#This Row],[IMPQNT - EU27_2020 - 2019 - amount]])))), "secrets", "")</f>
        <v/>
      </c>
      <c r="AD16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101433842</v>
      </c>
      <c r="AE163" s="8" t="str">
        <f>IF(NOT(AND(ISNUMBER(VALUE(prodcom_data[[#This Row],[PRODQNT - EU27_2020 - 2022 - amount]])), ISNUMBER(VALUE(prodcom_data[[#This Row],[IMPQNT - EU27_2020 - 2022 - amount]])))), "secrets", "")</f>
        <v/>
      </c>
      <c r="AF163" s="7">
        <f>_xlfn.LET(_xlpm.production_amount, VALUE(prodcom_data[[#This Row],[PRODQNT - FR - 2019 - amount]]), IF(ISNUMBER(_xlpm.production_amount), _xlpm.production_amount, 0))+_xlfn.LET(_xlpm.import_amount, VALUE(prodcom_data[[#This Row],[IMPQNT - FR - 2019 - amount]]), IF(ISNUMBER(_xlpm.import_amount), _xlpm.import_amount, 0))</f>
        <v>7649100</v>
      </c>
      <c r="AG163" s="8" t="str">
        <f>IF(NOT(AND(ISNUMBER(VALUE(prodcom_data[[#This Row],[PRODQNT - FR - 2019 - amount]])), ISNUMBER(VALUE(prodcom_data[[#This Row],[IMPQNT - FR - 2019 - amount]])))), "secrets", "")</f>
        <v>secrets</v>
      </c>
      <c r="AH163" s="7">
        <f>_xlfn.LET(_xlpm.production_amount, VALUE(prodcom_data[[#This Row],[PRODQNT - FR - 2022 - amount]]), IF(ISNUMBER(_xlpm.production_amount), _xlpm.production_amount, 0))+_xlfn.LET(_xlpm.import_amount, VALUE(prodcom_data[[#This Row],[IMPQNT - FR - 2022 - amount]]), IF(ISNUMBER(_xlpm.import_amount), _xlpm.import_amount, 0))</f>
        <v>6584045</v>
      </c>
      <c r="AI163" s="8" t="str">
        <f>IF(NOT(AND(ISNUMBER(VALUE(prodcom_data[[#This Row],[PRODQNT - FR - 2022 - amount]])), ISNUMBER(VALUE(prodcom_data[[#This Row],[IMPQNT - FR - 2022 - amount]])))), "secrets", "")</f>
        <v>secrets</v>
      </c>
      <c r="AJ16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0.79855005393564804</v>
      </c>
      <c r="AK163" s="10" t="s">
        <v>2642</v>
      </c>
    </row>
    <row r="164" spans="1:37" x14ac:dyDescent="0.3">
      <c r="A164" s="4" t="s">
        <v>3</v>
      </c>
      <c r="B164" s="4" t="s">
        <v>67</v>
      </c>
      <c r="C164" s="4" t="s">
        <v>68</v>
      </c>
      <c r="D164" s="4" t="s">
        <v>66</v>
      </c>
      <c r="E164" s="5" t="s">
        <v>7</v>
      </c>
      <c r="F164" s="4" t="s">
        <v>882</v>
      </c>
      <c r="G164" s="5" t="s">
        <v>7</v>
      </c>
      <c r="H164" s="4" t="s">
        <v>883</v>
      </c>
      <c r="I164" s="5" t="s">
        <v>7</v>
      </c>
      <c r="J164" s="4" t="s">
        <v>33</v>
      </c>
      <c r="K164" s="5" t="s">
        <v>7</v>
      </c>
      <c r="L164" s="4" t="s">
        <v>884</v>
      </c>
      <c r="M164" s="5" t="s">
        <v>7</v>
      </c>
      <c r="N164" s="4" t="s">
        <v>885</v>
      </c>
      <c r="O164" s="5" t="s">
        <v>7</v>
      </c>
      <c r="P164" s="4" t="s">
        <v>886</v>
      </c>
      <c r="Q164" s="5" t="s">
        <v>7</v>
      </c>
      <c r="R164" s="4" t="s">
        <v>713</v>
      </c>
      <c r="S164" s="5" t="s">
        <v>7</v>
      </c>
      <c r="T164" s="4" t="s">
        <v>887</v>
      </c>
      <c r="U164" s="5" t="s">
        <v>7</v>
      </c>
      <c r="V164" s="4" t="s">
        <v>2611</v>
      </c>
      <c r="W164" s="5" t="s">
        <v>7</v>
      </c>
      <c r="X164" s="4" t="s">
        <v>888</v>
      </c>
      <c r="Y164" s="5" t="s">
        <v>7</v>
      </c>
      <c r="Z164" s="4" t="s">
        <v>889</v>
      </c>
      <c r="AA164" s="5" t="s">
        <v>7</v>
      </c>
      <c r="AB16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123045872</v>
      </c>
      <c r="AC164" s="8" t="str">
        <f>IF(NOT(AND(ISNUMBER(VALUE(prodcom_data[[#This Row],[PRODQNT - EU27_2020 - 2019 - amount]])), ISNUMBER(VALUE(prodcom_data[[#This Row],[IMPQNT - EU27_2020 - 2019 - amount]])))), "secrets", "")</f>
        <v/>
      </c>
      <c r="AD16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100910325</v>
      </c>
      <c r="AE164" s="8" t="str">
        <f>IF(NOT(AND(ISNUMBER(VALUE(prodcom_data[[#This Row],[PRODQNT - EU27_2020 - 2022 - amount]])), ISNUMBER(VALUE(prodcom_data[[#This Row],[IMPQNT - EU27_2020 - 2022 - amount]])))), "secrets", "")</f>
        <v/>
      </c>
      <c r="AF164" s="7">
        <f>_xlfn.LET(_xlpm.production_amount, VALUE(prodcom_data[[#This Row],[PRODQNT - FR - 2019 - amount]]), IF(ISNUMBER(_xlpm.production_amount), _xlpm.production_amount, 0))+_xlfn.LET(_xlpm.import_amount, VALUE(prodcom_data[[#This Row],[IMPQNT - FR - 2019 - amount]]), IF(ISNUMBER(_xlpm.import_amount), _xlpm.import_amount, 0))</f>
        <v>42808865</v>
      </c>
      <c r="AG164" s="8" t="str">
        <f>IF(NOT(AND(ISNUMBER(VALUE(prodcom_data[[#This Row],[PRODQNT - FR - 2019 - amount]])), ISNUMBER(VALUE(prodcom_data[[#This Row],[IMPQNT - FR - 2019 - amount]])))), "secrets", "")</f>
        <v/>
      </c>
      <c r="AH164" s="7">
        <f>_xlfn.LET(_xlpm.production_amount, VALUE(prodcom_data[[#This Row],[PRODQNT - FR - 2022 - amount]]), IF(ISNUMBER(_xlpm.production_amount), _xlpm.production_amount, 0))+_xlfn.LET(_xlpm.import_amount, VALUE(prodcom_data[[#This Row],[IMPQNT - FR - 2022 - amount]]), IF(ISNUMBER(_xlpm.import_amount), _xlpm.import_amount, 0))</f>
        <v>5272286</v>
      </c>
      <c r="AI164" s="8" t="str">
        <f>IF(NOT(AND(ISNUMBER(VALUE(prodcom_data[[#This Row],[PRODQNT - FR - 2022 - amount]])), ISNUMBER(VALUE(prodcom_data[[#This Row],[IMPQNT - FR - 2022 - amount]])))), "secrets", "")</f>
        <v>secrets</v>
      </c>
      <c r="AJ16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0.99097887158722364</v>
      </c>
      <c r="AK164" s="10" t="s">
        <v>2642</v>
      </c>
    </row>
    <row r="165" spans="1:37" x14ac:dyDescent="0.3">
      <c r="A165" s="4" t="s">
        <v>3</v>
      </c>
      <c r="B165" s="4" t="s">
        <v>144</v>
      </c>
      <c r="C165" s="4" t="s">
        <v>145</v>
      </c>
      <c r="D165" s="4" t="s">
        <v>146</v>
      </c>
      <c r="E165" s="5" t="s">
        <v>7</v>
      </c>
      <c r="F165" s="4" t="s">
        <v>1108</v>
      </c>
      <c r="G165" s="5" t="s">
        <v>7</v>
      </c>
      <c r="H165" s="4" t="s">
        <v>1109</v>
      </c>
      <c r="I165" s="5" t="s">
        <v>7</v>
      </c>
      <c r="J165" s="4" t="s">
        <v>1110</v>
      </c>
      <c r="K165" s="5" t="s">
        <v>7</v>
      </c>
      <c r="L165" s="4" t="s">
        <v>1111</v>
      </c>
      <c r="M165" s="5" t="s">
        <v>7</v>
      </c>
      <c r="N165" s="4" t="s">
        <v>1112</v>
      </c>
      <c r="O165" s="5" t="s">
        <v>7</v>
      </c>
      <c r="P165" s="4" t="s">
        <v>713</v>
      </c>
      <c r="Q165" s="5" t="s">
        <v>7</v>
      </c>
      <c r="R165" s="4" t="s">
        <v>713</v>
      </c>
      <c r="S165" s="5" t="s">
        <v>7</v>
      </c>
      <c r="T165" s="4" t="s">
        <v>1113</v>
      </c>
      <c r="U165" s="5" t="s">
        <v>7</v>
      </c>
      <c r="V165" s="4" t="s">
        <v>2611</v>
      </c>
      <c r="W165" s="5" t="s">
        <v>7</v>
      </c>
      <c r="X165" s="4" t="s">
        <v>1114</v>
      </c>
      <c r="Y165" s="5" t="s">
        <v>7</v>
      </c>
      <c r="Z165" s="4" t="s">
        <v>1115</v>
      </c>
      <c r="AA165" s="5" t="s">
        <v>7</v>
      </c>
      <c r="AB16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96388846</v>
      </c>
      <c r="AC165" s="8" t="str">
        <f>IF(NOT(AND(ISNUMBER(VALUE(prodcom_data[[#This Row],[PRODQNT - EU27_2020 - 2019 - amount]])), ISNUMBER(VALUE(prodcom_data[[#This Row],[IMPQNT - EU27_2020 - 2019 - amount]])))), "secrets", "")</f>
        <v/>
      </c>
      <c r="AD16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100254242</v>
      </c>
      <c r="AE165" s="8" t="str">
        <f>IF(NOT(AND(ISNUMBER(VALUE(prodcom_data[[#This Row],[PRODQNT - EU27_2020 - 2022 - amount]])), ISNUMBER(VALUE(prodcom_data[[#This Row],[IMPQNT - EU27_2020 - 2022 - amount]])))), "secrets", "")</f>
        <v/>
      </c>
      <c r="AF165" s="7">
        <f>_xlfn.LET(_xlpm.production_amount, VALUE(prodcom_data[[#This Row],[PRODQNT - FR - 2019 - amount]]), IF(ISNUMBER(_xlpm.production_amount), _xlpm.production_amount, 0))+_xlfn.LET(_xlpm.import_amount, VALUE(prodcom_data[[#This Row],[IMPQNT - FR - 2019 - amount]]), IF(ISNUMBER(_xlpm.import_amount), _xlpm.import_amount, 0))</f>
        <v>83100</v>
      </c>
      <c r="AG165" s="8" t="str">
        <f>IF(NOT(AND(ISNUMBER(VALUE(prodcom_data[[#This Row],[PRODQNT - FR - 2019 - amount]])), ISNUMBER(VALUE(prodcom_data[[#This Row],[IMPQNT - FR - 2019 - amount]])))), "secrets", "")</f>
        <v/>
      </c>
      <c r="AH165" s="7">
        <f>_xlfn.LET(_xlpm.production_amount, VALUE(prodcom_data[[#This Row],[PRODQNT - FR - 2022 - amount]]), IF(ISNUMBER(_xlpm.production_amount), _xlpm.production_amount, 0))+_xlfn.LET(_xlpm.import_amount, VALUE(prodcom_data[[#This Row],[IMPQNT - FR - 2022 - amount]]), IF(ISNUMBER(_xlpm.import_amount), _xlpm.import_amount, 0))</f>
        <v>37379</v>
      </c>
      <c r="AI165" s="8" t="str">
        <f>IF(NOT(AND(ISNUMBER(VALUE(prodcom_data[[#This Row],[PRODQNT - FR - 2022 - amount]])), ISNUMBER(VALUE(prodcom_data[[#This Row],[IMPQNT - FR - 2022 - amount]])))), "secrets", "")</f>
        <v>secrets</v>
      </c>
      <c r="AJ16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0.77618660764499126</v>
      </c>
      <c r="AK165" s="10" t="s">
        <v>2642</v>
      </c>
    </row>
    <row r="166" spans="1:37" x14ac:dyDescent="0.3">
      <c r="A166" s="4" t="s">
        <v>3</v>
      </c>
      <c r="B166" s="4" t="s">
        <v>254</v>
      </c>
      <c r="C166" s="4" t="s">
        <v>255</v>
      </c>
      <c r="D166" s="4" t="s">
        <v>256</v>
      </c>
      <c r="E166" s="5" t="s">
        <v>7</v>
      </c>
      <c r="F166" s="4" t="s">
        <v>1406</v>
      </c>
      <c r="G166" s="5" t="s">
        <v>7</v>
      </c>
      <c r="H166" s="4" t="s">
        <v>1407</v>
      </c>
      <c r="I166" s="5" t="s">
        <v>7</v>
      </c>
      <c r="J166" s="4" t="s">
        <v>1408</v>
      </c>
      <c r="K166" s="5" t="s">
        <v>7</v>
      </c>
      <c r="L166" s="4" t="s">
        <v>1409</v>
      </c>
      <c r="M166" s="5" t="s">
        <v>7</v>
      </c>
      <c r="N166" s="4" t="s">
        <v>1410</v>
      </c>
      <c r="O166" s="5" t="s">
        <v>7</v>
      </c>
      <c r="P166" s="4" t="s">
        <v>713</v>
      </c>
      <c r="Q166" s="5" t="s">
        <v>7</v>
      </c>
      <c r="R166" s="4" t="s">
        <v>713</v>
      </c>
      <c r="S166" s="5" t="s">
        <v>7</v>
      </c>
      <c r="T166" s="4" t="s">
        <v>1411</v>
      </c>
      <c r="U166" s="5" t="s">
        <v>7</v>
      </c>
      <c r="V166" s="4" t="s">
        <v>713</v>
      </c>
      <c r="W166" s="5" t="s">
        <v>7</v>
      </c>
      <c r="X166" s="4" t="s">
        <v>1412</v>
      </c>
      <c r="Y166" s="5" t="s">
        <v>7</v>
      </c>
      <c r="Z166" s="4" t="s">
        <v>1413</v>
      </c>
      <c r="AA166" s="5" t="s">
        <v>7</v>
      </c>
      <c r="AB16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90567038</v>
      </c>
      <c r="AC166" s="8" t="str">
        <f>IF(NOT(AND(ISNUMBER(VALUE(prodcom_data[[#This Row],[PRODQNT - EU27_2020 - 2019 - amount]])), ISNUMBER(VALUE(prodcom_data[[#This Row],[IMPQNT - EU27_2020 - 2019 - amount]])))), "secrets", "")</f>
        <v/>
      </c>
      <c r="AD16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98997841</v>
      </c>
      <c r="AE166" s="8" t="str">
        <f>IF(NOT(AND(ISNUMBER(VALUE(prodcom_data[[#This Row],[PRODQNT - EU27_2020 - 2022 - amount]])), ISNUMBER(VALUE(prodcom_data[[#This Row],[IMPQNT - EU27_2020 - 2022 - amount]])))), "secrets", "")</f>
        <v/>
      </c>
      <c r="AF166" s="7">
        <f>_xlfn.LET(_xlpm.production_amount, VALUE(prodcom_data[[#This Row],[PRODQNT - FR - 2019 - amount]]), IF(ISNUMBER(_xlpm.production_amount), _xlpm.production_amount, 0))+_xlfn.LET(_xlpm.import_amount, VALUE(prodcom_data[[#This Row],[IMPQNT - FR - 2019 - amount]]), IF(ISNUMBER(_xlpm.import_amount), _xlpm.import_amount, 0))</f>
        <v>34245200</v>
      </c>
      <c r="AG166" s="8" t="str">
        <f>IF(NOT(AND(ISNUMBER(VALUE(prodcom_data[[#This Row],[PRODQNT - FR - 2019 - amount]])), ISNUMBER(VALUE(prodcom_data[[#This Row],[IMPQNT - FR - 2019 - amount]])))), "secrets", "")</f>
        <v/>
      </c>
      <c r="AH166" s="7">
        <f>_xlfn.LET(_xlpm.production_amount, VALUE(prodcom_data[[#This Row],[PRODQNT - FR - 2022 - amount]]), IF(ISNUMBER(_xlpm.production_amount), _xlpm.production_amount, 0))+_xlfn.LET(_xlpm.import_amount, VALUE(prodcom_data[[#This Row],[IMPQNT - FR - 2022 - amount]]), IF(ISNUMBER(_xlpm.import_amount), _xlpm.import_amount, 0))</f>
        <v>24450897</v>
      </c>
      <c r="AI166" s="8" t="str">
        <f>IF(NOT(AND(ISNUMBER(VALUE(prodcom_data[[#This Row],[PRODQNT - FR - 2022 - amount]])), ISNUMBER(VALUE(prodcom_data[[#This Row],[IMPQNT - FR - 2022 - amount]])))), "secrets", "")</f>
        <v/>
      </c>
      <c r="AJ16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0.40654615892077889</v>
      </c>
      <c r="AK166" s="10" t="s">
        <v>2642</v>
      </c>
    </row>
    <row r="167" spans="1:37" x14ac:dyDescent="0.3">
      <c r="A167" s="4" t="s">
        <v>3</v>
      </c>
      <c r="B167" s="4" t="s">
        <v>90</v>
      </c>
      <c r="C167" s="4" t="s">
        <v>91</v>
      </c>
      <c r="D167" s="4" t="s">
        <v>92</v>
      </c>
      <c r="E167" s="5" t="s">
        <v>7</v>
      </c>
      <c r="F167" s="4" t="s">
        <v>949</v>
      </c>
      <c r="G167" s="5" t="s">
        <v>7</v>
      </c>
      <c r="H167" s="4" t="s">
        <v>950</v>
      </c>
      <c r="I167" s="5" t="s">
        <v>7</v>
      </c>
      <c r="J167" s="4" t="s">
        <v>951</v>
      </c>
      <c r="K167" s="5" t="s">
        <v>7</v>
      </c>
      <c r="L167" s="4" t="s">
        <v>952</v>
      </c>
      <c r="M167" s="5" t="s">
        <v>7</v>
      </c>
      <c r="N167" s="4" t="s">
        <v>953</v>
      </c>
      <c r="O167" s="5" t="s">
        <v>7</v>
      </c>
      <c r="P167" s="4" t="s">
        <v>703</v>
      </c>
      <c r="Q167" s="5" t="s">
        <v>703</v>
      </c>
      <c r="R167" s="4" t="s">
        <v>954</v>
      </c>
      <c r="S167" s="5" t="s">
        <v>7</v>
      </c>
      <c r="T167" s="4" t="s">
        <v>955</v>
      </c>
      <c r="U167" s="5" t="s">
        <v>7</v>
      </c>
      <c r="V167" s="4" t="s">
        <v>703</v>
      </c>
      <c r="W167" s="5" t="s">
        <v>703</v>
      </c>
      <c r="X167" s="4" t="s">
        <v>956</v>
      </c>
      <c r="Y167" s="5" t="s">
        <v>7</v>
      </c>
      <c r="Z167" s="4" t="s">
        <v>957</v>
      </c>
      <c r="AA167" s="5" t="s">
        <v>7</v>
      </c>
      <c r="AB16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70046989</v>
      </c>
      <c r="AC167" s="8" t="str">
        <f>IF(NOT(AND(ISNUMBER(VALUE(prodcom_data[[#This Row],[PRODQNT - EU27_2020 - 2019 - amount]])), ISNUMBER(VALUE(prodcom_data[[#This Row],[IMPQNT - EU27_2020 - 2019 - amount]])))), "secrets", "")</f>
        <v/>
      </c>
      <c r="AD16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98312485</v>
      </c>
      <c r="AE167" s="8" t="str">
        <f>IF(NOT(AND(ISNUMBER(VALUE(prodcom_data[[#This Row],[PRODQNT - EU27_2020 - 2022 - amount]])), ISNUMBER(VALUE(prodcom_data[[#This Row],[IMPQNT - EU27_2020 - 2022 - amount]])))), "secrets", "")</f>
        <v/>
      </c>
      <c r="AF167" s="7">
        <f>_xlfn.LET(_xlpm.production_amount, VALUE(prodcom_data[[#This Row],[PRODQNT - FR - 2019 - amount]]), IF(ISNUMBER(_xlpm.production_amount), _xlpm.production_amount, 0))+_xlfn.LET(_xlpm.import_amount, VALUE(prodcom_data[[#This Row],[IMPQNT - FR - 2019 - amount]]), IF(ISNUMBER(_xlpm.import_amount), _xlpm.import_amount, 0))</f>
        <v>272700</v>
      </c>
      <c r="AG167" s="8" t="str">
        <f>IF(NOT(AND(ISNUMBER(VALUE(prodcom_data[[#This Row],[PRODQNT - FR - 2019 - amount]])), ISNUMBER(VALUE(prodcom_data[[#This Row],[IMPQNT - FR - 2019 - amount]])))), "secrets", "")</f>
        <v>secrets</v>
      </c>
      <c r="AH167" s="7">
        <f>_xlfn.LET(_xlpm.production_amount, VALUE(prodcom_data[[#This Row],[PRODQNT - FR - 2022 - amount]]), IF(ISNUMBER(_xlpm.production_amount), _xlpm.production_amount, 0))+_xlfn.LET(_xlpm.import_amount, VALUE(prodcom_data[[#This Row],[IMPQNT - FR - 2022 - amount]]), IF(ISNUMBER(_xlpm.import_amount), _xlpm.import_amount, 0))</f>
        <v>15312</v>
      </c>
      <c r="AI167" s="8" t="str">
        <f>IF(NOT(AND(ISNUMBER(VALUE(prodcom_data[[#This Row],[PRODQNT - FR - 2022 - amount]])), ISNUMBER(VALUE(prodcom_data[[#This Row],[IMPQNT - FR - 2022 - amount]])))), "secrets", "")</f>
        <v>secrets</v>
      </c>
      <c r="AJ16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0.8630672187769437</v>
      </c>
      <c r="AK167" s="10" t="s">
        <v>2642</v>
      </c>
    </row>
    <row r="168" spans="1:37" x14ac:dyDescent="0.3">
      <c r="A168" s="4" t="s">
        <v>3</v>
      </c>
      <c r="B168" s="4" t="s">
        <v>211</v>
      </c>
      <c r="C168" s="4" t="s">
        <v>212</v>
      </c>
      <c r="D168" s="4" t="s">
        <v>213</v>
      </c>
      <c r="E168" s="5" t="s">
        <v>7</v>
      </c>
      <c r="F168" s="4" t="s">
        <v>1289</v>
      </c>
      <c r="G168" s="5" t="s">
        <v>7</v>
      </c>
      <c r="H168" s="4" t="s">
        <v>1290</v>
      </c>
      <c r="I168" s="5" t="s">
        <v>7</v>
      </c>
      <c r="J168" s="4" t="s">
        <v>292</v>
      </c>
      <c r="K168" s="5" t="s">
        <v>7</v>
      </c>
      <c r="L168" s="4" t="s">
        <v>1291</v>
      </c>
      <c r="M168" s="5" t="s">
        <v>7</v>
      </c>
      <c r="N168" s="4" t="s">
        <v>1292</v>
      </c>
      <c r="O168" s="5" t="s">
        <v>7</v>
      </c>
      <c r="P168" s="4" t="s">
        <v>2611</v>
      </c>
      <c r="Q168" s="5" t="s">
        <v>7</v>
      </c>
      <c r="R168" s="4" t="s">
        <v>1293</v>
      </c>
      <c r="S168" s="5" t="s">
        <v>7</v>
      </c>
      <c r="T168" s="4" t="s">
        <v>1294</v>
      </c>
      <c r="U168" s="5" t="s">
        <v>7</v>
      </c>
      <c r="V168" s="4" t="s">
        <v>2611</v>
      </c>
      <c r="W168" s="5" t="s">
        <v>7</v>
      </c>
      <c r="X168" s="4" t="s">
        <v>1295</v>
      </c>
      <c r="Y168" s="5" t="s">
        <v>7</v>
      </c>
      <c r="Z168" s="4" t="s">
        <v>1296</v>
      </c>
      <c r="AA168" s="5" t="s">
        <v>7</v>
      </c>
      <c r="AB16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76457410</v>
      </c>
      <c r="AC168" s="8" t="str">
        <f>IF(NOT(AND(ISNUMBER(VALUE(prodcom_data[[#This Row],[PRODQNT - EU27_2020 - 2019 - amount]])), ISNUMBER(VALUE(prodcom_data[[#This Row],[IMPQNT - EU27_2020 - 2019 - amount]])))), "secrets", "")</f>
        <v/>
      </c>
      <c r="AD16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97867400</v>
      </c>
      <c r="AE168" s="8" t="str">
        <f>IF(NOT(AND(ISNUMBER(VALUE(prodcom_data[[#This Row],[PRODQNT - EU27_2020 - 2022 - amount]])), ISNUMBER(VALUE(prodcom_data[[#This Row],[IMPQNT - EU27_2020 - 2022 - amount]])))), "secrets", "")</f>
        <v/>
      </c>
      <c r="AF168" s="7">
        <f>_xlfn.LET(_xlpm.production_amount, VALUE(prodcom_data[[#This Row],[PRODQNT - FR - 2019 - amount]]), IF(ISNUMBER(_xlpm.production_amount), _xlpm.production_amount, 0))+_xlfn.LET(_xlpm.import_amount, VALUE(prodcom_data[[#This Row],[IMPQNT - FR - 2019 - amount]]), IF(ISNUMBER(_xlpm.import_amount), _xlpm.import_amount, 0))</f>
        <v>5596700</v>
      </c>
      <c r="AG168" s="8" t="str">
        <f>IF(NOT(AND(ISNUMBER(VALUE(prodcom_data[[#This Row],[PRODQNT - FR - 2019 - amount]])), ISNUMBER(VALUE(prodcom_data[[#This Row],[IMPQNT - FR - 2019 - amount]])))), "secrets", "")</f>
        <v>secrets</v>
      </c>
      <c r="AH168" s="7">
        <f>_xlfn.LET(_xlpm.production_amount, VALUE(prodcom_data[[#This Row],[PRODQNT - FR - 2022 - amount]]), IF(ISNUMBER(_xlpm.production_amount), _xlpm.production_amount, 0))+_xlfn.LET(_xlpm.import_amount, VALUE(prodcom_data[[#This Row],[IMPQNT - FR - 2022 - amount]]), IF(ISNUMBER(_xlpm.import_amount), _xlpm.import_amount, 0))</f>
        <v>7547138</v>
      </c>
      <c r="AI168" s="8" t="str">
        <f>IF(NOT(AND(ISNUMBER(VALUE(prodcom_data[[#This Row],[PRODQNT - FR - 2022 - amount]])), ISNUMBER(VALUE(prodcom_data[[#This Row],[IMPQNT - FR - 2022 - amount]])))), "secrets", "")</f>
        <v>secrets</v>
      </c>
      <c r="AJ16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0.81743256692218247</v>
      </c>
      <c r="AK168" s="10" t="s">
        <v>2642</v>
      </c>
    </row>
    <row r="169" spans="1:37" x14ac:dyDescent="0.3">
      <c r="A169" s="4" t="s">
        <v>3</v>
      </c>
      <c r="B169" s="4" t="s">
        <v>290</v>
      </c>
      <c r="C169" s="4" t="s">
        <v>291</v>
      </c>
      <c r="D169" s="4" t="s">
        <v>292</v>
      </c>
      <c r="E169" s="5" t="s">
        <v>7</v>
      </c>
      <c r="F169" s="4" t="s">
        <v>1495</v>
      </c>
      <c r="G169" s="5" t="s">
        <v>7</v>
      </c>
      <c r="H169" s="4" t="s">
        <v>1496</v>
      </c>
      <c r="I169" s="5" t="s">
        <v>7</v>
      </c>
      <c r="J169" s="4" t="s">
        <v>1497</v>
      </c>
      <c r="K169" s="5" t="s">
        <v>7</v>
      </c>
      <c r="L169" s="4" t="s">
        <v>1498</v>
      </c>
      <c r="M169" s="5" t="s">
        <v>7</v>
      </c>
      <c r="N169" s="4" t="s">
        <v>1499</v>
      </c>
      <c r="O169" s="5" t="s">
        <v>7</v>
      </c>
      <c r="P169" s="4" t="s">
        <v>1500</v>
      </c>
      <c r="Q169" s="5" t="s">
        <v>7</v>
      </c>
      <c r="R169" s="4" t="s">
        <v>1501</v>
      </c>
      <c r="S169" s="5" t="s">
        <v>7</v>
      </c>
      <c r="T169" s="4" t="s">
        <v>1502</v>
      </c>
      <c r="U169" s="5" t="s">
        <v>7</v>
      </c>
      <c r="V169" s="4" t="s">
        <v>1503</v>
      </c>
      <c r="W169" s="5" t="s">
        <v>7</v>
      </c>
      <c r="X169" s="4" t="s">
        <v>1504</v>
      </c>
      <c r="Y169" s="5" t="s">
        <v>7</v>
      </c>
      <c r="Z169" s="4" t="s">
        <v>1505</v>
      </c>
      <c r="AA169" s="5" t="s">
        <v>7</v>
      </c>
      <c r="AB16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85471621</v>
      </c>
      <c r="AC169" s="8" t="str">
        <f>IF(NOT(AND(ISNUMBER(VALUE(prodcom_data[[#This Row],[PRODQNT - EU27_2020 - 2019 - amount]])), ISNUMBER(VALUE(prodcom_data[[#This Row],[IMPQNT - EU27_2020 - 2019 - amount]])))), "secrets", "")</f>
        <v/>
      </c>
      <c r="AD16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97660795</v>
      </c>
      <c r="AE169" s="8" t="str">
        <f>IF(NOT(AND(ISNUMBER(VALUE(prodcom_data[[#This Row],[PRODQNT - EU27_2020 - 2022 - amount]])), ISNUMBER(VALUE(prodcom_data[[#This Row],[IMPQNT - EU27_2020 - 2022 - amount]])))), "secrets", "")</f>
        <v/>
      </c>
      <c r="AF169" s="7">
        <f>_xlfn.LET(_xlpm.production_amount, VALUE(prodcom_data[[#This Row],[PRODQNT - FR - 2019 - amount]]), IF(ISNUMBER(_xlpm.production_amount), _xlpm.production_amount, 0))+_xlfn.LET(_xlpm.import_amount, VALUE(prodcom_data[[#This Row],[IMPQNT - FR - 2019 - amount]]), IF(ISNUMBER(_xlpm.import_amount), _xlpm.import_amount, 0))</f>
        <v>6888775</v>
      </c>
      <c r="AG169" s="8" t="str">
        <f>IF(NOT(AND(ISNUMBER(VALUE(prodcom_data[[#This Row],[PRODQNT - FR - 2019 - amount]])), ISNUMBER(VALUE(prodcom_data[[#This Row],[IMPQNT - FR - 2019 - amount]])))), "secrets", "")</f>
        <v/>
      </c>
      <c r="AH169" s="7">
        <f>_xlfn.LET(_xlpm.production_amount, VALUE(prodcom_data[[#This Row],[PRODQNT - FR - 2022 - amount]]), IF(ISNUMBER(_xlpm.production_amount), _xlpm.production_amount, 0))+_xlfn.LET(_xlpm.import_amount, VALUE(prodcom_data[[#This Row],[IMPQNT - FR - 2022 - amount]]), IF(ISNUMBER(_xlpm.import_amount), _xlpm.import_amount, 0))</f>
        <v>6206236</v>
      </c>
      <c r="AI169" s="8" t="str">
        <f>IF(NOT(AND(ISNUMBER(VALUE(prodcom_data[[#This Row],[PRODQNT - FR - 2022 - amount]])), ISNUMBER(VALUE(prodcom_data[[#This Row],[IMPQNT - FR - 2022 - amount]])))), "secrets", "")</f>
        <v/>
      </c>
      <c r="AJ16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0.88810959402900624</v>
      </c>
      <c r="AK169" s="10" t="s">
        <v>2642</v>
      </c>
    </row>
    <row r="170" spans="1:37" x14ac:dyDescent="0.3">
      <c r="A170" s="4" t="s">
        <v>3</v>
      </c>
      <c r="B170" s="4" t="s">
        <v>278</v>
      </c>
      <c r="C170" s="4" t="s">
        <v>279</v>
      </c>
      <c r="D170" s="4" t="s">
        <v>280</v>
      </c>
      <c r="E170" s="5" t="s">
        <v>7</v>
      </c>
      <c r="F170" s="4" t="s">
        <v>1460</v>
      </c>
      <c r="G170" s="5" t="s">
        <v>7</v>
      </c>
      <c r="H170" s="4" t="s">
        <v>1461</v>
      </c>
      <c r="I170" s="5" t="s">
        <v>7</v>
      </c>
      <c r="J170" s="4" t="s">
        <v>1462</v>
      </c>
      <c r="K170" s="5" t="s">
        <v>7</v>
      </c>
      <c r="L170" s="4" t="s">
        <v>1463</v>
      </c>
      <c r="M170" s="5" t="s">
        <v>7</v>
      </c>
      <c r="N170" s="4" t="s">
        <v>1464</v>
      </c>
      <c r="O170" s="5" t="s">
        <v>7</v>
      </c>
      <c r="P170" s="4" t="s">
        <v>2611</v>
      </c>
      <c r="Q170" s="5" t="s">
        <v>7</v>
      </c>
      <c r="R170" s="4" t="s">
        <v>1465</v>
      </c>
      <c r="S170" s="5" t="s">
        <v>7</v>
      </c>
      <c r="T170" s="4" t="s">
        <v>1466</v>
      </c>
      <c r="U170" s="5" t="s">
        <v>7</v>
      </c>
      <c r="V170" s="4" t="s">
        <v>2611</v>
      </c>
      <c r="W170" s="5" t="s">
        <v>7</v>
      </c>
      <c r="X170" s="4" t="s">
        <v>1467</v>
      </c>
      <c r="Y170" s="5" t="s">
        <v>7</v>
      </c>
      <c r="Z170" s="4" t="s">
        <v>1468</v>
      </c>
      <c r="AA170" s="5" t="s">
        <v>7</v>
      </c>
      <c r="AB17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121713827</v>
      </c>
      <c r="AC170" s="8" t="str">
        <f>IF(NOT(AND(ISNUMBER(VALUE(prodcom_data[[#This Row],[PRODQNT - EU27_2020 - 2019 - amount]])), ISNUMBER(VALUE(prodcom_data[[#This Row],[IMPQNT - EU27_2020 - 2019 - amount]])))), "secrets", "")</f>
        <v/>
      </c>
      <c r="AD17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96737872</v>
      </c>
      <c r="AE170" s="8" t="str">
        <f>IF(NOT(AND(ISNUMBER(VALUE(prodcom_data[[#This Row],[PRODQNT - EU27_2020 - 2022 - amount]])), ISNUMBER(VALUE(prodcom_data[[#This Row],[IMPQNT - EU27_2020 - 2022 - amount]])))), "secrets", "")</f>
        <v/>
      </c>
      <c r="AF170" s="7">
        <f>_xlfn.LET(_xlpm.production_amount, VALUE(prodcom_data[[#This Row],[PRODQNT - FR - 2019 - amount]]), IF(ISNUMBER(_xlpm.production_amount), _xlpm.production_amount, 0))+_xlfn.LET(_xlpm.import_amount, VALUE(prodcom_data[[#This Row],[IMPQNT - FR - 2019 - amount]]), IF(ISNUMBER(_xlpm.import_amount), _xlpm.import_amount, 0))</f>
        <v>23824100</v>
      </c>
      <c r="AG170" s="8" t="str">
        <f>IF(NOT(AND(ISNUMBER(VALUE(prodcom_data[[#This Row],[PRODQNT - FR - 2019 - amount]])), ISNUMBER(VALUE(prodcom_data[[#This Row],[IMPQNT - FR - 2019 - amount]])))), "secrets", "")</f>
        <v>secrets</v>
      </c>
      <c r="AH170" s="7">
        <f>_xlfn.LET(_xlpm.production_amount, VALUE(prodcom_data[[#This Row],[PRODQNT - FR - 2022 - amount]]), IF(ISNUMBER(_xlpm.production_amount), _xlpm.production_amount, 0))+_xlfn.LET(_xlpm.import_amount, VALUE(prodcom_data[[#This Row],[IMPQNT - FR - 2022 - amount]]), IF(ISNUMBER(_xlpm.import_amount), _xlpm.import_amount, 0))</f>
        <v>18968705</v>
      </c>
      <c r="AI170" s="8" t="str">
        <f>IF(NOT(AND(ISNUMBER(VALUE(prodcom_data[[#This Row],[PRODQNT - FR - 2022 - amount]])), ISNUMBER(VALUE(prodcom_data[[#This Row],[IMPQNT - FR - 2022 - amount]])))), "secrets", "")</f>
        <v>secrets</v>
      </c>
      <c r="AJ17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0.88016999174842303</v>
      </c>
      <c r="AK170" s="10" t="s">
        <v>2642</v>
      </c>
    </row>
    <row r="171" spans="1:37" x14ac:dyDescent="0.3">
      <c r="A171" s="4" t="s">
        <v>3</v>
      </c>
      <c r="B171" s="4" t="s">
        <v>155</v>
      </c>
      <c r="C171" s="4" t="s">
        <v>156</v>
      </c>
      <c r="D171" s="4" t="s">
        <v>157</v>
      </c>
      <c r="E171" s="5" t="s">
        <v>7</v>
      </c>
      <c r="F171" s="4" t="s">
        <v>1133</v>
      </c>
      <c r="G171" s="5" t="s">
        <v>7</v>
      </c>
      <c r="H171" s="4" t="s">
        <v>1134</v>
      </c>
      <c r="I171" s="5" t="s">
        <v>7</v>
      </c>
      <c r="J171" s="4" t="s">
        <v>292</v>
      </c>
      <c r="K171" s="5" t="s">
        <v>7</v>
      </c>
      <c r="L171" s="4" t="s">
        <v>1135</v>
      </c>
      <c r="M171" s="5" t="s">
        <v>7</v>
      </c>
      <c r="N171" s="4" t="s">
        <v>1136</v>
      </c>
      <c r="O171" s="5" t="s">
        <v>7</v>
      </c>
      <c r="P171" s="4" t="s">
        <v>2611</v>
      </c>
      <c r="Q171" s="5" t="s">
        <v>7</v>
      </c>
      <c r="R171" s="4" t="s">
        <v>1137</v>
      </c>
      <c r="S171" s="5" t="s">
        <v>7</v>
      </c>
      <c r="T171" s="4" t="s">
        <v>1138</v>
      </c>
      <c r="U171" s="5" t="s">
        <v>7</v>
      </c>
      <c r="V171" s="4" t="s">
        <v>1139</v>
      </c>
      <c r="W171" s="5" t="s">
        <v>7</v>
      </c>
      <c r="X171" s="4" t="s">
        <v>1140</v>
      </c>
      <c r="Y171" s="5" t="s">
        <v>7</v>
      </c>
      <c r="Z171" s="4" t="s">
        <v>1141</v>
      </c>
      <c r="AA171" s="5" t="s">
        <v>7</v>
      </c>
      <c r="AB17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72268053</v>
      </c>
      <c r="AC171" s="8" t="str">
        <f>IF(NOT(AND(ISNUMBER(VALUE(prodcom_data[[#This Row],[PRODQNT - EU27_2020 - 2019 - amount]])), ISNUMBER(VALUE(prodcom_data[[#This Row],[IMPQNT - EU27_2020 - 2019 - amount]])))), "secrets", "")</f>
        <v/>
      </c>
      <c r="AD17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95879390</v>
      </c>
      <c r="AE171" s="8" t="str">
        <f>IF(NOT(AND(ISNUMBER(VALUE(prodcom_data[[#This Row],[PRODQNT - EU27_2020 - 2022 - amount]])), ISNUMBER(VALUE(prodcom_data[[#This Row],[IMPQNT - EU27_2020 - 2022 - amount]])))), "secrets", "")</f>
        <v/>
      </c>
      <c r="AF171" s="7">
        <f>_xlfn.LET(_xlpm.production_amount, VALUE(prodcom_data[[#This Row],[PRODQNT - FR - 2019 - amount]]), IF(ISNUMBER(_xlpm.production_amount), _xlpm.production_amount, 0))+_xlfn.LET(_xlpm.import_amount, VALUE(prodcom_data[[#This Row],[IMPQNT - FR - 2019 - amount]]), IF(ISNUMBER(_xlpm.import_amount), _xlpm.import_amount, 0))</f>
        <v>2837700</v>
      </c>
      <c r="AG171" s="8" t="str">
        <f>IF(NOT(AND(ISNUMBER(VALUE(prodcom_data[[#This Row],[PRODQNT - FR - 2019 - amount]])), ISNUMBER(VALUE(prodcom_data[[#This Row],[IMPQNT - FR - 2019 - amount]])))), "secrets", "")</f>
        <v>secrets</v>
      </c>
      <c r="AH171" s="7">
        <f>_xlfn.LET(_xlpm.production_amount, VALUE(prodcom_data[[#This Row],[PRODQNT - FR - 2022 - amount]]), IF(ISNUMBER(_xlpm.production_amount), _xlpm.production_amount, 0))+_xlfn.LET(_xlpm.import_amount, VALUE(prodcom_data[[#This Row],[IMPQNT - FR - 2022 - amount]]), IF(ISNUMBER(_xlpm.import_amount), _xlpm.import_amount, 0))</f>
        <v>3299714</v>
      </c>
      <c r="AI171" s="8" t="str">
        <f>IF(NOT(AND(ISNUMBER(VALUE(prodcom_data[[#This Row],[PRODQNT - FR - 2022 - amount]])), ISNUMBER(VALUE(prodcom_data[[#This Row],[IMPQNT - FR - 2022 - amount]])))), "secrets", "")</f>
        <v/>
      </c>
      <c r="AJ17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0.83438161214834594</v>
      </c>
      <c r="AK171" s="10" t="s">
        <v>2642</v>
      </c>
    </row>
    <row r="172" spans="1:37" x14ac:dyDescent="0.3">
      <c r="A172" s="4" t="s">
        <v>3</v>
      </c>
      <c r="B172" s="4" t="s">
        <v>308</v>
      </c>
      <c r="C172" s="4" t="s">
        <v>309</v>
      </c>
      <c r="D172" s="4" t="s">
        <v>310</v>
      </c>
      <c r="E172" s="5" t="s">
        <v>7</v>
      </c>
      <c r="F172" s="4" t="s">
        <v>1547</v>
      </c>
      <c r="G172" s="5" t="s">
        <v>7</v>
      </c>
      <c r="H172" s="4" t="s">
        <v>1548</v>
      </c>
      <c r="I172" s="5" t="s">
        <v>7</v>
      </c>
      <c r="J172" s="4" t="s">
        <v>1329</v>
      </c>
      <c r="K172" s="5" t="s">
        <v>7</v>
      </c>
      <c r="L172" s="4" t="s">
        <v>1549</v>
      </c>
      <c r="M172" s="5" t="s">
        <v>7</v>
      </c>
      <c r="N172" s="4" t="s">
        <v>1550</v>
      </c>
      <c r="O172" s="5" t="s">
        <v>7</v>
      </c>
      <c r="P172" s="4" t="s">
        <v>2611</v>
      </c>
      <c r="Q172" s="5" t="s">
        <v>7</v>
      </c>
      <c r="R172" s="4" t="s">
        <v>713</v>
      </c>
      <c r="S172" s="5" t="s">
        <v>7</v>
      </c>
      <c r="T172" s="4" t="s">
        <v>1551</v>
      </c>
      <c r="U172" s="5" t="s">
        <v>7</v>
      </c>
      <c r="V172" s="4" t="s">
        <v>2611</v>
      </c>
      <c r="W172" s="5" t="s">
        <v>7</v>
      </c>
      <c r="X172" s="4" t="s">
        <v>1552</v>
      </c>
      <c r="Y172" s="5" t="s">
        <v>7</v>
      </c>
      <c r="Z172" s="4" t="s">
        <v>1553</v>
      </c>
      <c r="AA172" s="5" t="s">
        <v>7</v>
      </c>
      <c r="AB17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58625389</v>
      </c>
      <c r="AC172" s="8" t="str">
        <f>IF(NOT(AND(ISNUMBER(VALUE(prodcom_data[[#This Row],[PRODQNT - EU27_2020 - 2019 - amount]])), ISNUMBER(VALUE(prodcom_data[[#This Row],[IMPQNT - EU27_2020 - 2019 - amount]])))), "secrets", "")</f>
        <v/>
      </c>
      <c r="AD17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95091701</v>
      </c>
      <c r="AE172" s="8" t="str">
        <f>IF(NOT(AND(ISNUMBER(VALUE(prodcom_data[[#This Row],[PRODQNT - EU27_2020 - 2022 - amount]])), ISNUMBER(VALUE(prodcom_data[[#This Row],[IMPQNT - EU27_2020 - 2022 - amount]])))), "secrets", "")</f>
        <v/>
      </c>
      <c r="AF172" s="7">
        <f>_xlfn.LET(_xlpm.production_amount, VALUE(prodcom_data[[#This Row],[PRODQNT - FR - 2019 - amount]]), IF(ISNUMBER(_xlpm.production_amount), _xlpm.production_amount, 0))+_xlfn.LET(_xlpm.import_amount, VALUE(prodcom_data[[#This Row],[IMPQNT - FR - 2019 - amount]]), IF(ISNUMBER(_xlpm.import_amount), _xlpm.import_amount, 0))</f>
        <v>1997200</v>
      </c>
      <c r="AG172" s="8" t="str">
        <f>IF(NOT(AND(ISNUMBER(VALUE(prodcom_data[[#This Row],[PRODQNT - FR - 2019 - amount]])), ISNUMBER(VALUE(prodcom_data[[#This Row],[IMPQNT - FR - 2019 - amount]])))), "secrets", "")</f>
        <v>secrets</v>
      </c>
      <c r="AH172" s="7">
        <f>_xlfn.LET(_xlpm.production_amount, VALUE(prodcom_data[[#This Row],[PRODQNT - FR - 2022 - amount]]), IF(ISNUMBER(_xlpm.production_amount), _xlpm.production_amount, 0))+_xlfn.LET(_xlpm.import_amount, VALUE(prodcom_data[[#This Row],[IMPQNT - FR - 2022 - amount]]), IF(ISNUMBER(_xlpm.import_amount), _xlpm.import_amount, 0))</f>
        <v>1463971</v>
      </c>
      <c r="AI172" s="8" t="str">
        <f>IF(NOT(AND(ISNUMBER(VALUE(prodcom_data[[#This Row],[PRODQNT - FR - 2022 - amount]])), ISNUMBER(VALUE(prodcom_data[[#This Row],[IMPQNT - FR - 2022 - amount]])))), "secrets", "")</f>
        <v>secrets</v>
      </c>
      <c r="AJ17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0.94645483310893763</v>
      </c>
      <c r="AK172" s="10" t="s">
        <v>2642</v>
      </c>
    </row>
    <row r="173" spans="1:37" hidden="1" x14ac:dyDescent="0.3">
      <c r="A173" s="4" t="s">
        <v>3</v>
      </c>
      <c r="B173" s="4" t="s">
        <v>578</v>
      </c>
      <c r="C173" s="4" t="s">
        <v>579</v>
      </c>
      <c r="D173" s="4" t="s">
        <v>580</v>
      </c>
      <c r="E173" s="5" t="s">
        <v>7</v>
      </c>
      <c r="F173" s="4" t="s">
        <v>2300</v>
      </c>
      <c r="G173" s="5" t="s">
        <v>7</v>
      </c>
      <c r="H173" s="4" t="s">
        <v>2301</v>
      </c>
      <c r="I173" s="5" t="s">
        <v>7</v>
      </c>
      <c r="J173" s="4" t="s">
        <v>2302</v>
      </c>
      <c r="K173" s="5" t="s">
        <v>7</v>
      </c>
      <c r="L173" s="4" t="s">
        <v>2303</v>
      </c>
      <c r="M173" s="5" t="s">
        <v>7</v>
      </c>
      <c r="N173" s="4" t="s">
        <v>2304</v>
      </c>
      <c r="O173" s="5" t="s">
        <v>7</v>
      </c>
      <c r="P173" s="4" t="s">
        <v>2611</v>
      </c>
      <c r="Q173" s="5" t="s">
        <v>7</v>
      </c>
      <c r="R173" s="4" t="s">
        <v>2305</v>
      </c>
      <c r="S173" s="5" t="s">
        <v>7</v>
      </c>
      <c r="T173" s="4" t="s">
        <v>2306</v>
      </c>
      <c r="U173" s="5" t="s">
        <v>7</v>
      </c>
      <c r="V173" s="4" t="s">
        <v>2611</v>
      </c>
      <c r="W173" s="5" t="s">
        <v>7</v>
      </c>
      <c r="X173" s="4" t="s">
        <v>2307</v>
      </c>
      <c r="Y173" s="5" t="s">
        <v>7</v>
      </c>
      <c r="Z173" s="4" t="s">
        <v>2308</v>
      </c>
      <c r="AA173" s="5" t="s">
        <v>7</v>
      </c>
      <c r="AB17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103179788</v>
      </c>
      <c r="AC173" s="8" t="str">
        <f>IF(NOT(AND(ISNUMBER(VALUE(prodcom_data[[#This Row],[PRODQNT - EU27_2020 - 2019 - amount]])), ISNUMBER(VALUE(prodcom_data[[#This Row],[IMPQNT - EU27_2020 - 2019 - amount]])))), "secrets", "")</f>
        <v/>
      </c>
      <c r="AD17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94217243</v>
      </c>
      <c r="AE173" s="8" t="str">
        <f>IF(NOT(AND(ISNUMBER(VALUE(prodcom_data[[#This Row],[PRODQNT - EU27_2020 - 2022 - amount]])), ISNUMBER(VALUE(prodcom_data[[#This Row],[IMPQNT - EU27_2020 - 2022 - amount]])))), "secrets", "")</f>
        <v/>
      </c>
      <c r="AF173" s="7">
        <f>_xlfn.LET(_xlpm.production_amount, VALUE(prodcom_data[[#This Row],[PRODQNT - FR - 2019 - amount]]), IF(ISNUMBER(_xlpm.production_amount), _xlpm.production_amount, 0))+_xlfn.LET(_xlpm.import_amount, VALUE(prodcom_data[[#This Row],[IMPQNT - FR - 2019 - amount]]), IF(ISNUMBER(_xlpm.import_amount), _xlpm.import_amount, 0))</f>
        <v>28089600</v>
      </c>
      <c r="AG173" s="8" t="str">
        <f>IF(NOT(AND(ISNUMBER(VALUE(prodcom_data[[#This Row],[PRODQNT - FR - 2019 - amount]])), ISNUMBER(VALUE(prodcom_data[[#This Row],[IMPQNT - FR - 2019 - amount]])))), "secrets", "")</f>
        <v>secrets</v>
      </c>
      <c r="AH173" s="7">
        <f>_xlfn.LET(_xlpm.production_amount, VALUE(prodcom_data[[#This Row],[PRODQNT - FR - 2022 - amount]]), IF(ISNUMBER(_xlpm.production_amount), _xlpm.production_amount, 0))+_xlfn.LET(_xlpm.import_amount, VALUE(prodcom_data[[#This Row],[IMPQNT - FR - 2022 - amount]]), IF(ISNUMBER(_xlpm.import_amount), _xlpm.import_amount, 0))</f>
        <v>27832096</v>
      </c>
      <c r="AI173" s="8" t="str">
        <f>IF(NOT(AND(ISNUMBER(VALUE(prodcom_data[[#This Row],[PRODQNT - FR - 2022 - amount]])), ISNUMBER(VALUE(prodcom_data[[#This Row],[IMPQNT - FR - 2022 - amount]])))), "secrets", "")</f>
        <v>secrets</v>
      </c>
      <c r="AJ17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0.90794088508830595</v>
      </c>
      <c r="AK173" s="10" t="s">
        <v>2641</v>
      </c>
    </row>
    <row r="174" spans="1:37" x14ac:dyDescent="0.3">
      <c r="A174" s="4" t="s">
        <v>3</v>
      </c>
      <c r="B174" s="4" t="s">
        <v>302</v>
      </c>
      <c r="C174" s="4" t="s">
        <v>303</v>
      </c>
      <c r="D174" s="4" t="s">
        <v>304</v>
      </c>
      <c r="E174" s="5" t="s">
        <v>7</v>
      </c>
      <c r="F174" s="4" t="s">
        <v>1532</v>
      </c>
      <c r="G174" s="5" t="s">
        <v>7</v>
      </c>
      <c r="H174" s="4" t="s">
        <v>1533</v>
      </c>
      <c r="I174" s="5" t="s">
        <v>7</v>
      </c>
      <c r="J174" s="4" t="s">
        <v>256</v>
      </c>
      <c r="K174" s="5" t="s">
        <v>7</v>
      </c>
      <c r="L174" s="4" t="s">
        <v>1534</v>
      </c>
      <c r="M174" s="5" t="s">
        <v>7</v>
      </c>
      <c r="N174" s="4" t="s">
        <v>1535</v>
      </c>
      <c r="O174" s="5" t="s">
        <v>7</v>
      </c>
      <c r="P174" s="4" t="s">
        <v>2611</v>
      </c>
      <c r="Q174" s="5" t="s">
        <v>7</v>
      </c>
      <c r="R174" s="4" t="s">
        <v>1536</v>
      </c>
      <c r="S174" s="5" t="s">
        <v>7</v>
      </c>
      <c r="T174" s="4" t="s">
        <v>1537</v>
      </c>
      <c r="U174" s="5" t="s">
        <v>7</v>
      </c>
      <c r="V174" s="4" t="s">
        <v>2611</v>
      </c>
      <c r="W174" s="5" t="s">
        <v>7</v>
      </c>
      <c r="X174" s="4" t="s">
        <v>1538</v>
      </c>
      <c r="Y174" s="5" t="s">
        <v>7</v>
      </c>
      <c r="Z174" s="4" t="s">
        <v>1539</v>
      </c>
      <c r="AA174" s="5" t="s">
        <v>7</v>
      </c>
      <c r="AB17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76520582</v>
      </c>
      <c r="AC174" s="8" t="str">
        <f>IF(NOT(AND(ISNUMBER(VALUE(prodcom_data[[#This Row],[PRODQNT - EU27_2020 - 2019 - amount]])), ISNUMBER(VALUE(prodcom_data[[#This Row],[IMPQNT - EU27_2020 - 2019 - amount]])))), "secrets", "")</f>
        <v/>
      </c>
      <c r="AD17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92792908</v>
      </c>
      <c r="AE174" s="8" t="str">
        <f>IF(NOT(AND(ISNUMBER(VALUE(prodcom_data[[#This Row],[PRODQNT - EU27_2020 - 2022 - amount]])), ISNUMBER(VALUE(prodcom_data[[#This Row],[IMPQNT - EU27_2020 - 2022 - amount]])))), "secrets", "")</f>
        <v/>
      </c>
      <c r="AF174" s="7">
        <f>_xlfn.LET(_xlpm.production_amount, VALUE(prodcom_data[[#This Row],[PRODQNT - FR - 2019 - amount]]), IF(ISNUMBER(_xlpm.production_amount), _xlpm.production_amount, 0))+_xlfn.LET(_xlpm.import_amount, VALUE(prodcom_data[[#This Row],[IMPQNT - FR - 2019 - amount]]), IF(ISNUMBER(_xlpm.import_amount), _xlpm.import_amount, 0))</f>
        <v>5262600</v>
      </c>
      <c r="AG174" s="8" t="str">
        <f>IF(NOT(AND(ISNUMBER(VALUE(prodcom_data[[#This Row],[PRODQNT - FR - 2019 - amount]])), ISNUMBER(VALUE(prodcom_data[[#This Row],[IMPQNT - FR - 2019 - amount]])))), "secrets", "")</f>
        <v>secrets</v>
      </c>
      <c r="AH174" s="7">
        <f>_xlfn.LET(_xlpm.production_amount, VALUE(prodcom_data[[#This Row],[PRODQNT - FR - 2022 - amount]]), IF(ISNUMBER(_xlpm.production_amount), _xlpm.production_amount, 0))+_xlfn.LET(_xlpm.import_amount, VALUE(prodcom_data[[#This Row],[IMPQNT - FR - 2022 - amount]]), IF(ISNUMBER(_xlpm.import_amount), _xlpm.import_amount, 0))</f>
        <v>4630946</v>
      </c>
      <c r="AI174" s="8" t="str">
        <f>IF(NOT(AND(ISNUMBER(VALUE(prodcom_data[[#This Row],[PRODQNT - FR - 2022 - amount]])), ISNUMBER(VALUE(prodcom_data[[#This Row],[IMPQNT - FR - 2022 - amount]])))), "secrets", "")</f>
        <v>secrets</v>
      </c>
      <c r="AJ17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0.43106742597182102</v>
      </c>
      <c r="AK174" s="10" t="s">
        <v>2642</v>
      </c>
    </row>
    <row r="175" spans="1:37" x14ac:dyDescent="0.3">
      <c r="A175" s="4" t="s">
        <v>3</v>
      </c>
      <c r="B175" s="4" t="s">
        <v>96</v>
      </c>
      <c r="C175" s="4" t="s">
        <v>97</v>
      </c>
      <c r="D175" s="4" t="s">
        <v>98</v>
      </c>
      <c r="E175" s="5" t="s">
        <v>7</v>
      </c>
      <c r="F175" s="4" t="s">
        <v>967</v>
      </c>
      <c r="G175" s="5" t="s">
        <v>7</v>
      </c>
      <c r="H175" s="4" t="s">
        <v>968</v>
      </c>
      <c r="I175" s="5" t="s">
        <v>7</v>
      </c>
      <c r="J175" s="4" t="s">
        <v>969</v>
      </c>
      <c r="K175" s="5" t="s">
        <v>7</v>
      </c>
      <c r="L175" s="4" t="s">
        <v>970</v>
      </c>
      <c r="M175" s="5" t="s">
        <v>7</v>
      </c>
      <c r="N175" s="4" t="s">
        <v>971</v>
      </c>
      <c r="O175" s="5" t="s">
        <v>7</v>
      </c>
      <c r="P175" s="4" t="s">
        <v>972</v>
      </c>
      <c r="Q175" s="5" t="s">
        <v>7</v>
      </c>
      <c r="R175" s="4" t="s">
        <v>973</v>
      </c>
      <c r="S175" s="5" t="s">
        <v>7</v>
      </c>
      <c r="T175" s="4" t="s">
        <v>974</v>
      </c>
      <c r="U175" s="5" t="s">
        <v>7</v>
      </c>
      <c r="V175" s="4" t="s">
        <v>2611</v>
      </c>
      <c r="W175" s="5" t="s">
        <v>7</v>
      </c>
      <c r="X175" s="4" t="s">
        <v>975</v>
      </c>
      <c r="Y175" s="5" t="s">
        <v>7</v>
      </c>
      <c r="Z175" s="4" t="s">
        <v>976</v>
      </c>
      <c r="AA175" s="5" t="s">
        <v>7</v>
      </c>
      <c r="AB17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94189915</v>
      </c>
      <c r="AC175" s="8" t="str">
        <f>IF(NOT(AND(ISNUMBER(VALUE(prodcom_data[[#This Row],[PRODQNT - EU27_2020 - 2019 - amount]])), ISNUMBER(VALUE(prodcom_data[[#This Row],[IMPQNT - EU27_2020 - 2019 - amount]])))), "secrets", "")</f>
        <v/>
      </c>
      <c r="AD17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91870998</v>
      </c>
      <c r="AE175" s="8" t="str">
        <f>IF(NOT(AND(ISNUMBER(VALUE(prodcom_data[[#This Row],[PRODQNT - EU27_2020 - 2022 - amount]])), ISNUMBER(VALUE(prodcom_data[[#This Row],[IMPQNT - EU27_2020 - 2022 - amount]])))), "secrets", "")</f>
        <v/>
      </c>
      <c r="AF175" s="7">
        <f>_xlfn.LET(_xlpm.production_amount, VALUE(prodcom_data[[#This Row],[PRODQNT - FR - 2019 - amount]]), IF(ISNUMBER(_xlpm.production_amount), _xlpm.production_amount, 0))+_xlfn.LET(_xlpm.import_amount, VALUE(prodcom_data[[#This Row],[IMPQNT - FR - 2019 - amount]]), IF(ISNUMBER(_xlpm.import_amount), _xlpm.import_amount, 0))</f>
        <v>32097212</v>
      </c>
      <c r="AG175" s="8" t="str">
        <f>IF(NOT(AND(ISNUMBER(VALUE(prodcom_data[[#This Row],[PRODQNT - FR - 2019 - amount]])), ISNUMBER(VALUE(prodcom_data[[#This Row],[IMPQNT - FR - 2019 - amount]])))), "secrets", "")</f>
        <v/>
      </c>
      <c r="AH175" s="7">
        <f>_xlfn.LET(_xlpm.production_amount, VALUE(prodcom_data[[#This Row],[PRODQNT - FR - 2022 - amount]]), IF(ISNUMBER(_xlpm.production_amount), _xlpm.production_amount, 0))+_xlfn.LET(_xlpm.import_amount, VALUE(prodcom_data[[#This Row],[IMPQNT - FR - 2022 - amount]]), IF(ISNUMBER(_xlpm.import_amount), _xlpm.import_amount, 0))</f>
        <v>6759435</v>
      </c>
      <c r="AI175" s="8" t="str">
        <f>IF(NOT(AND(ISNUMBER(VALUE(prodcom_data[[#This Row],[PRODQNT - FR - 2022 - amount]])), ISNUMBER(VALUE(prodcom_data[[#This Row],[IMPQNT - FR - 2022 - amount]])))), "secrets", "")</f>
        <v>secrets</v>
      </c>
      <c r="AJ17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0.27212069689283225</v>
      </c>
      <c r="AK175" s="10" t="s">
        <v>2642</v>
      </c>
    </row>
    <row r="176" spans="1:37" x14ac:dyDescent="0.3">
      <c r="A176" s="4" t="s">
        <v>3</v>
      </c>
      <c r="B176" s="4" t="s">
        <v>223</v>
      </c>
      <c r="C176" s="4" t="s">
        <v>224</v>
      </c>
      <c r="D176" s="4" t="s">
        <v>225</v>
      </c>
      <c r="E176" s="5" t="s">
        <v>7</v>
      </c>
      <c r="F176" s="4" t="s">
        <v>1320</v>
      </c>
      <c r="G176" s="5" t="s">
        <v>7</v>
      </c>
      <c r="H176" s="4" t="s">
        <v>1321</v>
      </c>
      <c r="I176" s="5" t="s">
        <v>7</v>
      </c>
      <c r="J176" s="4" t="s">
        <v>146</v>
      </c>
      <c r="K176" s="5" t="s">
        <v>7</v>
      </c>
      <c r="L176" s="4" t="s">
        <v>1322</v>
      </c>
      <c r="M176" s="5" t="s">
        <v>7</v>
      </c>
      <c r="N176" s="4" t="s">
        <v>1323</v>
      </c>
      <c r="O176" s="5" t="s">
        <v>7</v>
      </c>
      <c r="P176" s="4" t="s">
        <v>713</v>
      </c>
      <c r="Q176" s="5" t="s">
        <v>7</v>
      </c>
      <c r="R176" s="4" t="s">
        <v>713</v>
      </c>
      <c r="S176" s="5" t="s">
        <v>7</v>
      </c>
      <c r="T176" s="4" t="s">
        <v>1324</v>
      </c>
      <c r="U176" s="5" t="s">
        <v>7</v>
      </c>
      <c r="V176" s="4" t="s">
        <v>713</v>
      </c>
      <c r="W176" s="5" t="s">
        <v>7</v>
      </c>
      <c r="X176" s="4" t="s">
        <v>1325</v>
      </c>
      <c r="Y176" s="5" t="s">
        <v>7</v>
      </c>
      <c r="Z176" s="4" t="s">
        <v>1326</v>
      </c>
      <c r="AA176" s="5" t="s">
        <v>7</v>
      </c>
      <c r="AB17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76974150</v>
      </c>
      <c r="AC176" s="8" t="str">
        <f>IF(NOT(AND(ISNUMBER(VALUE(prodcom_data[[#This Row],[PRODQNT - EU27_2020 - 2019 - amount]])), ISNUMBER(VALUE(prodcom_data[[#This Row],[IMPQNT - EU27_2020 - 2019 - amount]])))), "secrets", "")</f>
        <v/>
      </c>
      <c r="AD17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89716963</v>
      </c>
      <c r="AE176" s="8" t="str">
        <f>IF(NOT(AND(ISNUMBER(VALUE(prodcom_data[[#This Row],[PRODQNT - EU27_2020 - 2022 - amount]])), ISNUMBER(VALUE(prodcom_data[[#This Row],[IMPQNT - EU27_2020 - 2022 - amount]])))), "secrets", "")</f>
        <v/>
      </c>
      <c r="AF176" s="7">
        <f>_xlfn.LET(_xlpm.production_amount, VALUE(prodcom_data[[#This Row],[PRODQNT - FR - 2019 - amount]]), IF(ISNUMBER(_xlpm.production_amount), _xlpm.production_amount, 0))+_xlfn.LET(_xlpm.import_amount, VALUE(prodcom_data[[#This Row],[IMPQNT - FR - 2019 - amount]]), IF(ISNUMBER(_xlpm.import_amount), _xlpm.import_amount, 0))</f>
        <v>20947700</v>
      </c>
      <c r="AG176" s="8" t="str">
        <f>IF(NOT(AND(ISNUMBER(VALUE(prodcom_data[[#This Row],[PRODQNT - FR - 2019 - amount]])), ISNUMBER(VALUE(prodcom_data[[#This Row],[IMPQNT - FR - 2019 - amount]])))), "secrets", "")</f>
        <v/>
      </c>
      <c r="AH176" s="7">
        <f>_xlfn.LET(_xlpm.production_amount, VALUE(prodcom_data[[#This Row],[PRODQNT - FR - 2022 - amount]]), IF(ISNUMBER(_xlpm.production_amount), _xlpm.production_amount, 0))+_xlfn.LET(_xlpm.import_amount, VALUE(prodcom_data[[#This Row],[IMPQNT - FR - 2022 - amount]]), IF(ISNUMBER(_xlpm.import_amount), _xlpm.import_amount, 0))</f>
        <v>23094159</v>
      </c>
      <c r="AI176" s="8" t="str">
        <f>IF(NOT(AND(ISNUMBER(VALUE(prodcom_data[[#This Row],[PRODQNT - FR - 2022 - amount]])), ISNUMBER(VALUE(prodcom_data[[#This Row],[IMPQNT - FR - 2022 - amount]])))), "secrets", "")</f>
        <v/>
      </c>
      <c r="AJ17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0.78023149312354678</v>
      </c>
      <c r="AK176" s="10" t="s">
        <v>2642</v>
      </c>
    </row>
    <row r="177" spans="1:37" x14ac:dyDescent="0.3">
      <c r="A177" s="4" t="s">
        <v>3</v>
      </c>
      <c r="B177" s="4" t="s">
        <v>412</v>
      </c>
      <c r="C177" s="4" t="s">
        <v>413</v>
      </c>
      <c r="D177" s="4" t="s">
        <v>414</v>
      </c>
      <c r="E177" s="5" t="s">
        <v>7</v>
      </c>
      <c r="F177" s="4" t="s">
        <v>1817</v>
      </c>
      <c r="G177" s="5" t="s">
        <v>7</v>
      </c>
      <c r="H177" s="4" t="s">
        <v>1818</v>
      </c>
      <c r="I177" s="5" t="s">
        <v>7</v>
      </c>
      <c r="J177" s="4" t="s">
        <v>292</v>
      </c>
      <c r="K177" s="5" t="s">
        <v>7</v>
      </c>
      <c r="L177" s="4" t="s">
        <v>1819</v>
      </c>
      <c r="M177" s="5" t="s">
        <v>7</v>
      </c>
      <c r="N177" s="4" t="s">
        <v>1820</v>
      </c>
      <c r="O177" s="5" t="s">
        <v>7</v>
      </c>
      <c r="P177" s="4" t="s">
        <v>713</v>
      </c>
      <c r="Q177" s="5" t="s">
        <v>7</v>
      </c>
      <c r="R177" s="4" t="s">
        <v>1821</v>
      </c>
      <c r="S177" s="5" t="s">
        <v>7</v>
      </c>
      <c r="T177" s="4" t="s">
        <v>1822</v>
      </c>
      <c r="U177" s="5" t="s">
        <v>7</v>
      </c>
      <c r="V177" s="4" t="s">
        <v>2611</v>
      </c>
      <c r="W177" s="5" t="s">
        <v>7</v>
      </c>
      <c r="X177" s="4" t="s">
        <v>1823</v>
      </c>
      <c r="Y177" s="5" t="s">
        <v>7</v>
      </c>
      <c r="Z177" s="4" t="s">
        <v>1824</v>
      </c>
      <c r="AA177" s="5" t="s">
        <v>7</v>
      </c>
      <c r="AB17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123594163</v>
      </c>
      <c r="AC177" s="8" t="str">
        <f>IF(NOT(AND(ISNUMBER(VALUE(prodcom_data[[#This Row],[PRODQNT - EU27_2020 - 2019 - amount]])), ISNUMBER(VALUE(prodcom_data[[#This Row],[IMPQNT - EU27_2020 - 2019 - amount]])))), "secrets", "")</f>
        <v/>
      </c>
      <c r="AD17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80774272</v>
      </c>
      <c r="AE177" s="8" t="str">
        <f>IF(NOT(AND(ISNUMBER(VALUE(prodcom_data[[#This Row],[PRODQNT - EU27_2020 - 2022 - amount]])), ISNUMBER(VALUE(prodcom_data[[#This Row],[IMPQNT - EU27_2020 - 2022 - amount]])))), "secrets", "")</f>
        <v/>
      </c>
      <c r="AF177" s="7">
        <f>_xlfn.LET(_xlpm.production_amount, VALUE(prodcom_data[[#This Row],[PRODQNT - FR - 2019 - amount]]), IF(ISNUMBER(_xlpm.production_amount), _xlpm.production_amount, 0))+_xlfn.LET(_xlpm.import_amount, VALUE(prodcom_data[[#This Row],[IMPQNT - FR - 2019 - amount]]), IF(ISNUMBER(_xlpm.import_amount), _xlpm.import_amount, 0))</f>
        <v>3858700</v>
      </c>
      <c r="AG177" s="8" t="str">
        <f>IF(NOT(AND(ISNUMBER(VALUE(prodcom_data[[#This Row],[PRODQNT - FR - 2019 - amount]])), ISNUMBER(VALUE(prodcom_data[[#This Row],[IMPQNT - FR - 2019 - amount]])))), "secrets", "")</f>
        <v/>
      </c>
      <c r="AH177" s="7">
        <f>_xlfn.LET(_xlpm.production_amount, VALUE(prodcom_data[[#This Row],[PRODQNT - FR - 2022 - amount]]), IF(ISNUMBER(_xlpm.production_amount), _xlpm.production_amount, 0))+_xlfn.LET(_xlpm.import_amount, VALUE(prodcom_data[[#This Row],[IMPQNT - FR - 2022 - amount]]), IF(ISNUMBER(_xlpm.import_amount), _xlpm.import_amount, 0))</f>
        <v>1967814</v>
      </c>
      <c r="AI177" s="8" t="str">
        <f>IF(NOT(AND(ISNUMBER(VALUE(prodcom_data[[#This Row],[PRODQNT - FR - 2022 - amount]])), ISNUMBER(VALUE(prodcom_data[[#This Row],[IMPQNT - FR - 2022 - amount]])))), "secrets", "")</f>
        <v>secrets</v>
      </c>
      <c r="AJ17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0.99041437352725381</v>
      </c>
      <c r="AK177" s="10" t="s">
        <v>2642</v>
      </c>
    </row>
    <row r="178" spans="1:37" x14ac:dyDescent="0.3">
      <c r="A178" s="4" t="s">
        <v>3</v>
      </c>
      <c r="B178" s="4" t="s">
        <v>120</v>
      </c>
      <c r="C178" s="4" t="s">
        <v>121</v>
      </c>
      <c r="D178" s="4" t="s">
        <v>122</v>
      </c>
      <c r="E178" s="5" t="s">
        <v>7</v>
      </c>
      <c r="F178" s="4" t="s">
        <v>1035</v>
      </c>
      <c r="G178" s="5" t="s">
        <v>7</v>
      </c>
      <c r="H178" s="4" t="s">
        <v>1036</v>
      </c>
      <c r="I178" s="5" t="s">
        <v>7</v>
      </c>
      <c r="J178" s="4" t="s">
        <v>1037</v>
      </c>
      <c r="K178" s="5" t="s">
        <v>7</v>
      </c>
      <c r="L178" s="4" t="s">
        <v>1038</v>
      </c>
      <c r="M178" s="5" t="s">
        <v>7</v>
      </c>
      <c r="N178" s="4" t="s">
        <v>1039</v>
      </c>
      <c r="O178" s="5" t="s">
        <v>7</v>
      </c>
      <c r="P178" s="4" t="s">
        <v>2611</v>
      </c>
      <c r="Q178" s="5" t="s">
        <v>7</v>
      </c>
      <c r="R178" s="4" t="s">
        <v>1040</v>
      </c>
      <c r="S178" s="5" t="s">
        <v>7</v>
      </c>
      <c r="T178" s="4" t="s">
        <v>1041</v>
      </c>
      <c r="U178" s="5" t="s">
        <v>7</v>
      </c>
      <c r="V178" s="4" t="s">
        <v>2611</v>
      </c>
      <c r="W178" s="5" t="s">
        <v>7</v>
      </c>
      <c r="X178" s="4" t="s">
        <v>1042</v>
      </c>
      <c r="Y178" s="5" t="s">
        <v>7</v>
      </c>
      <c r="Z178" s="4" t="s">
        <v>1043</v>
      </c>
      <c r="AA178" s="5" t="s">
        <v>7</v>
      </c>
      <c r="AB17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88519478</v>
      </c>
      <c r="AC178" s="8" t="str">
        <f>IF(NOT(AND(ISNUMBER(VALUE(prodcom_data[[#This Row],[PRODQNT - EU27_2020 - 2019 - amount]])), ISNUMBER(VALUE(prodcom_data[[#This Row],[IMPQNT - EU27_2020 - 2019 - amount]])))), "secrets", "")</f>
        <v/>
      </c>
      <c r="AD17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79424657</v>
      </c>
      <c r="AE178" s="8" t="str">
        <f>IF(NOT(AND(ISNUMBER(VALUE(prodcom_data[[#This Row],[PRODQNT - EU27_2020 - 2022 - amount]])), ISNUMBER(VALUE(prodcom_data[[#This Row],[IMPQNT - EU27_2020 - 2022 - amount]])))), "secrets", "")</f>
        <v/>
      </c>
      <c r="AF178" s="7">
        <f>_xlfn.LET(_xlpm.production_amount, VALUE(prodcom_data[[#This Row],[PRODQNT - FR - 2019 - amount]]), IF(ISNUMBER(_xlpm.production_amount), _xlpm.production_amount, 0))+_xlfn.LET(_xlpm.import_amount, VALUE(prodcom_data[[#This Row],[IMPQNT - FR - 2019 - amount]]), IF(ISNUMBER(_xlpm.import_amount), _xlpm.import_amount, 0))</f>
        <v>5767300</v>
      </c>
      <c r="AG178" s="8" t="str">
        <f>IF(NOT(AND(ISNUMBER(VALUE(prodcom_data[[#This Row],[PRODQNT - FR - 2019 - amount]])), ISNUMBER(VALUE(prodcom_data[[#This Row],[IMPQNT - FR - 2019 - amount]])))), "secrets", "")</f>
        <v>secrets</v>
      </c>
      <c r="AH178" s="7">
        <f>_xlfn.LET(_xlpm.production_amount, VALUE(prodcom_data[[#This Row],[PRODQNT - FR - 2022 - amount]]), IF(ISNUMBER(_xlpm.production_amount), _xlpm.production_amount, 0))+_xlfn.LET(_xlpm.import_amount, VALUE(prodcom_data[[#This Row],[IMPQNT - FR - 2022 - amount]]), IF(ISNUMBER(_xlpm.import_amount), _xlpm.import_amount, 0))</f>
        <v>5749846</v>
      </c>
      <c r="AI178" s="8" t="str">
        <f>IF(NOT(AND(ISNUMBER(VALUE(prodcom_data[[#This Row],[PRODQNT - FR - 2022 - amount]])), ISNUMBER(VALUE(prodcom_data[[#This Row],[IMPQNT - FR - 2022 - amount]])))), "secrets", "")</f>
        <v>secrets</v>
      </c>
      <c r="AJ17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0.79063378265517725</v>
      </c>
      <c r="AK178" s="10" t="s">
        <v>2642</v>
      </c>
    </row>
    <row r="179" spans="1:37" hidden="1" x14ac:dyDescent="0.3">
      <c r="A179" s="4" t="s">
        <v>3</v>
      </c>
      <c r="B179" s="4" t="s">
        <v>519</v>
      </c>
      <c r="C179" s="4" t="s">
        <v>520</v>
      </c>
      <c r="D179" s="4" t="s">
        <v>521</v>
      </c>
      <c r="E179" s="5" t="s">
        <v>7</v>
      </c>
      <c r="F179" s="4" t="s">
        <v>2127</v>
      </c>
      <c r="G179" s="5" t="s">
        <v>7</v>
      </c>
      <c r="H179" s="4" t="s">
        <v>2128</v>
      </c>
      <c r="I179" s="5" t="s">
        <v>7</v>
      </c>
      <c r="J179" s="4" t="s">
        <v>2129</v>
      </c>
      <c r="K179" s="5" t="s">
        <v>7</v>
      </c>
      <c r="L179" s="4" t="s">
        <v>2130</v>
      </c>
      <c r="M179" s="5" t="s">
        <v>7</v>
      </c>
      <c r="N179" s="4" t="s">
        <v>2131</v>
      </c>
      <c r="O179" s="5" t="s">
        <v>7</v>
      </c>
      <c r="P179" s="4" t="s">
        <v>713</v>
      </c>
      <c r="Q179" s="5" t="s">
        <v>7</v>
      </c>
      <c r="R179" s="4" t="s">
        <v>2132</v>
      </c>
      <c r="S179" s="5" t="s">
        <v>7</v>
      </c>
      <c r="T179" s="4" t="s">
        <v>2133</v>
      </c>
      <c r="U179" s="5" t="s">
        <v>7</v>
      </c>
      <c r="V179" s="4" t="s">
        <v>2611</v>
      </c>
      <c r="W179" s="5" t="s">
        <v>7</v>
      </c>
      <c r="X179" s="4" t="s">
        <v>713</v>
      </c>
      <c r="Y179" s="5" t="s">
        <v>7</v>
      </c>
      <c r="Z179" s="4" t="s">
        <v>2134</v>
      </c>
      <c r="AA179" s="5" t="s">
        <v>7</v>
      </c>
      <c r="AB17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99532652</v>
      </c>
      <c r="AC179" s="8" t="str">
        <f>IF(NOT(AND(ISNUMBER(VALUE(prodcom_data[[#This Row],[PRODQNT - EU27_2020 - 2019 - amount]])), ISNUMBER(VALUE(prodcom_data[[#This Row],[IMPQNT - EU27_2020 - 2019 - amount]])))), "secrets", "")</f>
        <v/>
      </c>
      <c r="AD17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75445787</v>
      </c>
      <c r="AE179" s="8" t="str">
        <f>IF(NOT(AND(ISNUMBER(VALUE(prodcom_data[[#This Row],[PRODQNT - EU27_2020 - 2022 - amount]])), ISNUMBER(VALUE(prodcom_data[[#This Row],[IMPQNT - EU27_2020 - 2022 - amount]])))), "secrets", "")</f>
        <v/>
      </c>
      <c r="AF179" s="7">
        <f>_xlfn.LET(_xlpm.production_amount, VALUE(prodcom_data[[#This Row],[PRODQNT - FR - 2019 - amount]]), IF(ISNUMBER(_xlpm.production_amount), _xlpm.production_amount, 0))+_xlfn.LET(_xlpm.import_amount, VALUE(prodcom_data[[#This Row],[IMPQNT - FR - 2019 - amount]]), IF(ISNUMBER(_xlpm.import_amount), _xlpm.import_amount, 0))</f>
        <v>1929300</v>
      </c>
      <c r="AG179" s="8" t="str">
        <f>IF(NOT(AND(ISNUMBER(VALUE(prodcom_data[[#This Row],[PRODQNT - FR - 2019 - amount]])), ISNUMBER(VALUE(prodcom_data[[#This Row],[IMPQNT - FR - 2019 - amount]])))), "secrets", "")</f>
        <v/>
      </c>
      <c r="AH179" s="7">
        <f>_xlfn.LET(_xlpm.production_amount, VALUE(prodcom_data[[#This Row],[PRODQNT - FR - 2022 - amount]]), IF(ISNUMBER(_xlpm.production_amount), _xlpm.production_amount, 0))+_xlfn.LET(_xlpm.import_amount, VALUE(prodcom_data[[#This Row],[IMPQNT - FR - 2022 - amount]]), IF(ISNUMBER(_xlpm.import_amount), _xlpm.import_amount, 0))</f>
        <v>1864786</v>
      </c>
      <c r="AI179" s="8" t="str">
        <f>IF(NOT(AND(ISNUMBER(VALUE(prodcom_data[[#This Row],[PRODQNT - FR - 2022 - amount]])), ISNUMBER(VALUE(prodcom_data[[#This Row],[IMPQNT - FR - 2022 - amount]])))), "secrets", "")</f>
        <v>secrets</v>
      </c>
      <c r="AJ17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0.95277023221985879</v>
      </c>
      <c r="AK179" s="10" t="s">
        <v>2641</v>
      </c>
    </row>
    <row r="180" spans="1:37" x14ac:dyDescent="0.3">
      <c r="A180" s="4" t="s">
        <v>3</v>
      </c>
      <c r="B180" s="4" t="s">
        <v>457</v>
      </c>
      <c r="C180" s="4" t="s">
        <v>458</v>
      </c>
      <c r="D180" s="4" t="s">
        <v>392</v>
      </c>
      <c r="E180" s="5" t="s">
        <v>7</v>
      </c>
      <c r="F180" s="4" t="s">
        <v>1948</v>
      </c>
      <c r="G180" s="5" t="s">
        <v>7</v>
      </c>
      <c r="H180" s="4" t="s">
        <v>1949</v>
      </c>
      <c r="I180" s="5" t="s">
        <v>7</v>
      </c>
      <c r="J180" s="4" t="s">
        <v>908</v>
      </c>
      <c r="K180" s="5" t="s">
        <v>7</v>
      </c>
      <c r="L180" s="4" t="s">
        <v>1950</v>
      </c>
      <c r="M180" s="5" t="s">
        <v>7</v>
      </c>
      <c r="N180" s="4" t="s">
        <v>1951</v>
      </c>
      <c r="O180" s="5" t="s">
        <v>7</v>
      </c>
      <c r="P180" s="4" t="s">
        <v>2611</v>
      </c>
      <c r="Q180" s="5" t="s">
        <v>7</v>
      </c>
      <c r="R180" s="4" t="s">
        <v>1952</v>
      </c>
      <c r="S180" s="5" t="s">
        <v>7</v>
      </c>
      <c r="T180" s="4" t="s">
        <v>1953</v>
      </c>
      <c r="U180" s="5" t="s">
        <v>7</v>
      </c>
      <c r="V180" s="4" t="s">
        <v>2611</v>
      </c>
      <c r="W180" s="5" t="s">
        <v>7</v>
      </c>
      <c r="X180" s="4" t="s">
        <v>1954</v>
      </c>
      <c r="Y180" s="5" t="s">
        <v>7</v>
      </c>
      <c r="Z180" s="4" t="s">
        <v>1955</v>
      </c>
      <c r="AA180" s="5" t="s">
        <v>7</v>
      </c>
      <c r="AB18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43658058</v>
      </c>
      <c r="AC180" s="8" t="str">
        <f>IF(NOT(AND(ISNUMBER(VALUE(prodcom_data[[#This Row],[PRODQNT - EU27_2020 - 2019 - amount]])), ISNUMBER(VALUE(prodcom_data[[#This Row],[IMPQNT - EU27_2020 - 2019 - amount]])))), "secrets", "")</f>
        <v/>
      </c>
      <c r="AD18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71871307</v>
      </c>
      <c r="AE180" s="8" t="str">
        <f>IF(NOT(AND(ISNUMBER(VALUE(prodcom_data[[#This Row],[PRODQNT - EU27_2020 - 2022 - amount]])), ISNUMBER(VALUE(prodcom_data[[#This Row],[IMPQNT - EU27_2020 - 2022 - amount]])))), "secrets", "")</f>
        <v/>
      </c>
      <c r="AF180" s="7">
        <f>_xlfn.LET(_xlpm.production_amount, VALUE(prodcom_data[[#This Row],[PRODQNT - FR - 2019 - amount]]), IF(ISNUMBER(_xlpm.production_amount), _xlpm.production_amount, 0))+_xlfn.LET(_xlpm.import_amount, VALUE(prodcom_data[[#This Row],[IMPQNT - FR - 2019 - amount]]), IF(ISNUMBER(_xlpm.import_amount), _xlpm.import_amount, 0))</f>
        <v>1406900</v>
      </c>
      <c r="AG180" s="8" t="str">
        <f>IF(NOT(AND(ISNUMBER(VALUE(prodcom_data[[#This Row],[PRODQNT - FR - 2019 - amount]])), ISNUMBER(VALUE(prodcom_data[[#This Row],[IMPQNT - FR - 2019 - amount]])))), "secrets", "")</f>
        <v>secrets</v>
      </c>
      <c r="AH180" s="7">
        <f>_xlfn.LET(_xlpm.production_amount, VALUE(prodcom_data[[#This Row],[PRODQNT - FR - 2022 - amount]]), IF(ISNUMBER(_xlpm.production_amount), _xlpm.production_amount, 0))+_xlfn.LET(_xlpm.import_amount, VALUE(prodcom_data[[#This Row],[IMPQNT - FR - 2022 - amount]]), IF(ISNUMBER(_xlpm.import_amount), _xlpm.import_amount, 0))</f>
        <v>1235989</v>
      </c>
      <c r="AI180" s="8" t="str">
        <f>IF(NOT(AND(ISNUMBER(VALUE(prodcom_data[[#This Row],[PRODQNT - FR - 2022 - amount]])), ISNUMBER(VALUE(prodcom_data[[#This Row],[IMPQNT - FR - 2022 - amount]])))), "secrets", "")</f>
        <v>secrets</v>
      </c>
      <c r="AJ18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0.83482550275591905</v>
      </c>
      <c r="AK180" s="10" t="s">
        <v>2642</v>
      </c>
    </row>
    <row r="181" spans="1:37" x14ac:dyDescent="0.3">
      <c r="A181" s="4" t="s">
        <v>3</v>
      </c>
      <c r="B181" s="4" t="s">
        <v>327</v>
      </c>
      <c r="C181" s="4" t="s">
        <v>328</v>
      </c>
      <c r="D181" s="4" t="s">
        <v>160</v>
      </c>
      <c r="E181" s="5" t="s">
        <v>7</v>
      </c>
      <c r="F181" s="4" t="s">
        <v>1591</v>
      </c>
      <c r="G181" s="5" t="s">
        <v>7</v>
      </c>
      <c r="H181" s="4" t="s">
        <v>1592</v>
      </c>
      <c r="I181" s="5" t="s">
        <v>7</v>
      </c>
      <c r="J181" s="4" t="s">
        <v>908</v>
      </c>
      <c r="K181" s="5" t="s">
        <v>7</v>
      </c>
      <c r="L181" s="4" t="s">
        <v>1593</v>
      </c>
      <c r="M181" s="5" t="s">
        <v>7</v>
      </c>
      <c r="N181" s="4" t="s">
        <v>1594</v>
      </c>
      <c r="O181" s="5" t="s">
        <v>7</v>
      </c>
      <c r="P181" s="4" t="s">
        <v>2611</v>
      </c>
      <c r="Q181" s="5" t="s">
        <v>7</v>
      </c>
      <c r="R181" s="4" t="s">
        <v>1595</v>
      </c>
      <c r="S181" s="5" t="s">
        <v>7</v>
      </c>
      <c r="T181" s="4" t="s">
        <v>1596</v>
      </c>
      <c r="U181" s="5" t="s">
        <v>7</v>
      </c>
      <c r="V181" s="4" t="s">
        <v>1597</v>
      </c>
      <c r="W181" s="5" t="s">
        <v>7</v>
      </c>
      <c r="X181" s="4" t="s">
        <v>1598</v>
      </c>
      <c r="Y181" s="5" t="s">
        <v>7</v>
      </c>
      <c r="Z181" s="4" t="s">
        <v>1599</v>
      </c>
      <c r="AA181" s="5" t="s">
        <v>7</v>
      </c>
      <c r="AB18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32189294</v>
      </c>
      <c r="AC181" s="8" t="str">
        <f>IF(NOT(AND(ISNUMBER(VALUE(prodcom_data[[#This Row],[PRODQNT - EU27_2020 - 2019 - amount]])), ISNUMBER(VALUE(prodcom_data[[#This Row],[IMPQNT - EU27_2020 - 2019 - amount]])))), "secrets", "")</f>
        <v/>
      </c>
      <c r="AD18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66380661</v>
      </c>
      <c r="AE181" s="8" t="str">
        <f>IF(NOT(AND(ISNUMBER(VALUE(prodcom_data[[#This Row],[PRODQNT - EU27_2020 - 2022 - amount]])), ISNUMBER(VALUE(prodcom_data[[#This Row],[IMPQNT - EU27_2020 - 2022 - amount]])))), "secrets", "")</f>
        <v/>
      </c>
      <c r="AF181" s="7">
        <f>_xlfn.LET(_xlpm.production_amount, VALUE(prodcom_data[[#This Row],[PRODQNT - FR - 2019 - amount]]), IF(ISNUMBER(_xlpm.production_amount), _xlpm.production_amount, 0))+_xlfn.LET(_xlpm.import_amount, VALUE(prodcom_data[[#This Row],[IMPQNT - FR - 2019 - amount]]), IF(ISNUMBER(_xlpm.import_amount), _xlpm.import_amount, 0))</f>
        <v>1131000</v>
      </c>
      <c r="AG181" s="8" t="str">
        <f>IF(NOT(AND(ISNUMBER(VALUE(prodcom_data[[#This Row],[PRODQNT - FR - 2019 - amount]])), ISNUMBER(VALUE(prodcom_data[[#This Row],[IMPQNT - FR - 2019 - amount]])))), "secrets", "")</f>
        <v>secrets</v>
      </c>
      <c r="AH181" s="7">
        <f>_xlfn.LET(_xlpm.production_amount, VALUE(prodcom_data[[#This Row],[PRODQNT - FR - 2022 - amount]]), IF(ISNUMBER(_xlpm.production_amount), _xlpm.production_amount, 0))+_xlfn.LET(_xlpm.import_amount, VALUE(prodcom_data[[#This Row],[IMPQNT - FR - 2022 - amount]]), IF(ISNUMBER(_xlpm.import_amount), _xlpm.import_amount, 0))</f>
        <v>1190000</v>
      </c>
      <c r="AI181" s="8" t="str">
        <f>IF(NOT(AND(ISNUMBER(VALUE(prodcom_data[[#This Row],[PRODQNT - FR - 2022 - amount]])), ISNUMBER(VALUE(prodcom_data[[#This Row],[IMPQNT - FR - 2022 - amount]])))), "secrets", "")</f>
        <v/>
      </c>
      <c r="AJ18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0.9038777122150079</v>
      </c>
      <c r="AK181" s="10" t="s">
        <v>2642</v>
      </c>
    </row>
    <row r="182" spans="1:37" x14ac:dyDescent="0.3">
      <c r="A182" s="4" t="s">
        <v>3</v>
      </c>
      <c r="B182" s="4" t="s">
        <v>235</v>
      </c>
      <c r="C182" s="4" t="s">
        <v>236</v>
      </c>
      <c r="D182" s="4" t="s">
        <v>237</v>
      </c>
      <c r="E182" s="5" t="s">
        <v>7</v>
      </c>
      <c r="F182" s="4" t="s">
        <v>1354</v>
      </c>
      <c r="G182" s="5" t="s">
        <v>7</v>
      </c>
      <c r="H182" s="4" t="s">
        <v>1355</v>
      </c>
      <c r="I182" s="5" t="s">
        <v>7</v>
      </c>
      <c r="J182" s="4" t="s">
        <v>908</v>
      </c>
      <c r="K182" s="5" t="s">
        <v>7</v>
      </c>
      <c r="L182" s="4" t="s">
        <v>1356</v>
      </c>
      <c r="M182" s="5" t="s">
        <v>7</v>
      </c>
      <c r="N182" s="4" t="s">
        <v>1357</v>
      </c>
      <c r="O182" s="5" t="s">
        <v>7</v>
      </c>
      <c r="P182" s="4" t="s">
        <v>713</v>
      </c>
      <c r="Q182" s="5" t="s">
        <v>7</v>
      </c>
      <c r="R182" s="4" t="s">
        <v>713</v>
      </c>
      <c r="S182" s="5" t="s">
        <v>7</v>
      </c>
      <c r="T182" s="4" t="s">
        <v>1358</v>
      </c>
      <c r="U182" s="5" t="s">
        <v>7</v>
      </c>
      <c r="V182" s="4" t="s">
        <v>713</v>
      </c>
      <c r="W182" s="5" t="s">
        <v>7</v>
      </c>
      <c r="X182" s="4" t="s">
        <v>1359</v>
      </c>
      <c r="Y182" s="5" t="s">
        <v>7</v>
      </c>
      <c r="Z182" s="4" t="s">
        <v>1360</v>
      </c>
      <c r="AA182" s="5" t="s">
        <v>7</v>
      </c>
      <c r="AB18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49618244</v>
      </c>
      <c r="AC182" s="8" t="str">
        <f>IF(NOT(AND(ISNUMBER(VALUE(prodcom_data[[#This Row],[PRODQNT - EU27_2020 - 2019 - amount]])), ISNUMBER(VALUE(prodcom_data[[#This Row],[IMPQNT - EU27_2020 - 2019 - amount]])))), "secrets", "")</f>
        <v/>
      </c>
      <c r="AD18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65435333</v>
      </c>
      <c r="AE182" s="8" t="str">
        <f>IF(NOT(AND(ISNUMBER(VALUE(prodcom_data[[#This Row],[PRODQNT - EU27_2020 - 2022 - amount]])), ISNUMBER(VALUE(prodcom_data[[#This Row],[IMPQNT - EU27_2020 - 2022 - amount]])))), "secrets", "")</f>
        <v/>
      </c>
      <c r="AF182" s="7">
        <f>_xlfn.LET(_xlpm.production_amount, VALUE(prodcom_data[[#This Row],[PRODQNT - FR - 2019 - amount]]), IF(ISNUMBER(_xlpm.production_amount), _xlpm.production_amount, 0))+_xlfn.LET(_xlpm.import_amount, VALUE(prodcom_data[[#This Row],[IMPQNT - FR - 2019 - amount]]), IF(ISNUMBER(_xlpm.import_amount), _xlpm.import_amount, 0))</f>
        <v>654900</v>
      </c>
      <c r="AG182" s="8" t="str">
        <f>IF(NOT(AND(ISNUMBER(VALUE(prodcom_data[[#This Row],[PRODQNT - FR - 2019 - amount]])), ISNUMBER(VALUE(prodcom_data[[#This Row],[IMPQNT - FR - 2019 - amount]])))), "secrets", "")</f>
        <v/>
      </c>
      <c r="AH182" s="7">
        <f>_xlfn.LET(_xlpm.production_amount, VALUE(prodcom_data[[#This Row],[PRODQNT - FR - 2022 - amount]]), IF(ISNUMBER(_xlpm.production_amount), _xlpm.production_amount, 0))+_xlfn.LET(_xlpm.import_amount, VALUE(prodcom_data[[#This Row],[IMPQNT - FR - 2022 - amount]]), IF(ISNUMBER(_xlpm.import_amount), _xlpm.import_amount, 0))</f>
        <v>900734</v>
      </c>
      <c r="AI182" s="8" t="str">
        <f>IF(NOT(AND(ISNUMBER(VALUE(prodcom_data[[#This Row],[PRODQNT - FR - 2022 - amount]])), ISNUMBER(VALUE(prodcom_data[[#This Row],[IMPQNT - FR - 2022 - amount]])))), "secrets", "")</f>
        <v/>
      </c>
      <c r="AJ18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0.91693580897647453</v>
      </c>
      <c r="AK182" s="10" t="s">
        <v>2642</v>
      </c>
    </row>
    <row r="183" spans="1:37" x14ac:dyDescent="0.3">
      <c r="A183" s="4" t="s">
        <v>3</v>
      </c>
      <c r="B183" s="4" t="s">
        <v>99</v>
      </c>
      <c r="C183" s="4" t="s">
        <v>100</v>
      </c>
      <c r="D183" s="4" t="s">
        <v>101</v>
      </c>
      <c r="E183" s="5" t="s">
        <v>7</v>
      </c>
      <c r="F183" s="4" t="s">
        <v>977</v>
      </c>
      <c r="G183" s="5" t="s">
        <v>7</v>
      </c>
      <c r="H183" s="4" t="s">
        <v>978</v>
      </c>
      <c r="I183" s="5" t="s">
        <v>7</v>
      </c>
      <c r="J183" s="4" t="s">
        <v>979</v>
      </c>
      <c r="K183" s="5" t="s">
        <v>7</v>
      </c>
      <c r="L183" s="4" t="s">
        <v>980</v>
      </c>
      <c r="M183" s="5" t="s">
        <v>7</v>
      </c>
      <c r="N183" s="4" t="s">
        <v>981</v>
      </c>
      <c r="O183" s="5" t="s">
        <v>7</v>
      </c>
      <c r="P183" s="4" t="s">
        <v>2611</v>
      </c>
      <c r="Q183" s="5" t="s">
        <v>7</v>
      </c>
      <c r="R183" s="4" t="s">
        <v>713</v>
      </c>
      <c r="S183" s="5" t="s">
        <v>7</v>
      </c>
      <c r="T183" s="4" t="s">
        <v>982</v>
      </c>
      <c r="U183" s="5" t="s">
        <v>7</v>
      </c>
      <c r="V183" s="4" t="s">
        <v>2611</v>
      </c>
      <c r="W183" s="5" t="s">
        <v>7</v>
      </c>
      <c r="X183" s="4" t="s">
        <v>983</v>
      </c>
      <c r="Y183" s="5" t="s">
        <v>7</v>
      </c>
      <c r="Z183" s="4" t="s">
        <v>984</v>
      </c>
      <c r="AA183" s="5" t="s">
        <v>7</v>
      </c>
      <c r="AB18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54778278</v>
      </c>
      <c r="AC183" s="8" t="str">
        <f>IF(NOT(AND(ISNUMBER(VALUE(prodcom_data[[#This Row],[PRODQNT - EU27_2020 - 2019 - amount]])), ISNUMBER(VALUE(prodcom_data[[#This Row],[IMPQNT - EU27_2020 - 2019 - amount]])))), "secrets", "")</f>
        <v/>
      </c>
      <c r="AD18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63226323</v>
      </c>
      <c r="AE183" s="8" t="str">
        <f>IF(NOT(AND(ISNUMBER(VALUE(prodcom_data[[#This Row],[PRODQNT - EU27_2020 - 2022 - amount]])), ISNUMBER(VALUE(prodcom_data[[#This Row],[IMPQNT - EU27_2020 - 2022 - amount]])))), "secrets", "")</f>
        <v/>
      </c>
      <c r="AF183" s="7">
        <f>_xlfn.LET(_xlpm.production_amount, VALUE(prodcom_data[[#This Row],[PRODQNT - FR - 2019 - amount]]), IF(ISNUMBER(_xlpm.production_amount), _xlpm.production_amount, 0))+_xlfn.LET(_xlpm.import_amount, VALUE(prodcom_data[[#This Row],[IMPQNT - FR - 2019 - amount]]), IF(ISNUMBER(_xlpm.import_amount), _xlpm.import_amount, 0))</f>
        <v>1661200</v>
      </c>
      <c r="AG183" s="8" t="str">
        <f>IF(NOT(AND(ISNUMBER(VALUE(prodcom_data[[#This Row],[PRODQNT - FR - 2019 - amount]])), ISNUMBER(VALUE(prodcom_data[[#This Row],[IMPQNT - FR - 2019 - amount]])))), "secrets", "")</f>
        <v>secrets</v>
      </c>
      <c r="AH183" s="7">
        <f>_xlfn.LET(_xlpm.production_amount, VALUE(prodcom_data[[#This Row],[PRODQNT - FR - 2022 - amount]]), IF(ISNUMBER(_xlpm.production_amount), _xlpm.production_amount, 0))+_xlfn.LET(_xlpm.import_amount, VALUE(prodcom_data[[#This Row],[IMPQNT - FR - 2022 - amount]]), IF(ISNUMBER(_xlpm.import_amount), _xlpm.import_amount, 0))</f>
        <v>3645674</v>
      </c>
      <c r="AI183" s="8" t="str">
        <f>IF(NOT(AND(ISNUMBER(VALUE(prodcom_data[[#This Row],[PRODQNT - FR - 2022 - amount]])), ISNUMBER(VALUE(prodcom_data[[#This Row],[IMPQNT - FR - 2022 - amount]])))), "secrets", "")</f>
        <v>secrets</v>
      </c>
      <c r="AJ18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0.8576677944722485</v>
      </c>
      <c r="AK183" s="10" t="s">
        <v>2642</v>
      </c>
    </row>
    <row r="184" spans="1:37" x14ac:dyDescent="0.3">
      <c r="A184" s="4" t="s">
        <v>3</v>
      </c>
      <c r="B184" s="4" t="s">
        <v>329</v>
      </c>
      <c r="C184" s="4" t="s">
        <v>330</v>
      </c>
      <c r="D184" s="4" t="s">
        <v>331</v>
      </c>
      <c r="E184" s="5" t="s">
        <v>7</v>
      </c>
      <c r="F184" s="4" t="s">
        <v>1600</v>
      </c>
      <c r="G184" s="5" t="s">
        <v>7</v>
      </c>
      <c r="H184" s="4" t="s">
        <v>1601</v>
      </c>
      <c r="I184" s="5" t="s">
        <v>7</v>
      </c>
      <c r="J184" s="4" t="s">
        <v>1602</v>
      </c>
      <c r="K184" s="5" t="s">
        <v>7</v>
      </c>
      <c r="L184" s="4" t="s">
        <v>1603</v>
      </c>
      <c r="M184" s="5" t="s">
        <v>7</v>
      </c>
      <c r="N184" s="4" t="s">
        <v>1604</v>
      </c>
      <c r="O184" s="5" t="s">
        <v>7</v>
      </c>
      <c r="P184" s="4" t="s">
        <v>1605</v>
      </c>
      <c r="Q184" s="5" t="s">
        <v>7</v>
      </c>
      <c r="R184" s="4" t="s">
        <v>1606</v>
      </c>
      <c r="S184" s="5" t="s">
        <v>7</v>
      </c>
      <c r="T184" s="4" t="s">
        <v>1607</v>
      </c>
      <c r="U184" s="5" t="s">
        <v>7</v>
      </c>
      <c r="V184" s="4" t="s">
        <v>2611</v>
      </c>
      <c r="W184" s="5" t="s">
        <v>7</v>
      </c>
      <c r="X184" s="4" t="s">
        <v>1608</v>
      </c>
      <c r="Y184" s="5" t="s">
        <v>7</v>
      </c>
      <c r="Z184" s="4" t="s">
        <v>1609</v>
      </c>
      <c r="AA184" s="5" t="s">
        <v>7</v>
      </c>
      <c r="AB18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44477669</v>
      </c>
      <c r="AC184" s="8" t="str">
        <f>IF(NOT(AND(ISNUMBER(VALUE(prodcom_data[[#This Row],[PRODQNT - EU27_2020 - 2019 - amount]])), ISNUMBER(VALUE(prodcom_data[[#This Row],[IMPQNT - EU27_2020 - 2019 - amount]])))), "secrets", "")</f>
        <v/>
      </c>
      <c r="AD18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62834380</v>
      </c>
      <c r="AE184" s="8" t="str">
        <f>IF(NOT(AND(ISNUMBER(VALUE(prodcom_data[[#This Row],[PRODQNT - EU27_2020 - 2022 - amount]])), ISNUMBER(VALUE(prodcom_data[[#This Row],[IMPQNT - EU27_2020 - 2022 - amount]])))), "secrets", "")</f>
        <v/>
      </c>
      <c r="AF184" s="7">
        <f>_xlfn.LET(_xlpm.production_amount, VALUE(prodcom_data[[#This Row],[PRODQNT - FR - 2019 - amount]]), IF(ISNUMBER(_xlpm.production_amount), _xlpm.production_amount, 0))+_xlfn.LET(_xlpm.import_amount, VALUE(prodcom_data[[#This Row],[IMPQNT - FR - 2019 - amount]]), IF(ISNUMBER(_xlpm.import_amount), _xlpm.import_amount, 0))</f>
        <v>15113160</v>
      </c>
      <c r="AG184" s="8" t="str">
        <f>IF(NOT(AND(ISNUMBER(VALUE(prodcom_data[[#This Row],[PRODQNT - FR - 2019 - amount]])), ISNUMBER(VALUE(prodcom_data[[#This Row],[IMPQNT - FR - 2019 - amount]])))), "secrets", "")</f>
        <v/>
      </c>
      <c r="AH184" s="7">
        <f>_xlfn.LET(_xlpm.production_amount, VALUE(prodcom_data[[#This Row],[PRODQNT - FR - 2022 - amount]]), IF(ISNUMBER(_xlpm.production_amount), _xlpm.production_amount, 0))+_xlfn.LET(_xlpm.import_amount, VALUE(prodcom_data[[#This Row],[IMPQNT - FR - 2022 - amount]]), IF(ISNUMBER(_xlpm.import_amount), _xlpm.import_amount, 0))</f>
        <v>2480170</v>
      </c>
      <c r="AI184" s="8" t="str">
        <f>IF(NOT(AND(ISNUMBER(VALUE(prodcom_data[[#This Row],[PRODQNT - FR - 2022 - amount]])), ISNUMBER(VALUE(prodcom_data[[#This Row],[IMPQNT - FR - 2022 - amount]])))), "secrets", "")</f>
        <v>secrets</v>
      </c>
      <c r="AJ18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0.4456159191830969</v>
      </c>
      <c r="AK184" s="10" t="s">
        <v>2642</v>
      </c>
    </row>
    <row r="185" spans="1:37" x14ac:dyDescent="0.3">
      <c r="A185" s="4" t="s">
        <v>3</v>
      </c>
      <c r="B185" s="4" t="s">
        <v>75</v>
      </c>
      <c r="C185" s="4" t="s">
        <v>76</v>
      </c>
      <c r="D185" s="4" t="s">
        <v>77</v>
      </c>
      <c r="E185" s="5" t="s">
        <v>7</v>
      </c>
      <c r="F185" s="4" t="s">
        <v>906</v>
      </c>
      <c r="G185" s="5" t="s">
        <v>7</v>
      </c>
      <c r="H185" s="4" t="s">
        <v>907</v>
      </c>
      <c r="I185" s="5" t="s">
        <v>7</v>
      </c>
      <c r="J185" s="4" t="s">
        <v>908</v>
      </c>
      <c r="K185" s="5" t="s">
        <v>7</v>
      </c>
      <c r="L185" s="4" t="s">
        <v>909</v>
      </c>
      <c r="M185" s="5" t="s">
        <v>7</v>
      </c>
      <c r="N185" s="4" t="s">
        <v>910</v>
      </c>
      <c r="O185" s="5" t="s">
        <v>7</v>
      </c>
      <c r="P185" s="4" t="s">
        <v>2611</v>
      </c>
      <c r="Q185" s="5" t="s">
        <v>7</v>
      </c>
      <c r="R185" s="4" t="s">
        <v>713</v>
      </c>
      <c r="S185" s="5" t="s">
        <v>7</v>
      </c>
      <c r="T185" s="4" t="s">
        <v>911</v>
      </c>
      <c r="U185" s="5" t="s">
        <v>7</v>
      </c>
      <c r="V185" s="4" t="s">
        <v>2611</v>
      </c>
      <c r="W185" s="5" t="s">
        <v>7</v>
      </c>
      <c r="X185" s="4" t="s">
        <v>912</v>
      </c>
      <c r="Y185" s="5" t="s">
        <v>7</v>
      </c>
      <c r="Z185" s="4" t="s">
        <v>913</v>
      </c>
      <c r="AA185" s="5" t="s">
        <v>7</v>
      </c>
      <c r="AB18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117039377</v>
      </c>
      <c r="AC185" s="8" t="str">
        <f>IF(NOT(AND(ISNUMBER(VALUE(prodcom_data[[#This Row],[PRODQNT - EU27_2020 - 2019 - amount]])), ISNUMBER(VALUE(prodcom_data[[#This Row],[IMPQNT - EU27_2020 - 2019 - amount]])))), "secrets", "")</f>
        <v/>
      </c>
      <c r="AD18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61946135</v>
      </c>
      <c r="AE185" s="8" t="str">
        <f>IF(NOT(AND(ISNUMBER(VALUE(prodcom_data[[#This Row],[PRODQNT - EU27_2020 - 2022 - amount]])), ISNUMBER(VALUE(prodcom_data[[#This Row],[IMPQNT - EU27_2020 - 2022 - amount]])))), "secrets", "")</f>
        <v/>
      </c>
      <c r="AF185" s="7">
        <f>_xlfn.LET(_xlpm.production_amount, VALUE(prodcom_data[[#This Row],[PRODQNT - FR - 2019 - amount]]), IF(ISNUMBER(_xlpm.production_amount), _xlpm.production_amount, 0))+_xlfn.LET(_xlpm.import_amount, VALUE(prodcom_data[[#This Row],[IMPQNT - FR - 2019 - amount]]), IF(ISNUMBER(_xlpm.import_amount), _xlpm.import_amount, 0))</f>
        <v>4097300</v>
      </c>
      <c r="AG185" s="8" t="str">
        <f>IF(NOT(AND(ISNUMBER(VALUE(prodcom_data[[#This Row],[PRODQNT - FR - 2019 - amount]])), ISNUMBER(VALUE(prodcom_data[[#This Row],[IMPQNT - FR - 2019 - amount]])))), "secrets", "")</f>
        <v>secrets</v>
      </c>
      <c r="AH185" s="7">
        <f>_xlfn.LET(_xlpm.production_amount, VALUE(prodcom_data[[#This Row],[PRODQNT - FR - 2022 - amount]]), IF(ISNUMBER(_xlpm.production_amount), _xlpm.production_amount, 0))+_xlfn.LET(_xlpm.import_amount, VALUE(prodcom_data[[#This Row],[IMPQNT - FR - 2022 - amount]]), IF(ISNUMBER(_xlpm.import_amount), _xlpm.import_amount, 0))</f>
        <v>3443719</v>
      </c>
      <c r="AI185" s="8" t="str">
        <f>IF(NOT(AND(ISNUMBER(VALUE(prodcom_data[[#This Row],[PRODQNT - FR - 2022 - amount]])), ISNUMBER(VALUE(prodcom_data[[#This Row],[IMPQNT - FR - 2022 - amount]])))), "secrets", "")</f>
        <v>secrets</v>
      </c>
      <c r="AJ18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0.96858343139567948</v>
      </c>
      <c r="AK185" s="10" t="s">
        <v>2642</v>
      </c>
    </row>
    <row r="186" spans="1:37" x14ac:dyDescent="0.3">
      <c r="A186" s="4" t="s">
        <v>3</v>
      </c>
      <c r="B186" s="4" t="s">
        <v>390</v>
      </c>
      <c r="C186" s="4" t="s">
        <v>391</v>
      </c>
      <c r="D186" s="4" t="s">
        <v>392</v>
      </c>
      <c r="E186" s="5" t="s">
        <v>7</v>
      </c>
      <c r="F186" s="4" t="s">
        <v>1781</v>
      </c>
      <c r="G186" s="5" t="s">
        <v>7</v>
      </c>
      <c r="H186" s="4" t="s">
        <v>1782</v>
      </c>
      <c r="I186" s="5" t="s">
        <v>7</v>
      </c>
      <c r="J186" s="4" t="s">
        <v>908</v>
      </c>
      <c r="K186" s="5" t="s">
        <v>7</v>
      </c>
      <c r="L186" s="4" t="s">
        <v>1783</v>
      </c>
      <c r="M186" s="5" t="s">
        <v>7</v>
      </c>
      <c r="N186" s="4" t="s">
        <v>1784</v>
      </c>
      <c r="O186" s="5" t="s">
        <v>7</v>
      </c>
      <c r="P186" s="4" t="s">
        <v>713</v>
      </c>
      <c r="Q186" s="5" t="s">
        <v>7</v>
      </c>
      <c r="R186" s="4" t="s">
        <v>713</v>
      </c>
      <c r="S186" s="5" t="s">
        <v>7</v>
      </c>
      <c r="T186" s="4" t="s">
        <v>1785</v>
      </c>
      <c r="U186" s="5" t="s">
        <v>7</v>
      </c>
      <c r="V186" s="4" t="s">
        <v>713</v>
      </c>
      <c r="W186" s="5" t="s">
        <v>7</v>
      </c>
      <c r="X186" s="4" t="s">
        <v>713</v>
      </c>
      <c r="Y186" s="5" t="s">
        <v>7</v>
      </c>
      <c r="Z186" s="4" t="s">
        <v>1786</v>
      </c>
      <c r="AA186" s="5" t="s">
        <v>7</v>
      </c>
      <c r="AB18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30156451</v>
      </c>
      <c r="AC186" s="8" t="str">
        <f>IF(NOT(AND(ISNUMBER(VALUE(prodcom_data[[#This Row],[PRODQNT - EU27_2020 - 2019 - amount]])), ISNUMBER(VALUE(prodcom_data[[#This Row],[IMPQNT - EU27_2020 - 2019 - amount]])))), "secrets", "")</f>
        <v/>
      </c>
      <c r="AD18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60151576</v>
      </c>
      <c r="AE186" s="8" t="str">
        <f>IF(NOT(AND(ISNUMBER(VALUE(prodcom_data[[#This Row],[PRODQNT - EU27_2020 - 2022 - amount]])), ISNUMBER(VALUE(prodcom_data[[#This Row],[IMPQNT - EU27_2020 - 2022 - amount]])))), "secrets", "")</f>
        <v/>
      </c>
      <c r="AF186" s="7">
        <f>_xlfn.LET(_xlpm.production_amount, VALUE(prodcom_data[[#This Row],[PRODQNT - FR - 2019 - amount]]), IF(ISNUMBER(_xlpm.production_amount), _xlpm.production_amount, 0))+_xlfn.LET(_xlpm.import_amount, VALUE(prodcom_data[[#This Row],[IMPQNT - FR - 2019 - amount]]), IF(ISNUMBER(_xlpm.import_amount), _xlpm.import_amount, 0))</f>
        <v>13765300</v>
      </c>
      <c r="AG186" s="8" t="str">
        <f>IF(NOT(AND(ISNUMBER(VALUE(prodcom_data[[#This Row],[PRODQNT - FR - 2019 - amount]])), ISNUMBER(VALUE(prodcom_data[[#This Row],[IMPQNT - FR - 2019 - amount]])))), "secrets", "")</f>
        <v/>
      </c>
      <c r="AH186" s="7">
        <f>_xlfn.LET(_xlpm.production_amount, VALUE(prodcom_data[[#This Row],[PRODQNT - FR - 2022 - amount]]), IF(ISNUMBER(_xlpm.production_amount), _xlpm.production_amount, 0))+_xlfn.LET(_xlpm.import_amount, VALUE(prodcom_data[[#This Row],[IMPQNT - FR - 2022 - amount]]), IF(ISNUMBER(_xlpm.import_amount), _xlpm.import_amount, 0))</f>
        <v>15095224</v>
      </c>
      <c r="AI186" s="8" t="str">
        <f>IF(NOT(AND(ISNUMBER(VALUE(prodcom_data[[#This Row],[PRODQNT - FR - 2022 - amount]])), ISNUMBER(VALUE(prodcom_data[[#This Row],[IMPQNT - FR - 2022 - amount]])))), "secrets", "")</f>
        <v/>
      </c>
      <c r="AJ18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0.9974800992745394</v>
      </c>
      <c r="AK186" s="10" t="s">
        <v>2642</v>
      </c>
    </row>
    <row r="187" spans="1:37" x14ac:dyDescent="0.3">
      <c r="A187" s="4" t="s">
        <v>3</v>
      </c>
      <c r="B187" s="4" t="s">
        <v>432</v>
      </c>
      <c r="C187" s="4" t="s">
        <v>433</v>
      </c>
      <c r="D187" s="4" t="s">
        <v>434</v>
      </c>
      <c r="E187" s="5" t="s">
        <v>7</v>
      </c>
      <c r="F187" s="4" t="s">
        <v>2611</v>
      </c>
      <c r="G187" s="5" t="s">
        <v>7</v>
      </c>
      <c r="H187" s="4" t="s">
        <v>2611</v>
      </c>
      <c r="I187" s="5" t="s">
        <v>7</v>
      </c>
      <c r="J187" s="4" t="s">
        <v>908</v>
      </c>
      <c r="K187" s="5" t="s">
        <v>7</v>
      </c>
      <c r="L187" s="4" t="s">
        <v>2611</v>
      </c>
      <c r="M187" s="5" t="s">
        <v>7</v>
      </c>
      <c r="N187" s="4" t="s">
        <v>2611</v>
      </c>
      <c r="O187" s="5" t="s">
        <v>7</v>
      </c>
      <c r="P187" s="4" t="s">
        <v>1878</v>
      </c>
      <c r="Q187" s="5" t="s">
        <v>7</v>
      </c>
      <c r="R187" s="4" t="s">
        <v>2611</v>
      </c>
      <c r="S187" s="5" t="s">
        <v>7</v>
      </c>
      <c r="T187" s="4" t="s">
        <v>2611</v>
      </c>
      <c r="U187" s="5" t="s">
        <v>7</v>
      </c>
      <c r="V187" s="4" t="s">
        <v>1879</v>
      </c>
      <c r="W187" s="5" t="s">
        <v>7</v>
      </c>
      <c r="X187" s="4" t="s">
        <v>2611</v>
      </c>
      <c r="Y187" s="5" t="s">
        <v>7</v>
      </c>
      <c r="Z187" s="4" t="s">
        <v>2611</v>
      </c>
      <c r="AA187" s="5" t="s">
        <v>7</v>
      </c>
      <c r="AB18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65005138</v>
      </c>
      <c r="AC187" s="8" t="str">
        <f>IF(NOT(AND(ISNUMBER(VALUE(prodcom_data[[#This Row],[PRODQNT - EU27_2020 - 2019 - amount]])), ISNUMBER(VALUE(prodcom_data[[#This Row],[IMPQNT - EU27_2020 - 2019 - amount]])))), "secrets", "")</f>
        <v>secrets</v>
      </c>
      <c r="AD18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60000000</v>
      </c>
      <c r="AE187" s="8" t="str">
        <f>IF(NOT(AND(ISNUMBER(VALUE(prodcom_data[[#This Row],[PRODQNT - EU27_2020 - 2022 - amount]])), ISNUMBER(VALUE(prodcom_data[[#This Row],[IMPQNT - EU27_2020 - 2022 - amount]])))), "secrets", "")</f>
        <v>secrets</v>
      </c>
      <c r="AF187" s="7">
        <f>_xlfn.LET(_xlpm.production_amount, VALUE(prodcom_data[[#This Row],[PRODQNT - FR - 2019 - amount]]), IF(ISNUMBER(_xlpm.production_amount), _xlpm.production_amount, 0))+_xlfn.LET(_xlpm.import_amount, VALUE(prodcom_data[[#This Row],[IMPQNT - FR - 2019 - amount]]), IF(ISNUMBER(_xlpm.import_amount), _xlpm.import_amount, 0))</f>
        <v>24257329</v>
      </c>
      <c r="AG187" s="8" t="str">
        <f>IF(NOT(AND(ISNUMBER(VALUE(prodcom_data[[#This Row],[PRODQNT - FR - 2019 - amount]])), ISNUMBER(VALUE(prodcom_data[[#This Row],[IMPQNT - FR - 2019 - amount]])))), "secrets", "")</f>
        <v>secrets</v>
      </c>
      <c r="AH187" s="7">
        <f>_xlfn.LET(_xlpm.production_amount, VALUE(prodcom_data[[#This Row],[PRODQNT - FR - 2022 - amount]]), IF(ISNUMBER(_xlpm.production_amount), _xlpm.production_amount, 0))+_xlfn.LET(_xlpm.import_amount, VALUE(prodcom_data[[#This Row],[IMPQNT - FR - 2022 - amount]]), IF(ISNUMBER(_xlpm.import_amount), _xlpm.import_amount, 0))</f>
        <v>14172725</v>
      </c>
      <c r="AI187" s="8" t="str">
        <f>IF(NOT(AND(ISNUMBER(VALUE(prodcom_data[[#This Row],[PRODQNT - FR - 2022 - amount]])), ISNUMBER(VALUE(prodcom_data[[#This Row],[IMPQNT - FR - 2022 - amount]])))), "secrets", "")</f>
        <v>secrets</v>
      </c>
      <c r="AJ18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87" s="10" t="s">
        <v>2642</v>
      </c>
    </row>
    <row r="188" spans="1:37" x14ac:dyDescent="0.3">
      <c r="A188" s="4" t="s">
        <v>3</v>
      </c>
      <c r="B188" s="4" t="s">
        <v>501</v>
      </c>
      <c r="C188" s="4" t="s">
        <v>502</v>
      </c>
      <c r="D188" s="4" t="s">
        <v>503</v>
      </c>
      <c r="E188" s="5" t="s">
        <v>7</v>
      </c>
      <c r="F188" s="4" t="s">
        <v>2072</v>
      </c>
      <c r="G188" s="5" t="s">
        <v>7</v>
      </c>
      <c r="H188" s="4" t="s">
        <v>2073</v>
      </c>
      <c r="I188" s="5" t="s">
        <v>7</v>
      </c>
      <c r="J188" s="4" t="s">
        <v>2074</v>
      </c>
      <c r="K188" s="5" t="s">
        <v>7</v>
      </c>
      <c r="L188" s="4" t="s">
        <v>2075</v>
      </c>
      <c r="M188" s="5" t="s">
        <v>7</v>
      </c>
      <c r="N188" s="4" t="s">
        <v>2076</v>
      </c>
      <c r="O188" s="5" t="s">
        <v>7</v>
      </c>
      <c r="P188" s="4" t="s">
        <v>2611</v>
      </c>
      <c r="Q188" s="5" t="s">
        <v>7</v>
      </c>
      <c r="R188" s="4" t="s">
        <v>2077</v>
      </c>
      <c r="S188" s="5" t="s">
        <v>7</v>
      </c>
      <c r="T188" s="4" t="s">
        <v>2078</v>
      </c>
      <c r="U188" s="5" t="s">
        <v>7</v>
      </c>
      <c r="V188" s="4" t="s">
        <v>2611</v>
      </c>
      <c r="W188" s="5" t="s">
        <v>7</v>
      </c>
      <c r="X188" s="4" t="s">
        <v>2079</v>
      </c>
      <c r="Y188" s="5" t="s">
        <v>7</v>
      </c>
      <c r="Z188" s="4" t="s">
        <v>2080</v>
      </c>
      <c r="AA188" s="5" t="s">
        <v>7</v>
      </c>
      <c r="AB18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50505064</v>
      </c>
      <c r="AC188" s="8" t="str">
        <f>IF(NOT(AND(ISNUMBER(VALUE(prodcom_data[[#This Row],[PRODQNT - EU27_2020 - 2019 - amount]])), ISNUMBER(VALUE(prodcom_data[[#This Row],[IMPQNT - EU27_2020 - 2019 - amount]])))), "secrets", "")</f>
        <v/>
      </c>
      <c r="AD18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59598242</v>
      </c>
      <c r="AE188" s="8" t="str">
        <f>IF(NOT(AND(ISNUMBER(VALUE(prodcom_data[[#This Row],[PRODQNT - EU27_2020 - 2022 - amount]])), ISNUMBER(VALUE(prodcom_data[[#This Row],[IMPQNT - EU27_2020 - 2022 - amount]])))), "secrets", "")</f>
        <v/>
      </c>
      <c r="AF188" s="7">
        <f>_xlfn.LET(_xlpm.production_amount, VALUE(prodcom_data[[#This Row],[PRODQNT - FR - 2019 - amount]]), IF(ISNUMBER(_xlpm.production_amount), _xlpm.production_amount, 0))+_xlfn.LET(_xlpm.import_amount, VALUE(prodcom_data[[#This Row],[IMPQNT - FR - 2019 - amount]]), IF(ISNUMBER(_xlpm.import_amount), _xlpm.import_amount, 0))</f>
        <v>1702700</v>
      </c>
      <c r="AG188" s="8" t="str">
        <f>IF(NOT(AND(ISNUMBER(VALUE(prodcom_data[[#This Row],[PRODQNT - FR - 2019 - amount]])), ISNUMBER(VALUE(prodcom_data[[#This Row],[IMPQNT - FR - 2019 - amount]])))), "secrets", "")</f>
        <v>secrets</v>
      </c>
      <c r="AH188" s="7">
        <f>_xlfn.LET(_xlpm.production_amount, VALUE(prodcom_data[[#This Row],[PRODQNT - FR - 2022 - amount]]), IF(ISNUMBER(_xlpm.production_amount), _xlpm.production_amount, 0))+_xlfn.LET(_xlpm.import_amount, VALUE(prodcom_data[[#This Row],[IMPQNT - FR - 2022 - amount]]), IF(ISNUMBER(_xlpm.import_amount), _xlpm.import_amount, 0))</f>
        <v>42889057</v>
      </c>
      <c r="AI188" s="8" t="str">
        <f>IF(NOT(AND(ISNUMBER(VALUE(prodcom_data[[#This Row],[PRODQNT - FR - 2022 - amount]])), ISNUMBER(VALUE(prodcom_data[[#This Row],[IMPQNT - FR - 2022 - amount]])))), "secrets", "")</f>
        <v>secrets</v>
      </c>
      <c r="AJ18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0.73188621905995144</v>
      </c>
      <c r="AK188" s="10" t="s">
        <v>2642</v>
      </c>
    </row>
    <row r="189" spans="1:37" x14ac:dyDescent="0.3">
      <c r="A189" s="4" t="s">
        <v>3</v>
      </c>
      <c r="B189" s="4" t="s">
        <v>435</v>
      </c>
      <c r="C189" s="4" t="s">
        <v>436</v>
      </c>
      <c r="D189" s="4" t="s">
        <v>437</v>
      </c>
      <c r="E189" s="5" t="s">
        <v>7</v>
      </c>
      <c r="F189" s="4" t="s">
        <v>1880</v>
      </c>
      <c r="G189" s="5" t="s">
        <v>7</v>
      </c>
      <c r="H189" s="4" t="s">
        <v>1881</v>
      </c>
      <c r="I189" s="5" t="s">
        <v>7</v>
      </c>
      <c r="J189" s="4" t="s">
        <v>1882</v>
      </c>
      <c r="K189" s="5" t="s">
        <v>7</v>
      </c>
      <c r="L189" s="4" t="s">
        <v>1883</v>
      </c>
      <c r="M189" s="5" t="s">
        <v>7</v>
      </c>
      <c r="N189" s="4" t="s">
        <v>1884</v>
      </c>
      <c r="O189" s="5" t="s">
        <v>7</v>
      </c>
      <c r="P189" s="4" t="s">
        <v>2611</v>
      </c>
      <c r="Q189" s="5" t="s">
        <v>7</v>
      </c>
      <c r="R189" s="4" t="s">
        <v>1885</v>
      </c>
      <c r="S189" s="5" t="s">
        <v>7</v>
      </c>
      <c r="T189" s="4" t="s">
        <v>1886</v>
      </c>
      <c r="U189" s="5" t="s">
        <v>7</v>
      </c>
      <c r="V189" s="4" t="s">
        <v>2611</v>
      </c>
      <c r="W189" s="5" t="s">
        <v>7</v>
      </c>
      <c r="X189" s="4" t="s">
        <v>1887</v>
      </c>
      <c r="Y189" s="5" t="s">
        <v>7</v>
      </c>
      <c r="Z189" s="4" t="s">
        <v>1888</v>
      </c>
      <c r="AA189" s="5" t="s">
        <v>7</v>
      </c>
      <c r="AB18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94267375</v>
      </c>
      <c r="AC189" s="8" t="str">
        <f>IF(NOT(AND(ISNUMBER(VALUE(prodcom_data[[#This Row],[PRODQNT - EU27_2020 - 2019 - amount]])), ISNUMBER(VALUE(prodcom_data[[#This Row],[IMPQNT - EU27_2020 - 2019 - amount]])))), "secrets", "")</f>
        <v/>
      </c>
      <c r="AD18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54154503</v>
      </c>
      <c r="AE189" s="8" t="str">
        <f>IF(NOT(AND(ISNUMBER(VALUE(prodcom_data[[#This Row],[PRODQNT - EU27_2020 - 2022 - amount]])), ISNUMBER(VALUE(prodcom_data[[#This Row],[IMPQNT - EU27_2020 - 2022 - amount]])))), "secrets", "")</f>
        <v/>
      </c>
      <c r="AF189" s="7">
        <f>_xlfn.LET(_xlpm.production_amount, VALUE(prodcom_data[[#This Row],[PRODQNT - FR - 2019 - amount]]), IF(ISNUMBER(_xlpm.production_amount), _xlpm.production_amount, 0))+_xlfn.LET(_xlpm.import_amount, VALUE(prodcom_data[[#This Row],[IMPQNT - FR - 2019 - amount]]), IF(ISNUMBER(_xlpm.import_amount), _xlpm.import_amount, 0))</f>
        <v>2232100</v>
      </c>
      <c r="AG189" s="8" t="str">
        <f>IF(NOT(AND(ISNUMBER(VALUE(prodcom_data[[#This Row],[PRODQNT - FR - 2019 - amount]])), ISNUMBER(VALUE(prodcom_data[[#This Row],[IMPQNT - FR - 2019 - amount]])))), "secrets", "")</f>
        <v>secrets</v>
      </c>
      <c r="AH189" s="7">
        <f>_xlfn.LET(_xlpm.production_amount, VALUE(prodcom_data[[#This Row],[PRODQNT - FR - 2022 - amount]]), IF(ISNUMBER(_xlpm.production_amount), _xlpm.production_amount, 0))+_xlfn.LET(_xlpm.import_amount, VALUE(prodcom_data[[#This Row],[IMPQNT - FR - 2022 - amount]]), IF(ISNUMBER(_xlpm.import_amount), _xlpm.import_amount, 0))</f>
        <v>2094797</v>
      </c>
      <c r="AI189" s="8" t="str">
        <f>IF(NOT(AND(ISNUMBER(VALUE(prodcom_data[[#This Row],[PRODQNT - FR - 2022 - amount]])), ISNUMBER(VALUE(prodcom_data[[#This Row],[IMPQNT - FR - 2022 - amount]])))), "secrets", "")</f>
        <v>secrets</v>
      </c>
      <c r="AJ18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0.73438428564287628</v>
      </c>
      <c r="AK189" s="10" t="s">
        <v>2642</v>
      </c>
    </row>
    <row r="190" spans="1:37" x14ac:dyDescent="0.3">
      <c r="A190" s="4" t="s">
        <v>3</v>
      </c>
      <c r="B190" s="4" t="s">
        <v>363</v>
      </c>
      <c r="C190" s="4" t="s">
        <v>364</v>
      </c>
      <c r="D190" s="4" t="s">
        <v>365</v>
      </c>
      <c r="E190" s="5" t="s">
        <v>7</v>
      </c>
      <c r="F190" s="4" t="s">
        <v>1698</v>
      </c>
      <c r="G190" s="5" t="s">
        <v>7</v>
      </c>
      <c r="H190" s="4" t="s">
        <v>1699</v>
      </c>
      <c r="I190" s="5" t="s">
        <v>7</v>
      </c>
      <c r="J190" s="4" t="s">
        <v>428</v>
      </c>
      <c r="K190" s="5" t="s">
        <v>7</v>
      </c>
      <c r="L190" s="4" t="s">
        <v>1700</v>
      </c>
      <c r="M190" s="5" t="s">
        <v>7</v>
      </c>
      <c r="N190" s="4" t="s">
        <v>1701</v>
      </c>
      <c r="O190" s="5" t="s">
        <v>7</v>
      </c>
      <c r="P190" s="4" t="s">
        <v>2611</v>
      </c>
      <c r="Q190" s="5" t="s">
        <v>7</v>
      </c>
      <c r="R190" s="4" t="s">
        <v>1702</v>
      </c>
      <c r="S190" s="5" t="s">
        <v>7</v>
      </c>
      <c r="T190" s="4" t="s">
        <v>1703</v>
      </c>
      <c r="U190" s="5" t="s">
        <v>7</v>
      </c>
      <c r="V190" s="4" t="s">
        <v>2611</v>
      </c>
      <c r="W190" s="5" t="s">
        <v>7</v>
      </c>
      <c r="X190" s="4" t="s">
        <v>1704</v>
      </c>
      <c r="Y190" s="5" t="s">
        <v>7</v>
      </c>
      <c r="Z190" s="4" t="s">
        <v>1705</v>
      </c>
      <c r="AA190" s="5" t="s">
        <v>7</v>
      </c>
      <c r="AB19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51338387</v>
      </c>
      <c r="AC190" s="8" t="str">
        <f>IF(NOT(AND(ISNUMBER(VALUE(prodcom_data[[#This Row],[PRODQNT - EU27_2020 - 2019 - amount]])), ISNUMBER(VALUE(prodcom_data[[#This Row],[IMPQNT - EU27_2020 - 2019 - amount]])))), "secrets", "")</f>
        <v/>
      </c>
      <c r="AD19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54144995</v>
      </c>
      <c r="AE190" s="8" t="str">
        <f>IF(NOT(AND(ISNUMBER(VALUE(prodcom_data[[#This Row],[PRODQNT - EU27_2020 - 2022 - amount]])), ISNUMBER(VALUE(prodcom_data[[#This Row],[IMPQNT - EU27_2020 - 2022 - amount]])))), "secrets", "")</f>
        <v/>
      </c>
      <c r="AF190" s="7">
        <f>_xlfn.LET(_xlpm.production_amount, VALUE(prodcom_data[[#This Row],[PRODQNT - FR - 2019 - amount]]), IF(ISNUMBER(_xlpm.production_amount), _xlpm.production_amount, 0))+_xlfn.LET(_xlpm.import_amount, VALUE(prodcom_data[[#This Row],[IMPQNT - FR - 2019 - amount]]), IF(ISNUMBER(_xlpm.import_amount), _xlpm.import_amount, 0))</f>
        <v>3241800</v>
      </c>
      <c r="AG190" s="8" t="str">
        <f>IF(NOT(AND(ISNUMBER(VALUE(prodcom_data[[#This Row],[PRODQNT - FR - 2019 - amount]])), ISNUMBER(VALUE(prodcom_data[[#This Row],[IMPQNT - FR - 2019 - amount]])))), "secrets", "")</f>
        <v>secrets</v>
      </c>
      <c r="AH190" s="7">
        <f>_xlfn.LET(_xlpm.production_amount, VALUE(prodcom_data[[#This Row],[PRODQNT - FR - 2022 - amount]]), IF(ISNUMBER(_xlpm.production_amount), _xlpm.production_amount, 0))+_xlfn.LET(_xlpm.import_amount, VALUE(prodcom_data[[#This Row],[IMPQNT - FR - 2022 - amount]]), IF(ISNUMBER(_xlpm.import_amount), _xlpm.import_amount, 0))</f>
        <v>2302282</v>
      </c>
      <c r="AI190" s="8" t="str">
        <f>IF(NOT(AND(ISNUMBER(VALUE(prodcom_data[[#This Row],[PRODQNT - FR - 2022 - amount]])), ISNUMBER(VALUE(prodcom_data[[#This Row],[IMPQNT - FR - 2022 - amount]])))), "secrets", "")</f>
        <v>secrets</v>
      </c>
      <c r="AJ19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0.44325426569898102</v>
      </c>
      <c r="AK190" s="10" t="s">
        <v>2642</v>
      </c>
    </row>
    <row r="191" spans="1:37" x14ac:dyDescent="0.3">
      <c r="A191" s="4" t="s">
        <v>3</v>
      </c>
      <c r="B191" s="4" t="s">
        <v>348</v>
      </c>
      <c r="C191" s="4" t="s">
        <v>349</v>
      </c>
      <c r="D191" s="4" t="s">
        <v>350</v>
      </c>
      <c r="E191" s="5" t="s">
        <v>7</v>
      </c>
      <c r="F191" s="4" t="s">
        <v>1660</v>
      </c>
      <c r="G191" s="5" t="s">
        <v>7</v>
      </c>
      <c r="H191" s="4" t="s">
        <v>1661</v>
      </c>
      <c r="I191" s="5" t="s">
        <v>7</v>
      </c>
      <c r="J191" s="4" t="s">
        <v>188</v>
      </c>
      <c r="K191" s="5" t="s">
        <v>7</v>
      </c>
      <c r="L191" s="4" t="s">
        <v>1662</v>
      </c>
      <c r="M191" s="5" t="s">
        <v>7</v>
      </c>
      <c r="N191" s="4" t="s">
        <v>1663</v>
      </c>
      <c r="O191" s="5" t="s">
        <v>7</v>
      </c>
      <c r="P191" s="4" t="s">
        <v>1664</v>
      </c>
      <c r="Q191" s="5" t="s">
        <v>7</v>
      </c>
      <c r="R191" s="4" t="s">
        <v>1665</v>
      </c>
      <c r="S191" s="5" t="s">
        <v>7</v>
      </c>
      <c r="T191" s="4" t="s">
        <v>1666</v>
      </c>
      <c r="U191" s="5" t="s">
        <v>7</v>
      </c>
      <c r="V191" s="4" t="s">
        <v>1667</v>
      </c>
      <c r="W191" s="5" t="s">
        <v>7</v>
      </c>
      <c r="X191" s="4" t="s">
        <v>1668</v>
      </c>
      <c r="Y191" s="5" t="s">
        <v>7</v>
      </c>
      <c r="Z191" s="4" t="s">
        <v>1669</v>
      </c>
      <c r="AA191" s="5" t="s">
        <v>7</v>
      </c>
      <c r="AB19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60784898</v>
      </c>
      <c r="AC191" s="8" t="str">
        <f>IF(NOT(AND(ISNUMBER(VALUE(prodcom_data[[#This Row],[PRODQNT - EU27_2020 - 2019 - amount]])), ISNUMBER(VALUE(prodcom_data[[#This Row],[IMPQNT - EU27_2020 - 2019 - amount]])))), "secrets", "")</f>
        <v/>
      </c>
      <c r="AD19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48669232</v>
      </c>
      <c r="AE191" s="8" t="str">
        <f>IF(NOT(AND(ISNUMBER(VALUE(prodcom_data[[#This Row],[PRODQNT - EU27_2020 - 2022 - amount]])), ISNUMBER(VALUE(prodcom_data[[#This Row],[IMPQNT - EU27_2020 - 2022 - amount]])))), "secrets", "")</f>
        <v/>
      </c>
      <c r="AF191" s="7">
        <f>_xlfn.LET(_xlpm.production_amount, VALUE(prodcom_data[[#This Row],[PRODQNT - FR - 2019 - amount]]), IF(ISNUMBER(_xlpm.production_amount), _xlpm.production_amount, 0))+_xlfn.LET(_xlpm.import_amount, VALUE(prodcom_data[[#This Row],[IMPQNT - FR - 2019 - amount]]), IF(ISNUMBER(_xlpm.import_amount), _xlpm.import_amount, 0))</f>
        <v>1312880</v>
      </c>
      <c r="AG191" s="8" t="str">
        <f>IF(NOT(AND(ISNUMBER(VALUE(prodcom_data[[#This Row],[PRODQNT - FR - 2019 - amount]])), ISNUMBER(VALUE(prodcom_data[[#This Row],[IMPQNT - FR - 2019 - amount]])))), "secrets", "")</f>
        <v/>
      </c>
      <c r="AH191" s="7">
        <f>_xlfn.LET(_xlpm.production_amount, VALUE(prodcom_data[[#This Row],[PRODQNT - FR - 2022 - amount]]), IF(ISNUMBER(_xlpm.production_amount), _xlpm.production_amount, 0))+_xlfn.LET(_xlpm.import_amount, VALUE(prodcom_data[[#This Row],[IMPQNT - FR - 2022 - amount]]), IF(ISNUMBER(_xlpm.import_amount), _xlpm.import_amount, 0))</f>
        <v>2148510</v>
      </c>
      <c r="AI191" s="8" t="str">
        <f>IF(NOT(AND(ISNUMBER(VALUE(prodcom_data[[#This Row],[PRODQNT - FR - 2022 - amount]])), ISNUMBER(VALUE(prodcom_data[[#This Row],[IMPQNT - FR - 2022 - amount]])))), "secrets", "")</f>
        <v/>
      </c>
      <c r="AJ19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0.73968703677099323</v>
      </c>
      <c r="AK191" s="10" t="s">
        <v>2642</v>
      </c>
    </row>
    <row r="192" spans="1:37" x14ac:dyDescent="0.3">
      <c r="A192" s="4" t="s">
        <v>3</v>
      </c>
      <c r="B192" s="4" t="s">
        <v>454</v>
      </c>
      <c r="C192" s="4" t="s">
        <v>455</v>
      </c>
      <c r="D192" s="4" t="s">
        <v>456</v>
      </c>
      <c r="E192" s="5" t="s">
        <v>7</v>
      </c>
      <c r="F192" s="4" t="s">
        <v>1939</v>
      </c>
      <c r="G192" s="5" t="s">
        <v>7</v>
      </c>
      <c r="H192" s="4" t="s">
        <v>1940</v>
      </c>
      <c r="I192" s="5" t="s">
        <v>7</v>
      </c>
      <c r="J192" s="4" t="s">
        <v>1941</v>
      </c>
      <c r="K192" s="5" t="s">
        <v>7</v>
      </c>
      <c r="L192" s="4" t="s">
        <v>1942</v>
      </c>
      <c r="M192" s="5" t="s">
        <v>7</v>
      </c>
      <c r="N192" s="4" t="s">
        <v>1943</v>
      </c>
      <c r="O192" s="5" t="s">
        <v>7</v>
      </c>
      <c r="P192" s="4" t="s">
        <v>2611</v>
      </c>
      <c r="Q192" s="5" t="s">
        <v>7</v>
      </c>
      <c r="R192" s="4" t="s">
        <v>1944</v>
      </c>
      <c r="S192" s="5" t="s">
        <v>7</v>
      </c>
      <c r="T192" s="4" t="s">
        <v>1945</v>
      </c>
      <c r="U192" s="5" t="s">
        <v>7</v>
      </c>
      <c r="V192" s="4" t="s">
        <v>2611</v>
      </c>
      <c r="W192" s="5" t="s">
        <v>7</v>
      </c>
      <c r="X192" s="4" t="s">
        <v>1946</v>
      </c>
      <c r="Y192" s="5" t="s">
        <v>7</v>
      </c>
      <c r="Z192" s="4" t="s">
        <v>1947</v>
      </c>
      <c r="AA192" s="5" t="s">
        <v>7</v>
      </c>
      <c r="AB19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16496484</v>
      </c>
      <c r="AC192" s="8" t="str">
        <f>IF(NOT(AND(ISNUMBER(VALUE(prodcom_data[[#This Row],[PRODQNT - EU27_2020 - 2019 - amount]])), ISNUMBER(VALUE(prodcom_data[[#This Row],[IMPQNT - EU27_2020 - 2019 - amount]])))), "secrets", "")</f>
        <v/>
      </c>
      <c r="AD19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48174641</v>
      </c>
      <c r="AE192" s="8" t="str">
        <f>IF(NOT(AND(ISNUMBER(VALUE(prodcom_data[[#This Row],[PRODQNT - EU27_2020 - 2022 - amount]])), ISNUMBER(VALUE(prodcom_data[[#This Row],[IMPQNT - EU27_2020 - 2022 - amount]])))), "secrets", "")</f>
        <v/>
      </c>
      <c r="AF192" s="7">
        <f>_xlfn.LET(_xlpm.production_amount, VALUE(prodcom_data[[#This Row],[PRODQNT - FR - 2019 - amount]]), IF(ISNUMBER(_xlpm.production_amount), _xlpm.production_amount, 0))+_xlfn.LET(_xlpm.import_amount, VALUE(prodcom_data[[#This Row],[IMPQNT - FR - 2019 - amount]]), IF(ISNUMBER(_xlpm.import_amount), _xlpm.import_amount, 0))</f>
        <v>162000</v>
      </c>
      <c r="AG192" s="8" t="str">
        <f>IF(NOT(AND(ISNUMBER(VALUE(prodcom_data[[#This Row],[PRODQNT - FR - 2019 - amount]])), ISNUMBER(VALUE(prodcom_data[[#This Row],[IMPQNT - FR - 2019 - amount]])))), "secrets", "")</f>
        <v>secrets</v>
      </c>
      <c r="AH192" s="7">
        <f>_xlfn.LET(_xlpm.production_amount, VALUE(prodcom_data[[#This Row],[PRODQNT - FR - 2022 - amount]]), IF(ISNUMBER(_xlpm.production_amount), _xlpm.production_amount, 0))+_xlfn.LET(_xlpm.import_amount, VALUE(prodcom_data[[#This Row],[IMPQNT - FR - 2022 - amount]]), IF(ISNUMBER(_xlpm.import_amount), _xlpm.import_amount, 0))</f>
        <v>221905</v>
      </c>
      <c r="AI192" s="8" t="str">
        <f>IF(NOT(AND(ISNUMBER(VALUE(prodcom_data[[#This Row],[PRODQNT - FR - 2022 - amount]])), ISNUMBER(VALUE(prodcom_data[[#This Row],[IMPQNT - FR - 2022 - amount]])))), "secrets", "")</f>
        <v>secrets</v>
      </c>
      <c r="AJ19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0.99025140633637521</v>
      </c>
      <c r="AK192" s="10" t="s">
        <v>2642</v>
      </c>
    </row>
    <row r="193" spans="1:37" x14ac:dyDescent="0.3">
      <c r="A193" s="4" t="s">
        <v>3</v>
      </c>
      <c r="B193" s="4" t="s">
        <v>471</v>
      </c>
      <c r="C193" s="4" t="s">
        <v>472</v>
      </c>
      <c r="D193" s="4" t="s">
        <v>2611</v>
      </c>
      <c r="E193" s="5" t="s">
        <v>22</v>
      </c>
      <c r="F193" s="4" t="s">
        <v>2611</v>
      </c>
      <c r="G193" s="5" t="s">
        <v>22</v>
      </c>
      <c r="H193" s="4" t="s">
        <v>2611</v>
      </c>
      <c r="I193" s="5" t="s">
        <v>22</v>
      </c>
      <c r="J193" s="4" t="s">
        <v>470</v>
      </c>
      <c r="K193" s="5" t="s">
        <v>7</v>
      </c>
      <c r="L193" s="4" t="s">
        <v>1988</v>
      </c>
      <c r="M193" s="5" t="s">
        <v>7</v>
      </c>
      <c r="N193" s="4" t="s">
        <v>1989</v>
      </c>
      <c r="O193" s="5" t="s">
        <v>7</v>
      </c>
      <c r="P193" s="4" t="s">
        <v>703</v>
      </c>
      <c r="Q193" s="5" t="s">
        <v>703</v>
      </c>
      <c r="R193" s="4" t="s">
        <v>2611</v>
      </c>
      <c r="S193" s="5" t="s">
        <v>22</v>
      </c>
      <c r="T193" s="4" t="s">
        <v>2611</v>
      </c>
      <c r="U193" s="5" t="s">
        <v>22</v>
      </c>
      <c r="V193" s="4" t="s">
        <v>703</v>
      </c>
      <c r="W193" s="5" t="s">
        <v>703</v>
      </c>
      <c r="X193" s="4" t="s">
        <v>1990</v>
      </c>
      <c r="Y193" s="5" t="s">
        <v>7</v>
      </c>
      <c r="Z193" s="4" t="s">
        <v>1991</v>
      </c>
      <c r="AA193" s="5" t="s">
        <v>7</v>
      </c>
      <c r="AB19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193" s="8" t="str">
        <f>IF(NOT(AND(ISNUMBER(VALUE(prodcom_data[[#This Row],[PRODQNT - EU27_2020 - 2019 - amount]])), ISNUMBER(VALUE(prodcom_data[[#This Row],[IMPQNT - EU27_2020 - 2019 - amount]])))), "secrets", "")</f>
        <v>secrets</v>
      </c>
      <c r="AD19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45938730</v>
      </c>
      <c r="AE193" s="8" t="str">
        <f>IF(NOT(AND(ISNUMBER(VALUE(prodcom_data[[#This Row],[PRODQNT - EU27_2020 - 2022 - amount]])), ISNUMBER(VALUE(prodcom_data[[#This Row],[IMPQNT - EU27_2020 - 2022 - amount]])))), "secrets", "")</f>
        <v/>
      </c>
      <c r="AF193"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193" s="8" t="str">
        <f>IF(NOT(AND(ISNUMBER(VALUE(prodcom_data[[#This Row],[PRODQNT - FR - 2019 - amount]])), ISNUMBER(VALUE(prodcom_data[[#This Row],[IMPQNT - FR - 2019 - amount]])))), "secrets", "")</f>
        <v>secrets</v>
      </c>
      <c r="AH193" s="7">
        <f>_xlfn.LET(_xlpm.production_amount, VALUE(prodcom_data[[#This Row],[PRODQNT - FR - 2022 - amount]]), IF(ISNUMBER(_xlpm.production_amount), _xlpm.production_amount, 0))+_xlfn.LET(_xlpm.import_amount, VALUE(prodcom_data[[#This Row],[IMPQNT - FR - 2022 - amount]]), IF(ISNUMBER(_xlpm.import_amount), _xlpm.import_amount, 0))</f>
        <v>3644961</v>
      </c>
      <c r="AI193" s="8" t="str">
        <f>IF(NOT(AND(ISNUMBER(VALUE(prodcom_data[[#This Row],[PRODQNT - FR - 2022 - amount]])), ISNUMBER(VALUE(prodcom_data[[#This Row],[IMPQNT - FR - 2022 - amount]])))), "secrets", "")</f>
        <v>secrets</v>
      </c>
      <c r="AJ19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0.69657998817120104</v>
      </c>
      <c r="AK193" s="10" t="s">
        <v>2642</v>
      </c>
    </row>
    <row r="194" spans="1:37" x14ac:dyDescent="0.3">
      <c r="A194" s="4" t="s">
        <v>3</v>
      </c>
      <c r="B194" s="4" t="s">
        <v>158</v>
      </c>
      <c r="C194" s="4" t="s">
        <v>159</v>
      </c>
      <c r="D194" s="4" t="s">
        <v>160</v>
      </c>
      <c r="E194" s="5" t="s">
        <v>7</v>
      </c>
      <c r="F194" s="4" t="s">
        <v>1142</v>
      </c>
      <c r="G194" s="5" t="s">
        <v>7</v>
      </c>
      <c r="H194" s="4" t="s">
        <v>1143</v>
      </c>
      <c r="I194" s="5" t="s">
        <v>7</v>
      </c>
      <c r="J194" s="4" t="s">
        <v>392</v>
      </c>
      <c r="K194" s="5" t="s">
        <v>7</v>
      </c>
      <c r="L194" s="4" t="s">
        <v>1144</v>
      </c>
      <c r="M194" s="5" t="s">
        <v>7</v>
      </c>
      <c r="N194" s="4" t="s">
        <v>1145</v>
      </c>
      <c r="O194" s="5" t="s">
        <v>7</v>
      </c>
      <c r="P194" s="4" t="s">
        <v>2611</v>
      </c>
      <c r="Q194" s="5" t="s">
        <v>7</v>
      </c>
      <c r="R194" s="4" t="s">
        <v>1146</v>
      </c>
      <c r="S194" s="5" t="s">
        <v>7</v>
      </c>
      <c r="T194" s="4" t="s">
        <v>1147</v>
      </c>
      <c r="U194" s="5" t="s">
        <v>7</v>
      </c>
      <c r="V194" s="4" t="s">
        <v>1148</v>
      </c>
      <c r="W194" s="5" t="s">
        <v>7</v>
      </c>
      <c r="X194" s="4" t="s">
        <v>1149</v>
      </c>
      <c r="Y194" s="5" t="s">
        <v>7</v>
      </c>
      <c r="Z194" s="4" t="s">
        <v>1150</v>
      </c>
      <c r="AA194" s="5" t="s">
        <v>7</v>
      </c>
      <c r="AB19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36579494</v>
      </c>
      <c r="AC194" s="8" t="str">
        <f>IF(NOT(AND(ISNUMBER(VALUE(prodcom_data[[#This Row],[PRODQNT - EU27_2020 - 2019 - amount]])), ISNUMBER(VALUE(prodcom_data[[#This Row],[IMPQNT - EU27_2020 - 2019 - amount]])))), "secrets", "")</f>
        <v/>
      </c>
      <c r="AD19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44856636</v>
      </c>
      <c r="AE194" s="8" t="str">
        <f>IF(NOT(AND(ISNUMBER(VALUE(prodcom_data[[#This Row],[PRODQNT - EU27_2020 - 2022 - amount]])), ISNUMBER(VALUE(prodcom_data[[#This Row],[IMPQNT - EU27_2020 - 2022 - amount]])))), "secrets", "")</f>
        <v/>
      </c>
      <c r="AF194" s="7">
        <f>_xlfn.LET(_xlpm.production_amount, VALUE(prodcom_data[[#This Row],[PRODQNT - FR - 2019 - amount]]), IF(ISNUMBER(_xlpm.production_amount), _xlpm.production_amount, 0))+_xlfn.LET(_xlpm.import_amount, VALUE(prodcom_data[[#This Row],[IMPQNT - FR - 2019 - amount]]), IF(ISNUMBER(_xlpm.import_amount), _xlpm.import_amount, 0))</f>
        <v>3123000</v>
      </c>
      <c r="AG194" s="8" t="str">
        <f>IF(NOT(AND(ISNUMBER(VALUE(prodcom_data[[#This Row],[PRODQNT - FR - 2019 - amount]])), ISNUMBER(VALUE(prodcom_data[[#This Row],[IMPQNT - FR - 2019 - amount]])))), "secrets", "")</f>
        <v>secrets</v>
      </c>
      <c r="AH194" s="7">
        <f>_xlfn.LET(_xlpm.production_amount, VALUE(prodcom_data[[#This Row],[PRODQNT - FR - 2022 - amount]]), IF(ISNUMBER(_xlpm.production_amount), _xlpm.production_amount, 0))+_xlfn.LET(_xlpm.import_amount, VALUE(prodcom_data[[#This Row],[IMPQNT - FR - 2022 - amount]]), IF(ISNUMBER(_xlpm.import_amount), _xlpm.import_amount, 0))</f>
        <v>2962942</v>
      </c>
      <c r="AI194" s="8" t="str">
        <f>IF(NOT(AND(ISNUMBER(VALUE(prodcom_data[[#This Row],[PRODQNT - FR - 2022 - amount]])), ISNUMBER(VALUE(prodcom_data[[#This Row],[IMPQNT - FR - 2022 - amount]])))), "secrets", "")</f>
        <v/>
      </c>
      <c r="AJ19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0.66879736590144656</v>
      </c>
      <c r="AK194" s="10" t="s">
        <v>2642</v>
      </c>
    </row>
    <row r="195" spans="1:37" x14ac:dyDescent="0.3">
      <c r="A195" s="4" t="s">
        <v>3</v>
      </c>
      <c r="B195" s="4" t="s">
        <v>426</v>
      </c>
      <c r="C195" s="4" t="s">
        <v>427</v>
      </c>
      <c r="D195" s="4" t="s">
        <v>428</v>
      </c>
      <c r="E195" s="5" t="s">
        <v>7</v>
      </c>
      <c r="F195" s="4" t="s">
        <v>1859</v>
      </c>
      <c r="G195" s="5" t="s">
        <v>7</v>
      </c>
      <c r="H195" s="4" t="s">
        <v>1860</v>
      </c>
      <c r="I195" s="5" t="s">
        <v>7</v>
      </c>
      <c r="J195" s="4" t="s">
        <v>337</v>
      </c>
      <c r="K195" s="5" t="s">
        <v>7</v>
      </c>
      <c r="L195" s="4" t="s">
        <v>1861</v>
      </c>
      <c r="M195" s="5" t="s">
        <v>7</v>
      </c>
      <c r="N195" s="4" t="s">
        <v>1862</v>
      </c>
      <c r="O195" s="5" t="s">
        <v>7</v>
      </c>
      <c r="P195" s="4" t="s">
        <v>1863</v>
      </c>
      <c r="Q195" s="5" t="s">
        <v>7</v>
      </c>
      <c r="R195" s="4" t="s">
        <v>1864</v>
      </c>
      <c r="S195" s="5" t="s">
        <v>7</v>
      </c>
      <c r="T195" s="4" t="s">
        <v>1865</v>
      </c>
      <c r="U195" s="5" t="s">
        <v>7</v>
      </c>
      <c r="V195" s="4" t="s">
        <v>1866</v>
      </c>
      <c r="W195" s="5" t="s">
        <v>7</v>
      </c>
      <c r="X195" s="4" t="s">
        <v>1867</v>
      </c>
      <c r="Y195" s="5" t="s">
        <v>7</v>
      </c>
      <c r="Z195" s="4" t="s">
        <v>1868</v>
      </c>
      <c r="AA195" s="5" t="s">
        <v>7</v>
      </c>
      <c r="AB19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51075759</v>
      </c>
      <c r="AC195" s="8" t="str">
        <f>IF(NOT(AND(ISNUMBER(VALUE(prodcom_data[[#This Row],[PRODQNT - EU27_2020 - 2019 - amount]])), ISNUMBER(VALUE(prodcom_data[[#This Row],[IMPQNT - EU27_2020 - 2019 - amount]])))), "secrets", "")</f>
        <v/>
      </c>
      <c r="AD19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44093954</v>
      </c>
      <c r="AE195" s="8" t="str">
        <f>IF(NOT(AND(ISNUMBER(VALUE(prodcom_data[[#This Row],[PRODQNT - EU27_2020 - 2022 - amount]])), ISNUMBER(VALUE(prodcom_data[[#This Row],[IMPQNT - EU27_2020 - 2022 - amount]])))), "secrets", "")</f>
        <v/>
      </c>
      <c r="AF195" s="7">
        <f>_xlfn.LET(_xlpm.production_amount, VALUE(prodcom_data[[#This Row],[PRODQNT - FR - 2019 - amount]]), IF(ISNUMBER(_xlpm.production_amount), _xlpm.production_amount, 0))+_xlfn.LET(_xlpm.import_amount, VALUE(prodcom_data[[#This Row],[IMPQNT - FR - 2019 - amount]]), IF(ISNUMBER(_xlpm.import_amount), _xlpm.import_amount, 0))</f>
        <v>16164300</v>
      </c>
      <c r="AG195" s="8" t="str">
        <f>IF(NOT(AND(ISNUMBER(VALUE(prodcom_data[[#This Row],[PRODQNT - FR - 2019 - amount]])), ISNUMBER(VALUE(prodcom_data[[#This Row],[IMPQNT - FR - 2019 - amount]])))), "secrets", "")</f>
        <v/>
      </c>
      <c r="AH195" s="7">
        <f>_xlfn.LET(_xlpm.production_amount, VALUE(prodcom_data[[#This Row],[PRODQNT - FR - 2022 - amount]]), IF(ISNUMBER(_xlpm.production_amount), _xlpm.production_amount, 0))+_xlfn.LET(_xlpm.import_amount, VALUE(prodcom_data[[#This Row],[IMPQNT - FR - 2022 - amount]]), IF(ISNUMBER(_xlpm.import_amount), _xlpm.import_amount, 0))</f>
        <v>8532605</v>
      </c>
      <c r="AI195" s="8" t="str">
        <f>IF(NOT(AND(ISNUMBER(VALUE(prodcom_data[[#This Row],[PRODQNT - FR - 2022 - amount]])), ISNUMBER(VALUE(prodcom_data[[#This Row],[IMPQNT - FR - 2022 - amount]])))), "secrets", "")</f>
        <v/>
      </c>
      <c r="AJ19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0.27214615409631898</v>
      </c>
      <c r="AK195" s="10" t="s">
        <v>2642</v>
      </c>
    </row>
    <row r="196" spans="1:37" x14ac:dyDescent="0.3">
      <c r="A196" s="4" t="s">
        <v>3</v>
      </c>
      <c r="B196" s="4" t="s">
        <v>663</v>
      </c>
      <c r="C196" s="4" t="s">
        <v>664</v>
      </c>
      <c r="D196" s="4" t="s">
        <v>665</v>
      </c>
      <c r="E196" s="5" t="s">
        <v>7</v>
      </c>
      <c r="F196" s="4" t="s">
        <v>2566</v>
      </c>
      <c r="G196" s="5" t="s">
        <v>7</v>
      </c>
      <c r="H196" s="4" t="s">
        <v>2567</v>
      </c>
      <c r="I196" s="5" t="s">
        <v>7</v>
      </c>
      <c r="J196" s="4" t="s">
        <v>2568</v>
      </c>
      <c r="K196" s="5" t="s">
        <v>7</v>
      </c>
      <c r="L196" s="4" t="s">
        <v>2569</v>
      </c>
      <c r="M196" s="5" t="s">
        <v>7</v>
      </c>
      <c r="N196" s="4" t="s">
        <v>2570</v>
      </c>
      <c r="O196" s="5" t="s">
        <v>7</v>
      </c>
      <c r="P196" s="4" t="s">
        <v>2611</v>
      </c>
      <c r="Q196" s="5" t="s">
        <v>7</v>
      </c>
      <c r="R196" s="4" t="s">
        <v>713</v>
      </c>
      <c r="S196" s="5" t="s">
        <v>7</v>
      </c>
      <c r="T196" s="4" t="s">
        <v>2571</v>
      </c>
      <c r="U196" s="5" t="s">
        <v>7</v>
      </c>
      <c r="V196" s="4" t="s">
        <v>2572</v>
      </c>
      <c r="W196" s="5" t="s">
        <v>7</v>
      </c>
      <c r="X196" s="4" t="s">
        <v>2573</v>
      </c>
      <c r="Y196" s="5" t="s">
        <v>7</v>
      </c>
      <c r="Z196" s="4" t="s">
        <v>2574</v>
      </c>
      <c r="AA196" s="5" t="s">
        <v>7</v>
      </c>
      <c r="AB19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44718116</v>
      </c>
      <c r="AC196" s="8" t="str">
        <f>IF(NOT(AND(ISNUMBER(VALUE(prodcom_data[[#This Row],[PRODQNT - EU27_2020 - 2019 - amount]])), ISNUMBER(VALUE(prodcom_data[[#This Row],[IMPQNT - EU27_2020 - 2019 - amount]])))), "secrets", "")</f>
        <v/>
      </c>
      <c r="AD19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42020072</v>
      </c>
      <c r="AE196" s="8" t="str">
        <f>IF(NOT(AND(ISNUMBER(VALUE(prodcom_data[[#This Row],[PRODQNT - EU27_2020 - 2022 - amount]])), ISNUMBER(VALUE(prodcom_data[[#This Row],[IMPQNT - EU27_2020 - 2022 - amount]])))), "secrets", "")</f>
        <v/>
      </c>
      <c r="AF196" s="7">
        <f>_xlfn.LET(_xlpm.production_amount, VALUE(prodcom_data[[#This Row],[PRODQNT - FR - 2019 - amount]]), IF(ISNUMBER(_xlpm.production_amount), _xlpm.production_amount, 0))+_xlfn.LET(_xlpm.import_amount, VALUE(prodcom_data[[#This Row],[IMPQNT - FR - 2019 - amount]]), IF(ISNUMBER(_xlpm.import_amount), _xlpm.import_amount, 0))</f>
        <v>2810700</v>
      </c>
      <c r="AG196" s="8" t="str">
        <f>IF(NOT(AND(ISNUMBER(VALUE(prodcom_data[[#This Row],[PRODQNT - FR - 2019 - amount]])), ISNUMBER(VALUE(prodcom_data[[#This Row],[IMPQNT - FR - 2019 - amount]])))), "secrets", "")</f>
        <v>secrets</v>
      </c>
      <c r="AH196" s="7">
        <f>_xlfn.LET(_xlpm.production_amount, VALUE(prodcom_data[[#This Row],[PRODQNT - FR - 2022 - amount]]), IF(ISNUMBER(_xlpm.production_amount), _xlpm.production_amount, 0))+_xlfn.LET(_xlpm.import_amount, VALUE(prodcom_data[[#This Row],[IMPQNT - FR - 2022 - amount]]), IF(ISNUMBER(_xlpm.import_amount), _xlpm.import_amount, 0))</f>
        <v>4722981</v>
      </c>
      <c r="AI196" s="8" t="str">
        <f>IF(NOT(AND(ISNUMBER(VALUE(prodcom_data[[#This Row],[PRODQNT - FR - 2022 - amount]])), ISNUMBER(VALUE(prodcom_data[[#This Row],[IMPQNT - FR - 2022 - amount]])))), "secrets", "")</f>
        <v/>
      </c>
      <c r="AJ19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0.61875191456121259</v>
      </c>
      <c r="AK196" s="10" t="s">
        <v>2642</v>
      </c>
    </row>
    <row r="197" spans="1:37" x14ac:dyDescent="0.3">
      <c r="A197" s="4" t="s">
        <v>3</v>
      </c>
      <c r="B197" s="4" t="s">
        <v>429</v>
      </c>
      <c r="C197" s="4" t="s">
        <v>430</v>
      </c>
      <c r="D197" s="4" t="s">
        <v>431</v>
      </c>
      <c r="E197" s="5" t="s">
        <v>7</v>
      </c>
      <c r="F197" s="4" t="s">
        <v>1869</v>
      </c>
      <c r="G197" s="5" t="s">
        <v>7</v>
      </c>
      <c r="H197" s="4" t="s">
        <v>1870</v>
      </c>
      <c r="I197" s="5" t="s">
        <v>7</v>
      </c>
      <c r="J197" s="4" t="s">
        <v>1602</v>
      </c>
      <c r="K197" s="5" t="s">
        <v>7</v>
      </c>
      <c r="L197" s="4" t="s">
        <v>1871</v>
      </c>
      <c r="M197" s="5" t="s">
        <v>7</v>
      </c>
      <c r="N197" s="4" t="s">
        <v>1872</v>
      </c>
      <c r="O197" s="5" t="s">
        <v>7</v>
      </c>
      <c r="P197" s="4" t="s">
        <v>2611</v>
      </c>
      <c r="Q197" s="5" t="s">
        <v>7</v>
      </c>
      <c r="R197" s="4" t="s">
        <v>1873</v>
      </c>
      <c r="S197" s="5" t="s">
        <v>7</v>
      </c>
      <c r="T197" s="4" t="s">
        <v>1874</v>
      </c>
      <c r="U197" s="5" t="s">
        <v>7</v>
      </c>
      <c r="V197" s="4" t="s">
        <v>1875</v>
      </c>
      <c r="W197" s="5" t="s">
        <v>7</v>
      </c>
      <c r="X197" s="4" t="s">
        <v>1876</v>
      </c>
      <c r="Y197" s="5" t="s">
        <v>7</v>
      </c>
      <c r="Z197" s="4" t="s">
        <v>1877</v>
      </c>
      <c r="AA197" s="5" t="s">
        <v>7</v>
      </c>
      <c r="AB19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44123278</v>
      </c>
      <c r="AC197" s="8" t="str">
        <f>IF(NOT(AND(ISNUMBER(VALUE(prodcom_data[[#This Row],[PRODQNT - EU27_2020 - 2019 - amount]])), ISNUMBER(VALUE(prodcom_data[[#This Row],[IMPQNT - EU27_2020 - 2019 - amount]])))), "secrets", "")</f>
        <v/>
      </c>
      <c r="AD19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41800145</v>
      </c>
      <c r="AE197" s="8" t="str">
        <f>IF(NOT(AND(ISNUMBER(VALUE(prodcom_data[[#This Row],[PRODQNT - EU27_2020 - 2022 - amount]])), ISNUMBER(VALUE(prodcom_data[[#This Row],[IMPQNT - EU27_2020 - 2022 - amount]])))), "secrets", "")</f>
        <v/>
      </c>
      <c r="AF197" s="7">
        <f>_xlfn.LET(_xlpm.production_amount, VALUE(prodcom_data[[#This Row],[PRODQNT - FR - 2019 - amount]]), IF(ISNUMBER(_xlpm.production_amount), _xlpm.production_amount, 0))+_xlfn.LET(_xlpm.import_amount, VALUE(prodcom_data[[#This Row],[IMPQNT - FR - 2019 - amount]]), IF(ISNUMBER(_xlpm.import_amount), _xlpm.import_amount, 0))</f>
        <v>2705100</v>
      </c>
      <c r="AG197" s="8" t="str">
        <f>IF(NOT(AND(ISNUMBER(VALUE(prodcom_data[[#This Row],[PRODQNT - FR - 2019 - amount]])), ISNUMBER(VALUE(prodcom_data[[#This Row],[IMPQNT - FR - 2019 - amount]])))), "secrets", "")</f>
        <v>secrets</v>
      </c>
      <c r="AH197" s="7">
        <f>_xlfn.LET(_xlpm.production_amount, VALUE(prodcom_data[[#This Row],[PRODQNT - FR - 2022 - amount]]), IF(ISNUMBER(_xlpm.production_amount), _xlpm.production_amount, 0))+_xlfn.LET(_xlpm.import_amount, VALUE(prodcom_data[[#This Row],[IMPQNT - FR - 2022 - amount]]), IF(ISNUMBER(_xlpm.import_amount), _xlpm.import_amount, 0))</f>
        <v>8172087</v>
      </c>
      <c r="AI197" s="8" t="str">
        <f>IF(NOT(AND(ISNUMBER(VALUE(prodcom_data[[#This Row],[PRODQNT - FR - 2022 - amount]])), ISNUMBER(VALUE(prodcom_data[[#This Row],[IMPQNT - FR - 2022 - amount]])))), "secrets", "")</f>
        <v/>
      </c>
      <c r="AJ19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0.66985413567345276</v>
      </c>
      <c r="AK197" s="10" t="s">
        <v>2642</v>
      </c>
    </row>
    <row r="198" spans="1:37" x14ac:dyDescent="0.3">
      <c r="A198" s="4" t="s">
        <v>3</v>
      </c>
      <c r="B198" s="4" t="s">
        <v>129</v>
      </c>
      <c r="C198" s="4" t="s">
        <v>130</v>
      </c>
      <c r="D198" s="4" t="s">
        <v>131</v>
      </c>
      <c r="E198" s="5" t="s">
        <v>7</v>
      </c>
      <c r="F198" s="4" t="s">
        <v>1064</v>
      </c>
      <c r="G198" s="5" t="s">
        <v>7</v>
      </c>
      <c r="H198" s="4" t="s">
        <v>1065</v>
      </c>
      <c r="I198" s="5" t="s">
        <v>7</v>
      </c>
      <c r="J198" s="4" t="s">
        <v>1066</v>
      </c>
      <c r="K198" s="5" t="s">
        <v>7</v>
      </c>
      <c r="L198" s="4" t="s">
        <v>1067</v>
      </c>
      <c r="M198" s="5" t="s">
        <v>7</v>
      </c>
      <c r="N198" s="4" t="s">
        <v>1068</v>
      </c>
      <c r="O198" s="5" t="s">
        <v>7</v>
      </c>
      <c r="P198" s="4" t="s">
        <v>2611</v>
      </c>
      <c r="Q198" s="5" t="s">
        <v>7</v>
      </c>
      <c r="R198" s="4" t="s">
        <v>1069</v>
      </c>
      <c r="S198" s="5" t="s">
        <v>7</v>
      </c>
      <c r="T198" s="4" t="s">
        <v>1070</v>
      </c>
      <c r="U198" s="5" t="s">
        <v>7</v>
      </c>
      <c r="V198" s="4" t="s">
        <v>2611</v>
      </c>
      <c r="W198" s="5" t="s">
        <v>7</v>
      </c>
      <c r="X198" s="4" t="s">
        <v>1071</v>
      </c>
      <c r="Y198" s="5" t="s">
        <v>7</v>
      </c>
      <c r="Z198" s="4" t="s">
        <v>1072</v>
      </c>
      <c r="AA198" s="5" t="s">
        <v>7</v>
      </c>
      <c r="AB19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37728580</v>
      </c>
      <c r="AC198" s="8" t="str">
        <f>IF(NOT(AND(ISNUMBER(VALUE(prodcom_data[[#This Row],[PRODQNT - EU27_2020 - 2019 - amount]])), ISNUMBER(VALUE(prodcom_data[[#This Row],[IMPQNT - EU27_2020 - 2019 - amount]])))), "secrets", "")</f>
        <v/>
      </c>
      <c r="AD19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30307256</v>
      </c>
      <c r="AE198" s="8" t="str">
        <f>IF(NOT(AND(ISNUMBER(VALUE(prodcom_data[[#This Row],[PRODQNT - EU27_2020 - 2022 - amount]])), ISNUMBER(VALUE(prodcom_data[[#This Row],[IMPQNT - EU27_2020 - 2022 - amount]])))), "secrets", "")</f>
        <v/>
      </c>
      <c r="AF198" s="7">
        <f>_xlfn.LET(_xlpm.production_amount, VALUE(prodcom_data[[#This Row],[PRODQNT - FR - 2019 - amount]]), IF(ISNUMBER(_xlpm.production_amount), _xlpm.production_amount, 0))+_xlfn.LET(_xlpm.import_amount, VALUE(prodcom_data[[#This Row],[IMPQNT - FR - 2019 - amount]]), IF(ISNUMBER(_xlpm.import_amount), _xlpm.import_amount, 0))</f>
        <v>3712500</v>
      </c>
      <c r="AG198" s="8" t="str">
        <f>IF(NOT(AND(ISNUMBER(VALUE(prodcom_data[[#This Row],[PRODQNT - FR - 2019 - amount]])), ISNUMBER(VALUE(prodcom_data[[#This Row],[IMPQNT - FR - 2019 - amount]])))), "secrets", "")</f>
        <v>secrets</v>
      </c>
      <c r="AH198" s="7">
        <f>_xlfn.LET(_xlpm.production_amount, VALUE(prodcom_data[[#This Row],[PRODQNT - FR - 2022 - amount]]), IF(ISNUMBER(_xlpm.production_amount), _xlpm.production_amount, 0))+_xlfn.LET(_xlpm.import_amount, VALUE(prodcom_data[[#This Row],[IMPQNT - FR - 2022 - amount]]), IF(ISNUMBER(_xlpm.import_amount), _xlpm.import_amount, 0))</f>
        <v>5618432</v>
      </c>
      <c r="AI198" s="8" t="str">
        <f>IF(NOT(AND(ISNUMBER(VALUE(prodcom_data[[#This Row],[PRODQNT - FR - 2022 - amount]])), ISNUMBER(VALUE(prodcom_data[[#This Row],[IMPQNT - FR - 2022 - amount]])))), "secrets", "")</f>
        <v>secrets</v>
      </c>
      <c r="AJ19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0.29695858971858091</v>
      </c>
      <c r="AK198" s="10" t="s">
        <v>2642</v>
      </c>
    </row>
    <row r="199" spans="1:37" x14ac:dyDescent="0.3">
      <c r="A199" s="4" t="s">
        <v>3</v>
      </c>
      <c r="B199" s="4" t="s">
        <v>69</v>
      </c>
      <c r="C199" s="4" t="s">
        <v>70</v>
      </c>
      <c r="D199" s="4" t="s">
        <v>71</v>
      </c>
      <c r="E199" s="5" t="s">
        <v>7</v>
      </c>
      <c r="F199" s="4" t="s">
        <v>890</v>
      </c>
      <c r="G199" s="5" t="s">
        <v>7</v>
      </c>
      <c r="H199" s="4" t="s">
        <v>891</v>
      </c>
      <c r="I199" s="5" t="s">
        <v>7</v>
      </c>
      <c r="J199" s="4" t="s">
        <v>892</v>
      </c>
      <c r="K199" s="5" t="s">
        <v>7</v>
      </c>
      <c r="L199" s="4" t="s">
        <v>893</v>
      </c>
      <c r="M199" s="5" t="s">
        <v>7</v>
      </c>
      <c r="N199" s="4" t="s">
        <v>894</v>
      </c>
      <c r="O199" s="5" t="s">
        <v>7</v>
      </c>
      <c r="P199" s="4" t="s">
        <v>703</v>
      </c>
      <c r="Q199" s="5" t="s">
        <v>703</v>
      </c>
      <c r="R199" s="4" t="s">
        <v>713</v>
      </c>
      <c r="S199" s="5" t="s">
        <v>7</v>
      </c>
      <c r="T199" s="4" t="s">
        <v>895</v>
      </c>
      <c r="U199" s="5" t="s">
        <v>7</v>
      </c>
      <c r="V199" s="4" t="s">
        <v>703</v>
      </c>
      <c r="W199" s="5" t="s">
        <v>703</v>
      </c>
      <c r="X199" s="4" t="s">
        <v>713</v>
      </c>
      <c r="Y199" s="5" t="s">
        <v>7</v>
      </c>
      <c r="Z199" s="4" t="s">
        <v>896</v>
      </c>
      <c r="AA199" s="5" t="s">
        <v>7</v>
      </c>
      <c r="AB19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26721546</v>
      </c>
      <c r="AC199" s="8" t="str">
        <f>IF(NOT(AND(ISNUMBER(VALUE(prodcom_data[[#This Row],[PRODQNT - EU27_2020 - 2019 - amount]])), ISNUMBER(VALUE(prodcom_data[[#This Row],[IMPQNT - EU27_2020 - 2019 - amount]])))), "secrets", "")</f>
        <v/>
      </c>
      <c r="AD19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30251837</v>
      </c>
      <c r="AE199" s="8" t="str">
        <f>IF(NOT(AND(ISNUMBER(VALUE(prodcom_data[[#This Row],[PRODQNT - EU27_2020 - 2022 - amount]])), ISNUMBER(VALUE(prodcom_data[[#This Row],[IMPQNT - EU27_2020 - 2022 - amount]])))), "secrets", "")</f>
        <v/>
      </c>
      <c r="AF199" s="7">
        <f>_xlfn.LET(_xlpm.production_amount, VALUE(prodcom_data[[#This Row],[PRODQNT - FR - 2019 - amount]]), IF(ISNUMBER(_xlpm.production_amount), _xlpm.production_amount, 0))+_xlfn.LET(_xlpm.import_amount, VALUE(prodcom_data[[#This Row],[IMPQNT - FR - 2019 - amount]]), IF(ISNUMBER(_xlpm.import_amount), _xlpm.import_amount, 0))</f>
        <v>2922500</v>
      </c>
      <c r="AG199" s="8" t="str">
        <f>IF(NOT(AND(ISNUMBER(VALUE(prodcom_data[[#This Row],[PRODQNT - FR - 2019 - amount]])), ISNUMBER(VALUE(prodcom_data[[#This Row],[IMPQNT - FR - 2019 - amount]])))), "secrets", "")</f>
        <v>secrets</v>
      </c>
      <c r="AH199" s="7">
        <f>_xlfn.LET(_xlpm.production_amount, VALUE(prodcom_data[[#This Row],[PRODQNT - FR - 2022 - amount]]), IF(ISNUMBER(_xlpm.production_amount), _xlpm.production_amount, 0))+_xlfn.LET(_xlpm.import_amount, VALUE(prodcom_data[[#This Row],[IMPQNT - FR - 2022 - amount]]), IF(ISNUMBER(_xlpm.import_amount), _xlpm.import_amount, 0))</f>
        <v>2143413</v>
      </c>
      <c r="AI199" s="8" t="str">
        <f>IF(NOT(AND(ISNUMBER(VALUE(prodcom_data[[#This Row],[PRODQNT - FR - 2022 - amount]])), ISNUMBER(VALUE(prodcom_data[[#This Row],[IMPQNT - FR - 2022 - amount]])))), "secrets", "")</f>
        <v>secrets</v>
      </c>
      <c r="AJ19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0.99998687682999221</v>
      </c>
      <c r="AK199" s="10" t="s">
        <v>2642</v>
      </c>
    </row>
    <row r="200" spans="1:37" x14ac:dyDescent="0.3">
      <c r="A200" s="4" t="s">
        <v>3</v>
      </c>
      <c r="B200" s="4" t="s">
        <v>257</v>
      </c>
      <c r="C200" s="4" t="s">
        <v>258</v>
      </c>
      <c r="D200" s="4" t="s">
        <v>259</v>
      </c>
      <c r="E200" s="5" t="s">
        <v>7</v>
      </c>
      <c r="F200" s="4" t="s">
        <v>2611</v>
      </c>
      <c r="G200" s="5" t="s">
        <v>7</v>
      </c>
      <c r="H200" s="4" t="s">
        <v>2611</v>
      </c>
      <c r="I200" s="5" t="s">
        <v>7</v>
      </c>
      <c r="J200" s="4" t="s">
        <v>392</v>
      </c>
      <c r="K200" s="5" t="s">
        <v>7</v>
      </c>
      <c r="L200" s="4" t="s">
        <v>2611</v>
      </c>
      <c r="M200" s="5" t="s">
        <v>7</v>
      </c>
      <c r="N200" s="4" t="s">
        <v>2611</v>
      </c>
      <c r="O200" s="5" t="s">
        <v>7</v>
      </c>
      <c r="P200" s="4" t="s">
        <v>713</v>
      </c>
      <c r="Q200" s="5" t="s">
        <v>7</v>
      </c>
      <c r="R200" s="4" t="s">
        <v>2611</v>
      </c>
      <c r="S200" s="5" t="s">
        <v>7</v>
      </c>
      <c r="T200" s="4" t="s">
        <v>2611</v>
      </c>
      <c r="U200" s="5" t="s">
        <v>7</v>
      </c>
      <c r="V200" s="4" t="s">
        <v>713</v>
      </c>
      <c r="W200" s="5" t="s">
        <v>7</v>
      </c>
      <c r="X200" s="4" t="s">
        <v>2611</v>
      </c>
      <c r="Y200" s="5" t="s">
        <v>7</v>
      </c>
      <c r="Z200" s="4" t="s">
        <v>2611</v>
      </c>
      <c r="AA200" s="5" t="s">
        <v>7</v>
      </c>
      <c r="AB20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150000000</v>
      </c>
      <c r="AC200" s="8" t="str">
        <f>IF(NOT(AND(ISNUMBER(VALUE(prodcom_data[[#This Row],[PRODQNT - EU27_2020 - 2019 - amount]])), ISNUMBER(VALUE(prodcom_data[[#This Row],[IMPQNT - EU27_2020 - 2019 - amount]])))), "secrets", "")</f>
        <v>secrets</v>
      </c>
      <c r="AD20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30000000</v>
      </c>
      <c r="AE200" s="8" t="str">
        <f>IF(NOT(AND(ISNUMBER(VALUE(prodcom_data[[#This Row],[PRODQNT - EU27_2020 - 2022 - amount]])), ISNUMBER(VALUE(prodcom_data[[#This Row],[IMPQNT - EU27_2020 - 2022 - amount]])))), "secrets", "")</f>
        <v>secrets</v>
      </c>
      <c r="AF200"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00" s="8" t="str">
        <f>IF(NOT(AND(ISNUMBER(VALUE(prodcom_data[[#This Row],[PRODQNT - FR - 2019 - amount]])), ISNUMBER(VALUE(prodcom_data[[#This Row],[IMPQNT - FR - 2019 - amount]])))), "secrets", "")</f>
        <v>secrets</v>
      </c>
      <c r="AH200"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00" s="8" t="str">
        <f>IF(NOT(AND(ISNUMBER(VALUE(prodcom_data[[#This Row],[PRODQNT - FR - 2022 - amount]])), ISNUMBER(VALUE(prodcom_data[[#This Row],[IMPQNT - FR - 2022 - amount]])))), "secrets", "")</f>
        <v>secrets</v>
      </c>
      <c r="AJ20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200" s="10" t="s">
        <v>2642</v>
      </c>
    </row>
    <row r="201" spans="1:37" x14ac:dyDescent="0.3">
      <c r="A201" s="4" t="s">
        <v>3</v>
      </c>
      <c r="B201" s="4" t="s">
        <v>399</v>
      </c>
      <c r="C201" s="4" t="s">
        <v>400</v>
      </c>
      <c r="D201" s="4" t="s">
        <v>401</v>
      </c>
      <c r="E201" s="5" t="s">
        <v>7</v>
      </c>
      <c r="F201" s="4" t="s">
        <v>1789</v>
      </c>
      <c r="G201" s="5" t="s">
        <v>7</v>
      </c>
      <c r="H201" s="4" t="s">
        <v>1790</v>
      </c>
      <c r="I201" s="5" t="s">
        <v>7</v>
      </c>
      <c r="J201" s="4" t="s">
        <v>1791</v>
      </c>
      <c r="K201" s="5" t="s">
        <v>7</v>
      </c>
      <c r="L201" s="4" t="s">
        <v>1792</v>
      </c>
      <c r="M201" s="5" t="s">
        <v>7</v>
      </c>
      <c r="N201" s="4" t="s">
        <v>1793</v>
      </c>
      <c r="O201" s="5" t="s">
        <v>7</v>
      </c>
      <c r="P201" s="4" t="s">
        <v>2611</v>
      </c>
      <c r="Q201" s="5" t="s">
        <v>7</v>
      </c>
      <c r="R201" s="4" t="s">
        <v>1794</v>
      </c>
      <c r="S201" s="5" t="s">
        <v>7</v>
      </c>
      <c r="T201" s="4" t="s">
        <v>1795</v>
      </c>
      <c r="U201" s="5" t="s">
        <v>7</v>
      </c>
      <c r="V201" s="4" t="s">
        <v>1796</v>
      </c>
      <c r="W201" s="5" t="s">
        <v>7</v>
      </c>
      <c r="X201" s="4" t="s">
        <v>1797</v>
      </c>
      <c r="Y201" s="5" t="s">
        <v>7</v>
      </c>
      <c r="Z201" s="4" t="s">
        <v>1798</v>
      </c>
      <c r="AA201" s="5" t="s">
        <v>7</v>
      </c>
      <c r="AB20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36590568</v>
      </c>
      <c r="AC201" s="8" t="str">
        <f>IF(NOT(AND(ISNUMBER(VALUE(prodcom_data[[#This Row],[PRODQNT - EU27_2020 - 2019 - amount]])), ISNUMBER(VALUE(prodcom_data[[#This Row],[IMPQNT - EU27_2020 - 2019 - amount]])))), "secrets", "")</f>
        <v/>
      </c>
      <c r="AD20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27447829</v>
      </c>
      <c r="AE201" s="8" t="str">
        <f>IF(NOT(AND(ISNUMBER(VALUE(prodcom_data[[#This Row],[PRODQNT - EU27_2020 - 2022 - amount]])), ISNUMBER(VALUE(prodcom_data[[#This Row],[IMPQNT - EU27_2020 - 2022 - amount]])))), "secrets", "")</f>
        <v/>
      </c>
      <c r="AF201" s="7">
        <f>_xlfn.LET(_xlpm.production_amount, VALUE(prodcom_data[[#This Row],[PRODQNT - FR - 2019 - amount]]), IF(ISNUMBER(_xlpm.production_amount), _xlpm.production_amount, 0))+_xlfn.LET(_xlpm.import_amount, VALUE(prodcom_data[[#This Row],[IMPQNT - FR - 2019 - amount]]), IF(ISNUMBER(_xlpm.import_amount), _xlpm.import_amount, 0))</f>
        <v>1626200</v>
      </c>
      <c r="AG201" s="8" t="str">
        <f>IF(NOT(AND(ISNUMBER(VALUE(prodcom_data[[#This Row],[PRODQNT - FR - 2019 - amount]])), ISNUMBER(VALUE(prodcom_data[[#This Row],[IMPQNT - FR - 2019 - amount]])))), "secrets", "")</f>
        <v>secrets</v>
      </c>
      <c r="AH201" s="7">
        <f>_xlfn.LET(_xlpm.production_amount, VALUE(prodcom_data[[#This Row],[PRODQNT - FR - 2022 - amount]]), IF(ISNUMBER(_xlpm.production_amount), _xlpm.production_amount, 0))+_xlfn.LET(_xlpm.import_amount, VALUE(prodcom_data[[#This Row],[IMPQNT - FR - 2022 - amount]]), IF(ISNUMBER(_xlpm.import_amount), _xlpm.import_amount, 0))</f>
        <v>1650997</v>
      </c>
      <c r="AI201" s="8" t="str">
        <f>IF(NOT(AND(ISNUMBER(VALUE(prodcom_data[[#This Row],[PRODQNT - FR - 2022 - amount]])), ISNUMBER(VALUE(prodcom_data[[#This Row],[IMPQNT - FR - 2022 - amount]])))), "secrets", "")</f>
        <v/>
      </c>
      <c r="AJ20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0.70789482111681767</v>
      </c>
      <c r="AK201" s="10" t="s">
        <v>2642</v>
      </c>
    </row>
    <row r="202" spans="1:37" x14ac:dyDescent="0.3">
      <c r="A202" s="4" t="s">
        <v>3</v>
      </c>
      <c r="B202" s="4" t="s">
        <v>166</v>
      </c>
      <c r="C202" s="4" t="s">
        <v>167</v>
      </c>
      <c r="D202" s="4" t="s">
        <v>168</v>
      </c>
      <c r="E202" s="5" t="s">
        <v>7</v>
      </c>
      <c r="F202" s="4" t="s">
        <v>1167</v>
      </c>
      <c r="G202" s="5" t="s">
        <v>7</v>
      </c>
      <c r="H202" s="4" t="s">
        <v>1168</v>
      </c>
      <c r="I202" s="5" t="s">
        <v>7</v>
      </c>
      <c r="J202" s="4" t="s">
        <v>1169</v>
      </c>
      <c r="K202" s="5" t="s">
        <v>7</v>
      </c>
      <c r="L202" s="4" t="s">
        <v>1170</v>
      </c>
      <c r="M202" s="5" t="s">
        <v>7</v>
      </c>
      <c r="N202" s="4" t="s">
        <v>1171</v>
      </c>
      <c r="O202" s="5" t="s">
        <v>7</v>
      </c>
      <c r="P202" s="4" t="s">
        <v>2611</v>
      </c>
      <c r="Q202" s="5" t="s">
        <v>7</v>
      </c>
      <c r="R202" s="4" t="s">
        <v>1172</v>
      </c>
      <c r="S202" s="5" t="s">
        <v>7</v>
      </c>
      <c r="T202" s="4" t="s">
        <v>1173</v>
      </c>
      <c r="U202" s="5" t="s">
        <v>7</v>
      </c>
      <c r="V202" s="4" t="s">
        <v>2611</v>
      </c>
      <c r="W202" s="5" t="s">
        <v>7</v>
      </c>
      <c r="X202" s="4" t="s">
        <v>1174</v>
      </c>
      <c r="Y202" s="5" t="s">
        <v>7</v>
      </c>
      <c r="Z202" s="4" t="s">
        <v>1175</v>
      </c>
      <c r="AA202" s="5" t="s">
        <v>7</v>
      </c>
      <c r="AB20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31824228</v>
      </c>
      <c r="AC202" s="8" t="str">
        <f>IF(NOT(AND(ISNUMBER(VALUE(prodcom_data[[#This Row],[PRODQNT - EU27_2020 - 2019 - amount]])), ISNUMBER(VALUE(prodcom_data[[#This Row],[IMPQNT - EU27_2020 - 2019 - amount]])))), "secrets", "")</f>
        <v/>
      </c>
      <c r="AD20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24153517</v>
      </c>
      <c r="AE202" s="8" t="str">
        <f>IF(NOT(AND(ISNUMBER(VALUE(prodcom_data[[#This Row],[PRODQNT - EU27_2020 - 2022 - amount]])), ISNUMBER(VALUE(prodcom_data[[#This Row],[IMPQNT - EU27_2020 - 2022 - amount]])))), "secrets", "")</f>
        <v/>
      </c>
      <c r="AF202" s="7">
        <f>_xlfn.LET(_xlpm.production_amount, VALUE(prodcom_data[[#This Row],[PRODQNT - FR - 2019 - amount]]), IF(ISNUMBER(_xlpm.production_amount), _xlpm.production_amount, 0))+_xlfn.LET(_xlpm.import_amount, VALUE(prodcom_data[[#This Row],[IMPQNT - FR - 2019 - amount]]), IF(ISNUMBER(_xlpm.import_amount), _xlpm.import_amount, 0))</f>
        <v>2113400</v>
      </c>
      <c r="AG202" s="8" t="str">
        <f>IF(NOT(AND(ISNUMBER(VALUE(prodcom_data[[#This Row],[PRODQNT - FR - 2019 - amount]])), ISNUMBER(VALUE(prodcom_data[[#This Row],[IMPQNT - FR - 2019 - amount]])))), "secrets", "")</f>
        <v>secrets</v>
      </c>
      <c r="AH202" s="7">
        <f>_xlfn.LET(_xlpm.production_amount, VALUE(prodcom_data[[#This Row],[PRODQNT - FR - 2022 - amount]]), IF(ISNUMBER(_xlpm.production_amount), _xlpm.production_amount, 0))+_xlfn.LET(_xlpm.import_amount, VALUE(prodcom_data[[#This Row],[IMPQNT - FR - 2022 - amount]]), IF(ISNUMBER(_xlpm.import_amount), _xlpm.import_amount, 0))</f>
        <v>1566897</v>
      </c>
      <c r="AI202" s="8" t="str">
        <f>IF(NOT(AND(ISNUMBER(VALUE(prodcom_data[[#This Row],[PRODQNT - FR - 2022 - amount]])), ISNUMBER(VALUE(prodcom_data[[#This Row],[IMPQNT - FR - 2022 - amount]])))), "secrets", "")</f>
        <v>secrets</v>
      </c>
      <c r="AJ20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0.4140183808428396</v>
      </c>
      <c r="AK202" s="10" t="s">
        <v>2642</v>
      </c>
    </row>
    <row r="203" spans="1:37" x14ac:dyDescent="0.3">
      <c r="A203" s="4" t="s">
        <v>3</v>
      </c>
      <c r="B203" s="4" t="s">
        <v>335</v>
      </c>
      <c r="C203" s="4" t="s">
        <v>336</v>
      </c>
      <c r="D203" s="4" t="s">
        <v>337</v>
      </c>
      <c r="E203" s="5" t="s">
        <v>7</v>
      </c>
      <c r="F203" s="4" t="s">
        <v>1617</v>
      </c>
      <c r="G203" s="5" t="s">
        <v>7</v>
      </c>
      <c r="H203" s="4" t="s">
        <v>1618</v>
      </c>
      <c r="I203" s="5" t="s">
        <v>7</v>
      </c>
      <c r="J203" s="4" t="s">
        <v>1619</v>
      </c>
      <c r="K203" s="5" t="s">
        <v>7</v>
      </c>
      <c r="L203" s="4" t="s">
        <v>1620</v>
      </c>
      <c r="M203" s="5" t="s">
        <v>7</v>
      </c>
      <c r="N203" s="4" t="s">
        <v>1621</v>
      </c>
      <c r="O203" s="5" t="s">
        <v>7</v>
      </c>
      <c r="P203" s="4" t="s">
        <v>713</v>
      </c>
      <c r="Q203" s="5" t="s">
        <v>7</v>
      </c>
      <c r="R203" s="4" t="s">
        <v>819</v>
      </c>
      <c r="S203" s="5" t="s">
        <v>7</v>
      </c>
      <c r="T203" s="4" t="s">
        <v>1622</v>
      </c>
      <c r="U203" s="5" t="s">
        <v>7</v>
      </c>
      <c r="V203" s="4" t="s">
        <v>713</v>
      </c>
      <c r="W203" s="5" t="s">
        <v>7</v>
      </c>
      <c r="X203" s="4" t="s">
        <v>1623</v>
      </c>
      <c r="Y203" s="5" t="s">
        <v>7</v>
      </c>
      <c r="Z203" s="4" t="s">
        <v>1624</v>
      </c>
      <c r="AA203" s="5" t="s">
        <v>7</v>
      </c>
      <c r="AB20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16728240</v>
      </c>
      <c r="AC203" s="8" t="str">
        <f>IF(NOT(AND(ISNUMBER(VALUE(prodcom_data[[#This Row],[PRODQNT - EU27_2020 - 2019 - amount]])), ISNUMBER(VALUE(prodcom_data[[#This Row],[IMPQNT - EU27_2020 - 2019 - amount]])))), "secrets", "")</f>
        <v/>
      </c>
      <c r="AD20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23461305</v>
      </c>
      <c r="AE203" s="8" t="str">
        <f>IF(NOT(AND(ISNUMBER(VALUE(prodcom_data[[#This Row],[PRODQNT - EU27_2020 - 2022 - amount]])), ISNUMBER(VALUE(prodcom_data[[#This Row],[IMPQNT - EU27_2020 - 2022 - amount]])))), "secrets", "")</f>
        <v/>
      </c>
      <c r="AF203" s="7">
        <f>_xlfn.LET(_xlpm.production_amount, VALUE(prodcom_data[[#This Row],[PRODQNT - FR - 2019 - amount]]), IF(ISNUMBER(_xlpm.production_amount), _xlpm.production_amount, 0))+_xlfn.LET(_xlpm.import_amount, VALUE(prodcom_data[[#This Row],[IMPQNT - FR - 2019 - amount]]), IF(ISNUMBER(_xlpm.import_amount), _xlpm.import_amount, 0))</f>
        <v>9179300</v>
      </c>
      <c r="AG203" s="8" t="str">
        <f>IF(NOT(AND(ISNUMBER(VALUE(prodcom_data[[#This Row],[PRODQNT - FR - 2019 - amount]])), ISNUMBER(VALUE(prodcom_data[[#This Row],[IMPQNT - FR - 2019 - amount]])))), "secrets", "")</f>
        <v/>
      </c>
      <c r="AH203" s="7">
        <f>_xlfn.LET(_xlpm.production_amount, VALUE(prodcom_data[[#This Row],[PRODQNT - FR - 2022 - amount]]), IF(ISNUMBER(_xlpm.production_amount), _xlpm.production_amount, 0))+_xlfn.LET(_xlpm.import_amount, VALUE(prodcom_data[[#This Row],[IMPQNT - FR - 2022 - amount]]), IF(ISNUMBER(_xlpm.import_amount), _xlpm.import_amount, 0))</f>
        <v>9102734</v>
      </c>
      <c r="AI203" s="8" t="str">
        <f>IF(NOT(AND(ISNUMBER(VALUE(prodcom_data[[#This Row],[PRODQNT - FR - 2022 - amount]])), ISNUMBER(VALUE(prodcom_data[[#This Row],[IMPQNT - FR - 2022 - amount]])))), "secrets", "")</f>
        <v/>
      </c>
      <c r="AJ20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0.82408033142231429</v>
      </c>
      <c r="AK203" s="10" t="s">
        <v>2642</v>
      </c>
    </row>
    <row r="204" spans="1:37" x14ac:dyDescent="0.3">
      <c r="A204" s="4" t="s">
        <v>3</v>
      </c>
      <c r="B204" s="4" t="s">
        <v>296</v>
      </c>
      <c r="C204" s="4" t="s">
        <v>297</v>
      </c>
      <c r="D204" s="4" t="s">
        <v>298</v>
      </c>
      <c r="E204" s="5" t="s">
        <v>7</v>
      </c>
      <c r="F204" s="4" t="s">
        <v>1514</v>
      </c>
      <c r="G204" s="5" t="s">
        <v>7</v>
      </c>
      <c r="H204" s="4" t="s">
        <v>1515</v>
      </c>
      <c r="I204" s="5" t="s">
        <v>7</v>
      </c>
      <c r="J204" s="4" t="s">
        <v>1516</v>
      </c>
      <c r="K204" s="5" t="s">
        <v>7</v>
      </c>
      <c r="L204" s="4" t="s">
        <v>1517</v>
      </c>
      <c r="M204" s="5" t="s">
        <v>7</v>
      </c>
      <c r="N204" s="4" t="s">
        <v>1518</v>
      </c>
      <c r="O204" s="5" t="s">
        <v>7</v>
      </c>
      <c r="P204" s="4" t="s">
        <v>2611</v>
      </c>
      <c r="Q204" s="5" t="s">
        <v>7</v>
      </c>
      <c r="R204" s="4" t="s">
        <v>1519</v>
      </c>
      <c r="S204" s="5" t="s">
        <v>7</v>
      </c>
      <c r="T204" s="4" t="s">
        <v>1520</v>
      </c>
      <c r="U204" s="5" t="s">
        <v>7</v>
      </c>
      <c r="V204" s="4" t="s">
        <v>2611</v>
      </c>
      <c r="W204" s="5" t="s">
        <v>7</v>
      </c>
      <c r="X204" s="4" t="s">
        <v>1521</v>
      </c>
      <c r="Y204" s="5" t="s">
        <v>7</v>
      </c>
      <c r="Z204" s="4" t="s">
        <v>1522</v>
      </c>
      <c r="AA204" s="5" t="s">
        <v>7</v>
      </c>
      <c r="AB20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21521675</v>
      </c>
      <c r="AC204" s="8" t="str">
        <f>IF(NOT(AND(ISNUMBER(VALUE(prodcom_data[[#This Row],[PRODQNT - EU27_2020 - 2019 - amount]])), ISNUMBER(VALUE(prodcom_data[[#This Row],[IMPQNT - EU27_2020 - 2019 - amount]])))), "secrets", "")</f>
        <v/>
      </c>
      <c r="AD20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22947408</v>
      </c>
      <c r="AE204" s="8" t="str">
        <f>IF(NOT(AND(ISNUMBER(VALUE(prodcom_data[[#This Row],[PRODQNT - EU27_2020 - 2022 - amount]])), ISNUMBER(VALUE(prodcom_data[[#This Row],[IMPQNT - EU27_2020 - 2022 - amount]])))), "secrets", "")</f>
        <v/>
      </c>
      <c r="AF204" s="7">
        <f>_xlfn.LET(_xlpm.production_amount, VALUE(prodcom_data[[#This Row],[PRODQNT - FR - 2019 - amount]]), IF(ISNUMBER(_xlpm.production_amount), _xlpm.production_amount, 0))+_xlfn.LET(_xlpm.import_amount, VALUE(prodcom_data[[#This Row],[IMPQNT - FR - 2019 - amount]]), IF(ISNUMBER(_xlpm.import_amount), _xlpm.import_amount, 0))</f>
        <v>286100</v>
      </c>
      <c r="AG204" s="8" t="str">
        <f>IF(NOT(AND(ISNUMBER(VALUE(prodcom_data[[#This Row],[PRODQNT - FR - 2019 - amount]])), ISNUMBER(VALUE(prodcom_data[[#This Row],[IMPQNT - FR - 2019 - amount]])))), "secrets", "")</f>
        <v>secrets</v>
      </c>
      <c r="AH204" s="7">
        <f>_xlfn.LET(_xlpm.production_amount, VALUE(prodcom_data[[#This Row],[PRODQNT - FR - 2022 - amount]]), IF(ISNUMBER(_xlpm.production_amount), _xlpm.production_amount, 0))+_xlfn.LET(_xlpm.import_amount, VALUE(prodcom_data[[#This Row],[IMPQNT - FR - 2022 - amount]]), IF(ISNUMBER(_xlpm.import_amount), _xlpm.import_amount, 0))</f>
        <v>196907</v>
      </c>
      <c r="AI204" s="8" t="str">
        <f>IF(NOT(AND(ISNUMBER(VALUE(prodcom_data[[#This Row],[PRODQNT - FR - 2022 - amount]])), ISNUMBER(VALUE(prodcom_data[[#This Row],[IMPQNT - FR - 2022 - amount]])))), "secrets", "")</f>
        <v>secrets</v>
      </c>
      <c r="AJ20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0.27454081088373905</v>
      </c>
      <c r="AK204" s="10" t="s">
        <v>2642</v>
      </c>
    </row>
    <row r="205" spans="1:37" x14ac:dyDescent="0.3">
      <c r="A205" s="4" t="s">
        <v>3</v>
      </c>
      <c r="B205" s="4" t="s">
        <v>440</v>
      </c>
      <c r="C205" s="4" t="s">
        <v>441</v>
      </c>
      <c r="D205" s="4" t="s">
        <v>442</v>
      </c>
      <c r="E205" s="5" t="s">
        <v>7</v>
      </c>
      <c r="F205" s="4" t="s">
        <v>2611</v>
      </c>
      <c r="G205" s="5" t="s">
        <v>7</v>
      </c>
      <c r="H205" s="4" t="s">
        <v>2611</v>
      </c>
      <c r="I205" s="5" t="s">
        <v>7</v>
      </c>
      <c r="J205" s="4" t="s">
        <v>1898</v>
      </c>
      <c r="K205" s="5" t="s">
        <v>7</v>
      </c>
      <c r="L205" s="4" t="s">
        <v>2611</v>
      </c>
      <c r="M205" s="5" t="s">
        <v>7</v>
      </c>
      <c r="N205" s="4" t="s">
        <v>2611</v>
      </c>
      <c r="O205" s="5" t="s">
        <v>7</v>
      </c>
      <c r="P205" s="4" t="s">
        <v>1899</v>
      </c>
      <c r="Q205" s="5" t="s">
        <v>7</v>
      </c>
      <c r="R205" s="4" t="s">
        <v>2611</v>
      </c>
      <c r="S205" s="5" t="s">
        <v>7</v>
      </c>
      <c r="T205" s="4" t="s">
        <v>2611</v>
      </c>
      <c r="U205" s="5" t="s">
        <v>7</v>
      </c>
      <c r="V205" s="4" t="s">
        <v>1900</v>
      </c>
      <c r="W205" s="5" t="s">
        <v>7</v>
      </c>
      <c r="X205" s="4" t="s">
        <v>2611</v>
      </c>
      <c r="Y205" s="5" t="s">
        <v>7</v>
      </c>
      <c r="Z205" s="4" t="s">
        <v>2611</v>
      </c>
      <c r="AA205" s="5" t="s">
        <v>7</v>
      </c>
      <c r="AB20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41680000</v>
      </c>
      <c r="AC205" s="8" t="str">
        <f>IF(NOT(AND(ISNUMBER(VALUE(prodcom_data[[#This Row],[PRODQNT - EU27_2020 - 2019 - amount]])), ISNUMBER(VALUE(prodcom_data[[#This Row],[IMPQNT - EU27_2020 - 2019 - amount]])))), "secrets", "")</f>
        <v>secrets</v>
      </c>
      <c r="AD20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20000000</v>
      </c>
      <c r="AE205" s="8" t="str">
        <f>IF(NOT(AND(ISNUMBER(VALUE(prodcom_data[[#This Row],[PRODQNT - EU27_2020 - 2022 - amount]])), ISNUMBER(VALUE(prodcom_data[[#This Row],[IMPQNT - EU27_2020 - 2022 - amount]])))), "secrets", "")</f>
        <v>secrets</v>
      </c>
      <c r="AF205" s="7">
        <f>_xlfn.LET(_xlpm.production_amount, VALUE(prodcom_data[[#This Row],[PRODQNT - FR - 2019 - amount]]), IF(ISNUMBER(_xlpm.production_amount), _xlpm.production_amount, 0))+_xlfn.LET(_xlpm.import_amount, VALUE(prodcom_data[[#This Row],[IMPQNT - FR - 2019 - amount]]), IF(ISNUMBER(_xlpm.import_amount), _xlpm.import_amount, 0))</f>
        <v>290143</v>
      </c>
      <c r="AG205" s="8" t="str">
        <f>IF(NOT(AND(ISNUMBER(VALUE(prodcom_data[[#This Row],[PRODQNT - FR - 2019 - amount]])), ISNUMBER(VALUE(prodcom_data[[#This Row],[IMPQNT - FR - 2019 - amount]])))), "secrets", "")</f>
        <v>secrets</v>
      </c>
      <c r="AH205" s="7">
        <f>_xlfn.LET(_xlpm.production_amount, VALUE(prodcom_data[[#This Row],[PRODQNT - FR - 2022 - amount]]), IF(ISNUMBER(_xlpm.production_amount), _xlpm.production_amount, 0))+_xlfn.LET(_xlpm.import_amount, VALUE(prodcom_data[[#This Row],[IMPQNT - FR - 2022 - amount]]), IF(ISNUMBER(_xlpm.import_amount), _xlpm.import_amount, 0))</f>
        <v>329800</v>
      </c>
      <c r="AI205" s="8" t="str">
        <f>IF(NOT(AND(ISNUMBER(VALUE(prodcom_data[[#This Row],[PRODQNT - FR - 2022 - amount]])), ISNUMBER(VALUE(prodcom_data[[#This Row],[IMPQNT - FR - 2022 - amount]])))), "secrets", "")</f>
        <v>secrets</v>
      </c>
      <c r="AJ20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205" s="10" t="s">
        <v>2642</v>
      </c>
    </row>
    <row r="206" spans="1:37" x14ac:dyDescent="0.3">
      <c r="A206" s="4" t="s">
        <v>3</v>
      </c>
      <c r="B206" s="4" t="s">
        <v>340</v>
      </c>
      <c r="C206" s="4" t="s">
        <v>341</v>
      </c>
      <c r="D206" s="4" t="s">
        <v>342</v>
      </c>
      <c r="E206" s="5" t="s">
        <v>7</v>
      </c>
      <c r="F206" s="4" t="s">
        <v>1634</v>
      </c>
      <c r="G206" s="5" t="s">
        <v>7</v>
      </c>
      <c r="H206" s="4" t="s">
        <v>1635</v>
      </c>
      <c r="I206" s="5" t="s">
        <v>7</v>
      </c>
      <c r="J206" s="4" t="s">
        <v>1636</v>
      </c>
      <c r="K206" s="5" t="s">
        <v>7</v>
      </c>
      <c r="L206" s="4" t="s">
        <v>1637</v>
      </c>
      <c r="M206" s="5" t="s">
        <v>7</v>
      </c>
      <c r="N206" s="4" t="s">
        <v>1638</v>
      </c>
      <c r="O206" s="5" t="s">
        <v>7</v>
      </c>
      <c r="P206" s="4" t="s">
        <v>2611</v>
      </c>
      <c r="Q206" s="5" t="s">
        <v>7</v>
      </c>
      <c r="R206" s="4" t="s">
        <v>1639</v>
      </c>
      <c r="S206" s="5" t="s">
        <v>7</v>
      </c>
      <c r="T206" s="4" t="s">
        <v>1640</v>
      </c>
      <c r="U206" s="5" t="s">
        <v>7</v>
      </c>
      <c r="V206" s="4" t="s">
        <v>2611</v>
      </c>
      <c r="W206" s="5" t="s">
        <v>7</v>
      </c>
      <c r="X206" s="4" t="s">
        <v>1641</v>
      </c>
      <c r="Y206" s="5" t="s">
        <v>7</v>
      </c>
      <c r="Z206" s="4" t="s">
        <v>1642</v>
      </c>
      <c r="AA206" s="5" t="s">
        <v>7</v>
      </c>
      <c r="AB20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22045194</v>
      </c>
      <c r="AC206" s="8" t="str">
        <f>IF(NOT(AND(ISNUMBER(VALUE(prodcom_data[[#This Row],[PRODQNT - EU27_2020 - 2019 - amount]])), ISNUMBER(VALUE(prodcom_data[[#This Row],[IMPQNT - EU27_2020 - 2019 - amount]])))), "secrets", "")</f>
        <v/>
      </c>
      <c r="AD20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19896212</v>
      </c>
      <c r="AE206" s="8" t="str">
        <f>IF(NOT(AND(ISNUMBER(VALUE(prodcom_data[[#This Row],[PRODQNT - EU27_2020 - 2022 - amount]])), ISNUMBER(VALUE(prodcom_data[[#This Row],[IMPQNT - EU27_2020 - 2022 - amount]])))), "secrets", "")</f>
        <v/>
      </c>
      <c r="AF206" s="7">
        <f>_xlfn.LET(_xlpm.production_amount, VALUE(prodcom_data[[#This Row],[PRODQNT - FR - 2019 - amount]]), IF(ISNUMBER(_xlpm.production_amount), _xlpm.production_amount, 0))+_xlfn.LET(_xlpm.import_amount, VALUE(prodcom_data[[#This Row],[IMPQNT - FR - 2019 - amount]]), IF(ISNUMBER(_xlpm.import_amount), _xlpm.import_amount, 0))</f>
        <v>1949400</v>
      </c>
      <c r="AG206" s="8" t="str">
        <f>IF(NOT(AND(ISNUMBER(VALUE(prodcom_data[[#This Row],[PRODQNT - FR - 2019 - amount]])), ISNUMBER(VALUE(prodcom_data[[#This Row],[IMPQNT - FR - 2019 - amount]])))), "secrets", "")</f>
        <v>secrets</v>
      </c>
      <c r="AH206" s="7">
        <f>_xlfn.LET(_xlpm.production_amount, VALUE(prodcom_data[[#This Row],[PRODQNT - FR - 2022 - amount]]), IF(ISNUMBER(_xlpm.production_amount), _xlpm.production_amount, 0))+_xlfn.LET(_xlpm.import_amount, VALUE(prodcom_data[[#This Row],[IMPQNT - FR - 2022 - amount]]), IF(ISNUMBER(_xlpm.import_amount), _xlpm.import_amount, 0))</f>
        <v>1152113</v>
      </c>
      <c r="AI206" s="8" t="str">
        <f>IF(NOT(AND(ISNUMBER(VALUE(prodcom_data[[#This Row],[PRODQNT - FR - 2022 - amount]])), ISNUMBER(VALUE(prodcom_data[[#This Row],[IMPQNT - FR - 2022 - amount]])))), "secrets", "")</f>
        <v>secrets</v>
      </c>
      <c r="AJ20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8.3721815991908408E-2</v>
      </c>
      <c r="AK206" s="10" t="s">
        <v>2642</v>
      </c>
    </row>
    <row r="207" spans="1:37" x14ac:dyDescent="0.3">
      <c r="A207" s="4" t="s">
        <v>3</v>
      </c>
      <c r="B207" s="4" t="s">
        <v>489</v>
      </c>
      <c r="C207" s="4" t="s">
        <v>490</v>
      </c>
      <c r="D207" s="4" t="s">
        <v>491</v>
      </c>
      <c r="E207" s="5" t="s">
        <v>7</v>
      </c>
      <c r="F207" s="4" t="s">
        <v>2037</v>
      </c>
      <c r="G207" s="5" t="s">
        <v>7</v>
      </c>
      <c r="H207" s="4" t="s">
        <v>2038</v>
      </c>
      <c r="I207" s="5" t="s">
        <v>7</v>
      </c>
      <c r="J207" s="4" t="s">
        <v>2039</v>
      </c>
      <c r="K207" s="5" t="s">
        <v>7</v>
      </c>
      <c r="L207" s="4" t="s">
        <v>2040</v>
      </c>
      <c r="M207" s="5" t="s">
        <v>7</v>
      </c>
      <c r="N207" s="4" t="s">
        <v>2041</v>
      </c>
      <c r="O207" s="5" t="s">
        <v>7</v>
      </c>
      <c r="P207" s="4" t="s">
        <v>2611</v>
      </c>
      <c r="Q207" s="5" t="s">
        <v>7</v>
      </c>
      <c r="R207" s="4" t="s">
        <v>2042</v>
      </c>
      <c r="S207" s="5" t="s">
        <v>7</v>
      </c>
      <c r="T207" s="4" t="s">
        <v>2043</v>
      </c>
      <c r="U207" s="5" t="s">
        <v>7</v>
      </c>
      <c r="V207" s="4" t="s">
        <v>2611</v>
      </c>
      <c r="W207" s="5" t="s">
        <v>7</v>
      </c>
      <c r="X207" s="4" t="s">
        <v>2044</v>
      </c>
      <c r="Y207" s="5" t="s">
        <v>7</v>
      </c>
      <c r="Z207" s="4" t="s">
        <v>2045</v>
      </c>
      <c r="AA207" s="5" t="s">
        <v>7</v>
      </c>
      <c r="AB20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14746190</v>
      </c>
      <c r="AC207" s="8" t="str">
        <f>IF(NOT(AND(ISNUMBER(VALUE(prodcom_data[[#This Row],[PRODQNT - EU27_2020 - 2019 - amount]])), ISNUMBER(VALUE(prodcom_data[[#This Row],[IMPQNT - EU27_2020 - 2019 - amount]])))), "secrets", "")</f>
        <v/>
      </c>
      <c r="AD20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19158874</v>
      </c>
      <c r="AE207" s="8" t="str">
        <f>IF(NOT(AND(ISNUMBER(VALUE(prodcom_data[[#This Row],[PRODQNT - EU27_2020 - 2022 - amount]])), ISNUMBER(VALUE(prodcom_data[[#This Row],[IMPQNT - EU27_2020 - 2022 - amount]])))), "secrets", "")</f>
        <v/>
      </c>
      <c r="AF207" s="7">
        <f>_xlfn.LET(_xlpm.production_amount, VALUE(prodcom_data[[#This Row],[PRODQNT - FR - 2019 - amount]]), IF(ISNUMBER(_xlpm.production_amount), _xlpm.production_amount, 0))+_xlfn.LET(_xlpm.import_amount, VALUE(prodcom_data[[#This Row],[IMPQNT - FR - 2019 - amount]]), IF(ISNUMBER(_xlpm.import_amount), _xlpm.import_amount, 0))</f>
        <v>375400</v>
      </c>
      <c r="AG207" s="8" t="str">
        <f>IF(NOT(AND(ISNUMBER(VALUE(prodcom_data[[#This Row],[PRODQNT - FR - 2019 - amount]])), ISNUMBER(VALUE(prodcom_data[[#This Row],[IMPQNT - FR - 2019 - amount]])))), "secrets", "")</f>
        <v>secrets</v>
      </c>
      <c r="AH207" s="7">
        <f>_xlfn.LET(_xlpm.production_amount, VALUE(prodcom_data[[#This Row],[PRODQNT - FR - 2022 - amount]]), IF(ISNUMBER(_xlpm.production_amount), _xlpm.production_amount, 0))+_xlfn.LET(_xlpm.import_amount, VALUE(prodcom_data[[#This Row],[IMPQNT - FR - 2022 - amount]]), IF(ISNUMBER(_xlpm.import_amount), _xlpm.import_amount, 0))</f>
        <v>981792</v>
      </c>
      <c r="AI207" s="8" t="str">
        <f>IF(NOT(AND(ISNUMBER(VALUE(prodcom_data[[#This Row],[PRODQNT - FR - 2022 - amount]])), ISNUMBER(VALUE(prodcom_data[[#This Row],[IMPQNT - FR - 2022 - amount]])))), "secrets", "")</f>
        <v>secrets</v>
      </c>
      <c r="AJ20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0.93951241602194369</v>
      </c>
      <c r="AK207" s="10" t="s">
        <v>2642</v>
      </c>
    </row>
    <row r="208" spans="1:37" x14ac:dyDescent="0.3">
      <c r="A208" s="4" t="s">
        <v>3</v>
      </c>
      <c r="B208" s="4" t="s">
        <v>404</v>
      </c>
      <c r="C208" s="4" t="s">
        <v>405</v>
      </c>
      <c r="D208" s="4" t="s">
        <v>406</v>
      </c>
      <c r="E208" s="5" t="s">
        <v>7</v>
      </c>
      <c r="F208" s="4" t="s">
        <v>1799</v>
      </c>
      <c r="G208" s="5" t="s">
        <v>7</v>
      </c>
      <c r="H208" s="4" t="s">
        <v>1800</v>
      </c>
      <c r="I208" s="5" t="s">
        <v>7</v>
      </c>
      <c r="J208" s="4" t="s">
        <v>1801</v>
      </c>
      <c r="K208" s="5" t="s">
        <v>7</v>
      </c>
      <c r="L208" s="4" t="s">
        <v>1802</v>
      </c>
      <c r="M208" s="5" t="s">
        <v>7</v>
      </c>
      <c r="N208" s="4" t="s">
        <v>1803</v>
      </c>
      <c r="O208" s="5" t="s">
        <v>7</v>
      </c>
      <c r="P208" s="4" t="s">
        <v>2611</v>
      </c>
      <c r="Q208" s="5" t="s">
        <v>7</v>
      </c>
      <c r="R208" s="4" t="s">
        <v>1804</v>
      </c>
      <c r="S208" s="5" t="s">
        <v>7</v>
      </c>
      <c r="T208" s="4" t="s">
        <v>1805</v>
      </c>
      <c r="U208" s="5" t="s">
        <v>7</v>
      </c>
      <c r="V208" s="4" t="s">
        <v>2611</v>
      </c>
      <c r="W208" s="5" t="s">
        <v>7</v>
      </c>
      <c r="X208" s="4" t="s">
        <v>1806</v>
      </c>
      <c r="Y208" s="5" t="s">
        <v>7</v>
      </c>
      <c r="Z208" s="4" t="s">
        <v>1807</v>
      </c>
      <c r="AA208" s="5" t="s">
        <v>7</v>
      </c>
      <c r="AB20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10393404</v>
      </c>
      <c r="AC208" s="8" t="str">
        <f>IF(NOT(AND(ISNUMBER(VALUE(prodcom_data[[#This Row],[PRODQNT - EU27_2020 - 2019 - amount]])), ISNUMBER(VALUE(prodcom_data[[#This Row],[IMPQNT - EU27_2020 - 2019 - amount]])))), "secrets", "")</f>
        <v/>
      </c>
      <c r="AD20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15115102</v>
      </c>
      <c r="AE208" s="8" t="str">
        <f>IF(NOT(AND(ISNUMBER(VALUE(prodcom_data[[#This Row],[PRODQNT - EU27_2020 - 2022 - amount]])), ISNUMBER(VALUE(prodcom_data[[#This Row],[IMPQNT - EU27_2020 - 2022 - amount]])))), "secrets", "")</f>
        <v/>
      </c>
      <c r="AF208" s="7">
        <f>_xlfn.LET(_xlpm.production_amount, VALUE(prodcom_data[[#This Row],[PRODQNT - FR - 2019 - amount]]), IF(ISNUMBER(_xlpm.production_amount), _xlpm.production_amount, 0))+_xlfn.LET(_xlpm.import_amount, VALUE(prodcom_data[[#This Row],[IMPQNT - FR - 2019 - amount]]), IF(ISNUMBER(_xlpm.import_amount), _xlpm.import_amount, 0))</f>
        <v>1878700</v>
      </c>
      <c r="AG208" s="8" t="str">
        <f>IF(NOT(AND(ISNUMBER(VALUE(prodcom_data[[#This Row],[PRODQNT - FR - 2019 - amount]])), ISNUMBER(VALUE(prodcom_data[[#This Row],[IMPQNT - FR - 2019 - amount]])))), "secrets", "")</f>
        <v>secrets</v>
      </c>
      <c r="AH208" s="7">
        <f>_xlfn.LET(_xlpm.production_amount, VALUE(prodcom_data[[#This Row],[PRODQNT - FR - 2022 - amount]]), IF(ISNUMBER(_xlpm.production_amount), _xlpm.production_amount, 0))+_xlfn.LET(_xlpm.import_amount, VALUE(prodcom_data[[#This Row],[IMPQNT - FR - 2022 - amount]]), IF(ISNUMBER(_xlpm.import_amount), _xlpm.import_amount, 0))</f>
        <v>2541394</v>
      </c>
      <c r="AI208" s="8" t="str">
        <f>IF(NOT(AND(ISNUMBER(VALUE(prodcom_data[[#This Row],[PRODQNT - FR - 2022 - amount]])), ISNUMBER(VALUE(prodcom_data[[#This Row],[IMPQNT - FR - 2022 - amount]])))), "secrets", "")</f>
        <v>secrets</v>
      </c>
      <c r="AJ20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0.48131339107073179</v>
      </c>
      <c r="AK208" s="10" t="s">
        <v>2642</v>
      </c>
    </row>
    <row r="209" spans="1:37" x14ac:dyDescent="0.3">
      <c r="A209" s="4" t="s">
        <v>3</v>
      </c>
      <c r="B209" s="4" t="s">
        <v>149</v>
      </c>
      <c r="C209" s="4" t="s">
        <v>150</v>
      </c>
      <c r="D209" s="4" t="s">
        <v>151</v>
      </c>
      <c r="E209" s="5" t="s">
        <v>7</v>
      </c>
      <c r="F209" s="4" t="s">
        <v>1116</v>
      </c>
      <c r="G209" s="5" t="s">
        <v>7</v>
      </c>
      <c r="H209" s="4" t="s">
        <v>1117</v>
      </c>
      <c r="I209" s="5" t="s">
        <v>7</v>
      </c>
      <c r="J209" s="4" t="s">
        <v>1066</v>
      </c>
      <c r="K209" s="5" t="s">
        <v>7</v>
      </c>
      <c r="L209" s="4" t="s">
        <v>1118</v>
      </c>
      <c r="M209" s="5" t="s">
        <v>7</v>
      </c>
      <c r="N209" s="4" t="s">
        <v>1119</v>
      </c>
      <c r="O209" s="5" t="s">
        <v>7</v>
      </c>
      <c r="P209" s="4" t="s">
        <v>2611</v>
      </c>
      <c r="Q209" s="5" t="s">
        <v>7</v>
      </c>
      <c r="R209" s="4" t="s">
        <v>1120</v>
      </c>
      <c r="S209" s="5" t="s">
        <v>7</v>
      </c>
      <c r="T209" s="4" t="s">
        <v>1121</v>
      </c>
      <c r="U209" s="5" t="s">
        <v>7</v>
      </c>
      <c r="V209" s="4" t="s">
        <v>2611</v>
      </c>
      <c r="W209" s="5" t="s">
        <v>7</v>
      </c>
      <c r="X209" s="4" t="s">
        <v>1122</v>
      </c>
      <c r="Y209" s="5" t="s">
        <v>7</v>
      </c>
      <c r="Z209" s="4" t="s">
        <v>1123</v>
      </c>
      <c r="AA209" s="5" t="s">
        <v>7</v>
      </c>
      <c r="AB20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11672267</v>
      </c>
      <c r="AC209" s="8" t="str">
        <f>IF(NOT(AND(ISNUMBER(VALUE(prodcom_data[[#This Row],[PRODQNT - EU27_2020 - 2019 - amount]])), ISNUMBER(VALUE(prodcom_data[[#This Row],[IMPQNT - EU27_2020 - 2019 - amount]])))), "secrets", "")</f>
        <v/>
      </c>
      <c r="AD20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13548838</v>
      </c>
      <c r="AE209" s="8" t="str">
        <f>IF(NOT(AND(ISNUMBER(VALUE(prodcom_data[[#This Row],[PRODQNT - EU27_2020 - 2022 - amount]])), ISNUMBER(VALUE(prodcom_data[[#This Row],[IMPQNT - EU27_2020 - 2022 - amount]])))), "secrets", "")</f>
        <v/>
      </c>
      <c r="AF209" s="7">
        <f>_xlfn.LET(_xlpm.production_amount, VALUE(prodcom_data[[#This Row],[PRODQNT - FR - 2019 - amount]]), IF(ISNUMBER(_xlpm.production_amount), _xlpm.production_amount, 0))+_xlfn.LET(_xlpm.import_amount, VALUE(prodcom_data[[#This Row],[IMPQNT - FR - 2019 - amount]]), IF(ISNUMBER(_xlpm.import_amount), _xlpm.import_amount, 0))</f>
        <v>107800</v>
      </c>
      <c r="AG209" s="8" t="str">
        <f>IF(NOT(AND(ISNUMBER(VALUE(prodcom_data[[#This Row],[PRODQNT - FR - 2019 - amount]])), ISNUMBER(VALUE(prodcom_data[[#This Row],[IMPQNT - FR - 2019 - amount]])))), "secrets", "")</f>
        <v>secrets</v>
      </c>
      <c r="AH209" s="7">
        <f>_xlfn.LET(_xlpm.production_amount, VALUE(prodcom_data[[#This Row],[PRODQNT - FR - 2022 - amount]]), IF(ISNUMBER(_xlpm.production_amount), _xlpm.production_amount, 0))+_xlfn.LET(_xlpm.import_amount, VALUE(prodcom_data[[#This Row],[IMPQNT - FR - 2022 - amount]]), IF(ISNUMBER(_xlpm.import_amount), _xlpm.import_amount, 0))</f>
        <v>189240</v>
      </c>
      <c r="AI209" s="8" t="str">
        <f>IF(NOT(AND(ISNUMBER(VALUE(prodcom_data[[#This Row],[PRODQNT - FR - 2022 - amount]])), ISNUMBER(VALUE(prodcom_data[[#This Row],[IMPQNT - FR - 2022 - amount]])))), "secrets", "")</f>
        <v>secrets</v>
      </c>
      <c r="AJ20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0.66426360696024267</v>
      </c>
      <c r="AK209" s="10" t="s">
        <v>2642</v>
      </c>
    </row>
    <row r="210" spans="1:37" hidden="1" x14ac:dyDescent="0.3">
      <c r="A210" s="4" t="s">
        <v>3</v>
      </c>
      <c r="B210" s="4" t="s">
        <v>369</v>
      </c>
      <c r="C210" s="4" t="s">
        <v>370</v>
      </c>
      <c r="D210" s="4" t="s">
        <v>371</v>
      </c>
      <c r="E210" s="5" t="s">
        <v>7</v>
      </c>
      <c r="F210" s="4" t="s">
        <v>1716</v>
      </c>
      <c r="G210" s="5" t="s">
        <v>7</v>
      </c>
      <c r="H210" s="4" t="s">
        <v>1717</v>
      </c>
      <c r="I210" s="5" t="s">
        <v>7</v>
      </c>
      <c r="J210" s="4" t="s">
        <v>1718</v>
      </c>
      <c r="K210" s="5" t="s">
        <v>7</v>
      </c>
      <c r="L210" s="4" t="s">
        <v>1719</v>
      </c>
      <c r="M210" s="5" t="s">
        <v>7</v>
      </c>
      <c r="N210" s="4" t="s">
        <v>1720</v>
      </c>
      <c r="O210" s="5" t="s">
        <v>7</v>
      </c>
      <c r="P210" s="4" t="s">
        <v>1721</v>
      </c>
      <c r="Q210" s="5" t="s">
        <v>7</v>
      </c>
      <c r="R210" s="4" t="s">
        <v>1722</v>
      </c>
      <c r="S210" s="5" t="s">
        <v>7</v>
      </c>
      <c r="T210" s="4" t="s">
        <v>1723</v>
      </c>
      <c r="U210" s="5" t="s">
        <v>7</v>
      </c>
      <c r="V210" s="4" t="s">
        <v>1724</v>
      </c>
      <c r="W210" s="5" t="s">
        <v>7</v>
      </c>
      <c r="X210" s="4" t="s">
        <v>1725</v>
      </c>
      <c r="Y210" s="5" t="s">
        <v>7</v>
      </c>
      <c r="Z210" s="4" t="s">
        <v>1726</v>
      </c>
      <c r="AA210" s="5" t="s">
        <v>7</v>
      </c>
      <c r="AB21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13205327</v>
      </c>
      <c r="AC210" s="8" t="str">
        <f>IF(NOT(AND(ISNUMBER(VALUE(prodcom_data[[#This Row],[PRODQNT - EU27_2020 - 2019 - amount]])), ISNUMBER(VALUE(prodcom_data[[#This Row],[IMPQNT - EU27_2020 - 2019 - amount]])))), "secrets", "")</f>
        <v/>
      </c>
      <c r="AD21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13109741</v>
      </c>
      <c r="AE210" s="8" t="str">
        <f>IF(NOT(AND(ISNUMBER(VALUE(prodcom_data[[#This Row],[PRODQNT - EU27_2020 - 2022 - amount]])), ISNUMBER(VALUE(prodcom_data[[#This Row],[IMPQNT - EU27_2020 - 2022 - amount]])))), "secrets", "")</f>
        <v/>
      </c>
      <c r="AF210" s="7">
        <f>_xlfn.LET(_xlpm.production_amount, VALUE(prodcom_data[[#This Row],[PRODQNT - FR - 2019 - amount]]), IF(ISNUMBER(_xlpm.production_amount), _xlpm.production_amount, 0))+_xlfn.LET(_xlpm.import_amount, VALUE(prodcom_data[[#This Row],[IMPQNT - FR - 2019 - amount]]), IF(ISNUMBER(_xlpm.import_amount), _xlpm.import_amount, 0))</f>
        <v>2435705</v>
      </c>
      <c r="AG210" s="8" t="str">
        <f>IF(NOT(AND(ISNUMBER(VALUE(prodcom_data[[#This Row],[PRODQNT - FR - 2019 - amount]])), ISNUMBER(VALUE(prodcom_data[[#This Row],[IMPQNT - FR - 2019 - amount]])))), "secrets", "")</f>
        <v/>
      </c>
      <c r="AH210" s="7">
        <f>_xlfn.LET(_xlpm.production_amount, VALUE(prodcom_data[[#This Row],[PRODQNT - FR - 2022 - amount]]), IF(ISNUMBER(_xlpm.production_amount), _xlpm.production_amount, 0))+_xlfn.LET(_xlpm.import_amount, VALUE(prodcom_data[[#This Row],[IMPQNT - FR - 2022 - amount]]), IF(ISNUMBER(_xlpm.import_amount), _xlpm.import_amount, 0))</f>
        <v>71485345</v>
      </c>
      <c r="AI210" s="8" t="str">
        <f>IF(NOT(AND(ISNUMBER(VALUE(prodcom_data[[#This Row],[PRODQNT - FR - 2022 - amount]])), ISNUMBER(VALUE(prodcom_data[[#This Row],[IMPQNT - FR - 2022 - amount]])))), "secrets", "")</f>
        <v/>
      </c>
      <c r="AJ21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0.53913788228157977</v>
      </c>
      <c r="AK210" s="10" t="s">
        <v>2641</v>
      </c>
    </row>
    <row r="211" spans="1:37" x14ac:dyDescent="0.3">
      <c r="A211" s="4" t="s">
        <v>3</v>
      </c>
      <c r="B211" s="4" t="s">
        <v>169</v>
      </c>
      <c r="C211" s="4" t="s">
        <v>170</v>
      </c>
      <c r="D211" s="4" t="s">
        <v>171</v>
      </c>
      <c r="E211" s="5" t="s">
        <v>7</v>
      </c>
      <c r="F211" s="4" t="s">
        <v>1176</v>
      </c>
      <c r="G211" s="5" t="s">
        <v>7</v>
      </c>
      <c r="H211" s="4" t="s">
        <v>1177</v>
      </c>
      <c r="I211" s="5" t="s">
        <v>7</v>
      </c>
      <c r="J211" s="4" t="s">
        <v>1178</v>
      </c>
      <c r="K211" s="5" t="s">
        <v>7</v>
      </c>
      <c r="L211" s="4" t="s">
        <v>1179</v>
      </c>
      <c r="M211" s="5" t="s">
        <v>7</v>
      </c>
      <c r="N211" s="4" t="s">
        <v>1180</v>
      </c>
      <c r="O211" s="5" t="s">
        <v>7</v>
      </c>
      <c r="P211" s="4" t="s">
        <v>1181</v>
      </c>
      <c r="Q211" s="5" t="s">
        <v>7</v>
      </c>
      <c r="R211" s="4" t="s">
        <v>1182</v>
      </c>
      <c r="S211" s="5" t="s">
        <v>7</v>
      </c>
      <c r="T211" s="4" t="s">
        <v>1183</v>
      </c>
      <c r="U211" s="5" t="s">
        <v>7</v>
      </c>
      <c r="V211" s="4" t="s">
        <v>2611</v>
      </c>
      <c r="W211" s="5" t="s">
        <v>7</v>
      </c>
      <c r="X211" s="4" t="s">
        <v>1184</v>
      </c>
      <c r="Y211" s="5" t="s">
        <v>7</v>
      </c>
      <c r="Z211" s="4" t="s">
        <v>1185</v>
      </c>
      <c r="AA211" s="5" t="s">
        <v>7</v>
      </c>
      <c r="AB21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11825559</v>
      </c>
      <c r="AC211" s="8" t="str">
        <f>IF(NOT(AND(ISNUMBER(VALUE(prodcom_data[[#This Row],[PRODQNT - EU27_2020 - 2019 - amount]])), ISNUMBER(VALUE(prodcom_data[[#This Row],[IMPQNT - EU27_2020 - 2019 - amount]])))), "secrets", "")</f>
        <v/>
      </c>
      <c r="AD21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11985970</v>
      </c>
      <c r="AE211" s="8" t="str">
        <f>IF(NOT(AND(ISNUMBER(VALUE(prodcom_data[[#This Row],[PRODQNT - EU27_2020 - 2022 - amount]])), ISNUMBER(VALUE(prodcom_data[[#This Row],[IMPQNT - EU27_2020 - 2022 - amount]])))), "secrets", "")</f>
        <v/>
      </c>
      <c r="AF211" s="7">
        <f>_xlfn.LET(_xlpm.production_amount, VALUE(prodcom_data[[#This Row],[PRODQNT - FR - 2019 - amount]]), IF(ISNUMBER(_xlpm.production_amount), _xlpm.production_amount, 0))+_xlfn.LET(_xlpm.import_amount, VALUE(prodcom_data[[#This Row],[IMPQNT - FR - 2019 - amount]]), IF(ISNUMBER(_xlpm.import_amount), _xlpm.import_amount, 0))</f>
        <v>213438</v>
      </c>
      <c r="AG211" s="8" t="str">
        <f>IF(NOT(AND(ISNUMBER(VALUE(prodcom_data[[#This Row],[PRODQNT - FR - 2019 - amount]])), ISNUMBER(VALUE(prodcom_data[[#This Row],[IMPQNT - FR - 2019 - amount]])))), "secrets", "")</f>
        <v/>
      </c>
      <c r="AH211" s="7">
        <f>_xlfn.LET(_xlpm.production_amount, VALUE(prodcom_data[[#This Row],[PRODQNT - FR - 2022 - amount]]), IF(ISNUMBER(_xlpm.production_amount), _xlpm.production_amount, 0))+_xlfn.LET(_xlpm.import_amount, VALUE(prodcom_data[[#This Row],[IMPQNT - FR - 2022 - amount]]), IF(ISNUMBER(_xlpm.import_amount), _xlpm.import_amount, 0))</f>
        <v>583135</v>
      </c>
      <c r="AI211" s="8" t="str">
        <f>IF(NOT(AND(ISNUMBER(VALUE(prodcom_data[[#This Row],[PRODQNT - FR - 2022 - amount]])), ISNUMBER(VALUE(prodcom_data[[#This Row],[IMPQNT - FR - 2022 - amount]])))), "secrets", "")</f>
        <v>secrets</v>
      </c>
      <c r="AJ21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0.26697880939131335</v>
      </c>
      <c r="AK211" s="10" t="s">
        <v>2642</v>
      </c>
    </row>
    <row r="212" spans="1:37" x14ac:dyDescent="0.3">
      <c r="A212" s="4" t="s">
        <v>3</v>
      </c>
      <c r="B212" s="4" t="s">
        <v>485</v>
      </c>
      <c r="C212" s="4" t="s">
        <v>483</v>
      </c>
      <c r="D212" s="4" t="s">
        <v>2611</v>
      </c>
      <c r="E212" s="5" t="s">
        <v>22</v>
      </c>
      <c r="F212" s="4" t="s">
        <v>2611</v>
      </c>
      <c r="G212" s="5" t="s">
        <v>22</v>
      </c>
      <c r="H212" s="4" t="s">
        <v>2611</v>
      </c>
      <c r="I212" s="5" t="s">
        <v>22</v>
      </c>
      <c r="J212" s="4" t="s">
        <v>2020</v>
      </c>
      <c r="K212" s="5" t="s">
        <v>7</v>
      </c>
      <c r="L212" s="4" t="s">
        <v>2021</v>
      </c>
      <c r="M212" s="5" t="s">
        <v>7</v>
      </c>
      <c r="N212" s="4" t="s">
        <v>2022</v>
      </c>
      <c r="O212" s="5" t="s">
        <v>7</v>
      </c>
      <c r="P212" s="4" t="s">
        <v>2611</v>
      </c>
      <c r="Q212" s="5" t="s">
        <v>22</v>
      </c>
      <c r="R212" s="4" t="s">
        <v>2611</v>
      </c>
      <c r="S212" s="5" t="s">
        <v>22</v>
      </c>
      <c r="T212" s="4" t="s">
        <v>2611</v>
      </c>
      <c r="U212" s="5" t="s">
        <v>22</v>
      </c>
      <c r="V212" s="4" t="s">
        <v>2023</v>
      </c>
      <c r="W212" s="5" t="s">
        <v>7</v>
      </c>
      <c r="X212" s="4" t="s">
        <v>2024</v>
      </c>
      <c r="Y212" s="5" t="s">
        <v>7</v>
      </c>
      <c r="Z212" s="4" t="s">
        <v>2025</v>
      </c>
      <c r="AA212" s="5" t="s">
        <v>7</v>
      </c>
      <c r="AB21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12" s="8" t="str">
        <f>IF(NOT(AND(ISNUMBER(VALUE(prodcom_data[[#This Row],[PRODQNT - EU27_2020 - 2019 - amount]])), ISNUMBER(VALUE(prodcom_data[[#This Row],[IMPQNT - EU27_2020 - 2019 - amount]])))), "secrets", "")</f>
        <v>secrets</v>
      </c>
      <c r="AD21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11019918</v>
      </c>
      <c r="AE212" s="8" t="str">
        <f>IF(NOT(AND(ISNUMBER(VALUE(prodcom_data[[#This Row],[PRODQNT - EU27_2020 - 2022 - amount]])), ISNUMBER(VALUE(prodcom_data[[#This Row],[IMPQNT - EU27_2020 - 2022 - amount]])))), "secrets", "")</f>
        <v/>
      </c>
      <c r="AF212"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12" s="8" t="str">
        <f>IF(NOT(AND(ISNUMBER(VALUE(prodcom_data[[#This Row],[PRODQNT - FR - 2019 - amount]])), ISNUMBER(VALUE(prodcom_data[[#This Row],[IMPQNT - FR - 2019 - amount]])))), "secrets", "")</f>
        <v>secrets</v>
      </c>
      <c r="AH212" s="7">
        <f>_xlfn.LET(_xlpm.production_amount, VALUE(prodcom_data[[#This Row],[PRODQNT - FR - 2022 - amount]]), IF(ISNUMBER(_xlpm.production_amount), _xlpm.production_amount, 0))+_xlfn.LET(_xlpm.import_amount, VALUE(prodcom_data[[#This Row],[IMPQNT - FR - 2022 - amount]]), IF(ISNUMBER(_xlpm.import_amount), _xlpm.import_amount, 0))</f>
        <v>961510</v>
      </c>
      <c r="AI212" s="8" t="str">
        <f>IF(NOT(AND(ISNUMBER(VALUE(prodcom_data[[#This Row],[PRODQNT - FR - 2022 - amount]])), ISNUMBER(VALUE(prodcom_data[[#This Row],[IMPQNT - FR - 2022 - amount]])))), "secrets", "")</f>
        <v/>
      </c>
      <c r="AJ21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0.91290180199163007</v>
      </c>
      <c r="AK212" s="10" t="s">
        <v>2642</v>
      </c>
    </row>
    <row r="213" spans="1:37" x14ac:dyDescent="0.3">
      <c r="A213" s="4" t="s">
        <v>3</v>
      </c>
      <c r="B213" s="4" t="s">
        <v>321</v>
      </c>
      <c r="C213" s="4" t="s">
        <v>322</v>
      </c>
      <c r="D213" s="4" t="s">
        <v>323</v>
      </c>
      <c r="E213" s="5" t="s">
        <v>7</v>
      </c>
      <c r="F213" s="4" t="s">
        <v>1573</v>
      </c>
      <c r="G213" s="5" t="s">
        <v>7</v>
      </c>
      <c r="H213" s="4" t="s">
        <v>1574</v>
      </c>
      <c r="I213" s="5" t="s">
        <v>7</v>
      </c>
      <c r="J213" s="4" t="s">
        <v>1575</v>
      </c>
      <c r="K213" s="5" t="s">
        <v>7</v>
      </c>
      <c r="L213" s="4" t="s">
        <v>1576</v>
      </c>
      <c r="M213" s="5" t="s">
        <v>7</v>
      </c>
      <c r="N213" s="4" t="s">
        <v>1577</v>
      </c>
      <c r="O213" s="5" t="s">
        <v>7</v>
      </c>
      <c r="P213" s="4" t="s">
        <v>2611</v>
      </c>
      <c r="Q213" s="5" t="s">
        <v>7</v>
      </c>
      <c r="R213" s="4" t="s">
        <v>1578</v>
      </c>
      <c r="S213" s="5" t="s">
        <v>7</v>
      </c>
      <c r="T213" s="4" t="s">
        <v>1579</v>
      </c>
      <c r="U213" s="5" t="s">
        <v>7</v>
      </c>
      <c r="V213" s="4" t="s">
        <v>713</v>
      </c>
      <c r="W213" s="5" t="s">
        <v>7</v>
      </c>
      <c r="X213" s="4" t="s">
        <v>1580</v>
      </c>
      <c r="Y213" s="5" t="s">
        <v>7</v>
      </c>
      <c r="Z213" s="4" t="s">
        <v>1581</v>
      </c>
      <c r="AA213" s="5" t="s">
        <v>7</v>
      </c>
      <c r="AB21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6499171</v>
      </c>
      <c r="AC213" s="8" t="str">
        <f>IF(NOT(AND(ISNUMBER(VALUE(prodcom_data[[#This Row],[PRODQNT - EU27_2020 - 2019 - amount]])), ISNUMBER(VALUE(prodcom_data[[#This Row],[IMPQNT - EU27_2020 - 2019 - amount]])))), "secrets", "")</f>
        <v/>
      </c>
      <c r="AD21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10057678</v>
      </c>
      <c r="AE213" s="8" t="str">
        <f>IF(NOT(AND(ISNUMBER(VALUE(prodcom_data[[#This Row],[PRODQNT - EU27_2020 - 2022 - amount]])), ISNUMBER(VALUE(prodcom_data[[#This Row],[IMPQNT - EU27_2020 - 2022 - amount]])))), "secrets", "")</f>
        <v/>
      </c>
      <c r="AF213" s="7">
        <f>_xlfn.LET(_xlpm.production_amount, VALUE(prodcom_data[[#This Row],[PRODQNT - FR - 2019 - amount]]), IF(ISNUMBER(_xlpm.production_amount), _xlpm.production_amount, 0))+_xlfn.LET(_xlpm.import_amount, VALUE(prodcom_data[[#This Row],[IMPQNT - FR - 2019 - amount]]), IF(ISNUMBER(_xlpm.import_amount), _xlpm.import_amount, 0))</f>
        <v>306200</v>
      </c>
      <c r="AG213" s="8" t="str">
        <f>IF(NOT(AND(ISNUMBER(VALUE(prodcom_data[[#This Row],[PRODQNT - FR - 2019 - amount]])), ISNUMBER(VALUE(prodcom_data[[#This Row],[IMPQNT - FR - 2019 - amount]])))), "secrets", "")</f>
        <v>secrets</v>
      </c>
      <c r="AH213" s="7">
        <f>_xlfn.LET(_xlpm.production_amount, VALUE(prodcom_data[[#This Row],[PRODQNT - FR - 2022 - amount]]), IF(ISNUMBER(_xlpm.production_amount), _xlpm.production_amount, 0))+_xlfn.LET(_xlpm.import_amount, VALUE(prodcom_data[[#This Row],[IMPQNT - FR - 2022 - amount]]), IF(ISNUMBER(_xlpm.import_amount), _xlpm.import_amount, 0))</f>
        <v>561378</v>
      </c>
      <c r="AI213" s="8" t="str">
        <f>IF(NOT(AND(ISNUMBER(VALUE(prodcom_data[[#This Row],[PRODQNT - FR - 2022 - amount]])), ISNUMBER(VALUE(prodcom_data[[#This Row],[IMPQNT - FR - 2022 - amount]])))), "secrets", "")</f>
        <v/>
      </c>
      <c r="AJ21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0.89116434230644492</v>
      </c>
      <c r="AK213" s="10" t="s">
        <v>2642</v>
      </c>
    </row>
    <row r="214" spans="1:37" x14ac:dyDescent="0.3">
      <c r="A214" s="4" t="s">
        <v>3</v>
      </c>
      <c r="B214" s="4" t="s">
        <v>443</v>
      </c>
      <c r="C214" s="4" t="s">
        <v>444</v>
      </c>
      <c r="D214" s="4" t="s">
        <v>445</v>
      </c>
      <c r="E214" s="5" t="s">
        <v>7</v>
      </c>
      <c r="F214" s="4" t="s">
        <v>1901</v>
      </c>
      <c r="G214" s="5" t="s">
        <v>7</v>
      </c>
      <c r="H214" s="4" t="s">
        <v>1902</v>
      </c>
      <c r="I214" s="5" t="s">
        <v>7</v>
      </c>
      <c r="J214" s="4" t="s">
        <v>1903</v>
      </c>
      <c r="K214" s="5" t="s">
        <v>7</v>
      </c>
      <c r="L214" s="4" t="s">
        <v>1904</v>
      </c>
      <c r="M214" s="5" t="s">
        <v>7</v>
      </c>
      <c r="N214" s="4" t="s">
        <v>1905</v>
      </c>
      <c r="O214" s="5" t="s">
        <v>7</v>
      </c>
      <c r="P214" s="4" t="s">
        <v>2611</v>
      </c>
      <c r="Q214" s="5" t="s">
        <v>7</v>
      </c>
      <c r="R214" s="4" t="s">
        <v>1906</v>
      </c>
      <c r="S214" s="5" t="s">
        <v>7</v>
      </c>
      <c r="T214" s="4" t="s">
        <v>1907</v>
      </c>
      <c r="U214" s="5" t="s">
        <v>7</v>
      </c>
      <c r="V214" s="4" t="s">
        <v>2611</v>
      </c>
      <c r="W214" s="5" t="s">
        <v>7</v>
      </c>
      <c r="X214" s="4" t="s">
        <v>1908</v>
      </c>
      <c r="Y214" s="5" t="s">
        <v>7</v>
      </c>
      <c r="Z214" s="4" t="s">
        <v>1909</v>
      </c>
      <c r="AA214" s="5" t="s">
        <v>7</v>
      </c>
      <c r="AB21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3791602</v>
      </c>
      <c r="AC214" s="8" t="str">
        <f>IF(NOT(AND(ISNUMBER(VALUE(prodcom_data[[#This Row],[PRODQNT - EU27_2020 - 2019 - amount]])), ISNUMBER(VALUE(prodcom_data[[#This Row],[IMPQNT - EU27_2020 - 2019 - amount]])))), "secrets", "")</f>
        <v/>
      </c>
      <c r="AD21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8955659</v>
      </c>
      <c r="AE214" s="8" t="str">
        <f>IF(NOT(AND(ISNUMBER(VALUE(prodcom_data[[#This Row],[PRODQNT - EU27_2020 - 2022 - amount]])), ISNUMBER(VALUE(prodcom_data[[#This Row],[IMPQNT - EU27_2020 - 2022 - amount]])))), "secrets", "")</f>
        <v/>
      </c>
      <c r="AF214" s="7">
        <f>_xlfn.LET(_xlpm.production_amount, VALUE(prodcom_data[[#This Row],[PRODQNT - FR - 2019 - amount]]), IF(ISNUMBER(_xlpm.production_amount), _xlpm.production_amount, 0))+_xlfn.LET(_xlpm.import_amount, VALUE(prodcom_data[[#This Row],[IMPQNT - FR - 2019 - amount]]), IF(ISNUMBER(_xlpm.import_amount), _xlpm.import_amount, 0))</f>
        <v>164800</v>
      </c>
      <c r="AG214" s="8" t="str">
        <f>IF(NOT(AND(ISNUMBER(VALUE(prodcom_data[[#This Row],[PRODQNT - FR - 2019 - amount]])), ISNUMBER(VALUE(prodcom_data[[#This Row],[IMPQNT - FR - 2019 - amount]])))), "secrets", "")</f>
        <v>secrets</v>
      </c>
      <c r="AH214" s="7">
        <f>_xlfn.LET(_xlpm.production_amount, VALUE(prodcom_data[[#This Row],[PRODQNT - FR - 2022 - amount]]), IF(ISNUMBER(_xlpm.production_amount), _xlpm.production_amount, 0))+_xlfn.LET(_xlpm.import_amount, VALUE(prodcom_data[[#This Row],[IMPQNT - FR - 2022 - amount]]), IF(ISNUMBER(_xlpm.import_amount), _xlpm.import_amount, 0))</f>
        <v>90013</v>
      </c>
      <c r="AI214" s="8" t="str">
        <f>IF(NOT(AND(ISNUMBER(VALUE(prodcom_data[[#This Row],[PRODQNT - FR - 2022 - amount]])), ISNUMBER(VALUE(prodcom_data[[#This Row],[IMPQNT - FR - 2022 - amount]])))), "secrets", "")</f>
        <v>secrets</v>
      </c>
      <c r="AJ21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0.82534841936255054</v>
      </c>
      <c r="AK214" s="10" t="s">
        <v>2642</v>
      </c>
    </row>
    <row r="215" spans="1:37" x14ac:dyDescent="0.3">
      <c r="A215" s="4" t="s">
        <v>3</v>
      </c>
      <c r="B215" s="4" t="s">
        <v>446</v>
      </c>
      <c r="C215" s="4" t="s">
        <v>447</v>
      </c>
      <c r="D215" s="4" t="s">
        <v>448</v>
      </c>
      <c r="E215" s="5" t="s">
        <v>7</v>
      </c>
      <c r="F215" s="4" t="s">
        <v>1910</v>
      </c>
      <c r="G215" s="5" t="s">
        <v>7</v>
      </c>
      <c r="H215" s="4" t="s">
        <v>1911</v>
      </c>
      <c r="I215" s="5" t="s">
        <v>7</v>
      </c>
      <c r="J215" s="4" t="s">
        <v>1912</v>
      </c>
      <c r="K215" s="5" t="s">
        <v>7</v>
      </c>
      <c r="L215" s="4" t="s">
        <v>1913</v>
      </c>
      <c r="M215" s="5" t="s">
        <v>7</v>
      </c>
      <c r="N215" s="4" t="s">
        <v>1914</v>
      </c>
      <c r="O215" s="5" t="s">
        <v>7</v>
      </c>
      <c r="P215" s="4" t="s">
        <v>1915</v>
      </c>
      <c r="Q215" s="5" t="s">
        <v>7</v>
      </c>
      <c r="R215" s="4" t="s">
        <v>1916</v>
      </c>
      <c r="S215" s="5" t="s">
        <v>7</v>
      </c>
      <c r="T215" s="4" t="s">
        <v>1917</v>
      </c>
      <c r="U215" s="5" t="s">
        <v>7</v>
      </c>
      <c r="V215" s="4" t="s">
        <v>2611</v>
      </c>
      <c r="W215" s="5" t="s">
        <v>7</v>
      </c>
      <c r="X215" s="4" t="s">
        <v>1918</v>
      </c>
      <c r="Y215" s="5" t="s">
        <v>7</v>
      </c>
      <c r="Z215" s="4" t="s">
        <v>1919</v>
      </c>
      <c r="AA215" s="5" t="s">
        <v>7</v>
      </c>
      <c r="AB21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7597091</v>
      </c>
      <c r="AC215" s="8" t="str">
        <f>IF(NOT(AND(ISNUMBER(VALUE(prodcom_data[[#This Row],[PRODQNT - EU27_2020 - 2019 - amount]])), ISNUMBER(VALUE(prodcom_data[[#This Row],[IMPQNT - EU27_2020 - 2019 - amount]])))), "secrets", "")</f>
        <v/>
      </c>
      <c r="AD21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8222294</v>
      </c>
      <c r="AE215" s="8" t="str">
        <f>IF(NOT(AND(ISNUMBER(VALUE(prodcom_data[[#This Row],[PRODQNT - EU27_2020 - 2022 - amount]])), ISNUMBER(VALUE(prodcom_data[[#This Row],[IMPQNT - EU27_2020 - 2022 - amount]])))), "secrets", "")</f>
        <v/>
      </c>
      <c r="AF215" s="7">
        <f>_xlfn.LET(_xlpm.production_amount, VALUE(prodcom_data[[#This Row],[PRODQNT - FR - 2019 - amount]]), IF(ISNUMBER(_xlpm.production_amount), _xlpm.production_amount, 0))+_xlfn.LET(_xlpm.import_amount, VALUE(prodcom_data[[#This Row],[IMPQNT - FR - 2019 - amount]]), IF(ISNUMBER(_xlpm.import_amount), _xlpm.import_amount, 0))</f>
        <v>1284511</v>
      </c>
      <c r="AG215" s="8" t="str">
        <f>IF(NOT(AND(ISNUMBER(VALUE(prodcom_data[[#This Row],[PRODQNT - FR - 2019 - amount]])), ISNUMBER(VALUE(prodcom_data[[#This Row],[IMPQNT - FR - 2019 - amount]])))), "secrets", "")</f>
        <v/>
      </c>
      <c r="AH215" s="7">
        <f>_xlfn.LET(_xlpm.production_amount, VALUE(prodcom_data[[#This Row],[PRODQNT - FR - 2022 - amount]]), IF(ISNUMBER(_xlpm.production_amount), _xlpm.production_amount, 0))+_xlfn.LET(_xlpm.import_amount, VALUE(prodcom_data[[#This Row],[IMPQNT - FR - 2022 - amount]]), IF(ISNUMBER(_xlpm.import_amount), _xlpm.import_amount, 0))</f>
        <v>1041824</v>
      </c>
      <c r="AI215" s="8" t="str">
        <f>IF(NOT(AND(ISNUMBER(VALUE(prodcom_data[[#This Row],[PRODQNT - FR - 2022 - amount]])), ISNUMBER(VALUE(prodcom_data[[#This Row],[IMPQNT - FR - 2022 - amount]])))), "secrets", "")</f>
        <v>secrets</v>
      </c>
      <c r="AJ21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0.52783322999639759</v>
      </c>
      <c r="AK215" s="10" t="s">
        <v>2642</v>
      </c>
    </row>
    <row r="216" spans="1:37" x14ac:dyDescent="0.3">
      <c r="A216" s="4" t="s">
        <v>3</v>
      </c>
      <c r="B216" s="4" t="s">
        <v>438</v>
      </c>
      <c r="C216" s="4" t="s">
        <v>439</v>
      </c>
      <c r="D216" s="4" t="s">
        <v>406</v>
      </c>
      <c r="E216" s="5" t="s">
        <v>7</v>
      </c>
      <c r="F216" s="4" t="s">
        <v>1889</v>
      </c>
      <c r="G216" s="5" t="s">
        <v>7</v>
      </c>
      <c r="H216" s="4" t="s">
        <v>1890</v>
      </c>
      <c r="I216" s="5" t="s">
        <v>7</v>
      </c>
      <c r="J216" s="4" t="s">
        <v>1891</v>
      </c>
      <c r="K216" s="5" t="s">
        <v>7</v>
      </c>
      <c r="L216" s="4" t="s">
        <v>1892</v>
      </c>
      <c r="M216" s="5" t="s">
        <v>7</v>
      </c>
      <c r="N216" s="4" t="s">
        <v>1893</v>
      </c>
      <c r="O216" s="5" t="s">
        <v>7</v>
      </c>
      <c r="P216" s="4" t="s">
        <v>713</v>
      </c>
      <c r="Q216" s="5" t="s">
        <v>7</v>
      </c>
      <c r="R216" s="4" t="s">
        <v>1894</v>
      </c>
      <c r="S216" s="5" t="s">
        <v>7</v>
      </c>
      <c r="T216" s="4" t="s">
        <v>1895</v>
      </c>
      <c r="U216" s="5" t="s">
        <v>7</v>
      </c>
      <c r="V216" s="4" t="s">
        <v>2611</v>
      </c>
      <c r="W216" s="5" t="s">
        <v>7</v>
      </c>
      <c r="X216" s="4" t="s">
        <v>1896</v>
      </c>
      <c r="Y216" s="5" t="s">
        <v>7</v>
      </c>
      <c r="Z216" s="4" t="s">
        <v>1897</v>
      </c>
      <c r="AA216" s="5" t="s">
        <v>7</v>
      </c>
      <c r="AB21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5541341</v>
      </c>
      <c r="AC216" s="8" t="str">
        <f>IF(NOT(AND(ISNUMBER(VALUE(prodcom_data[[#This Row],[PRODQNT - EU27_2020 - 2019 - amount]])), ISNUMBER(VALUE(prodcom_data[[#This Row],[IMPQNT - EU27_2020 - 2019 - amount]])))), "secrets", "")</f>
        <v/>
      </c>
      <c r="AD21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8109643</v>
      </c>
      <c r="AE216" s="8" t="str">
        <f>IF(NOT(AND(ISNUMBER(VALUE(prodcom_data[[#This Row],[PRODQNT - EU27_2020 - 2022 - amount]])), ISNUMBER(VALUE(prodcom_data[[#This Row],[IMPQNT - EU27_2020 - 2022 - amount]])))), "secrets", "")</f>
        <v/>
      </c>
      <c r="AF216" s="7">
        <f>_xlfn.LET(_xlpm.production_amount, VALUE(prodcom_data[[#This Row],[PRODQNT - FR - 2019 - amount]]), IF(ISNUMBER(_xlpm.production_amount), _xlpm.production_amount, 0))+_xlfn.LET(_xlpm.import_amount, VALUE(prodcom_data[[#This Row],[IMPQNT - FR - 2019 - amount]]), IF(ISNUMBER(_xlpm.import_amount), _xlpm.import_amount, 0))</f>
        <v>508500</v>
      </c>
      <c r="AG216" s="8" t="str">
        <f>IF(NOT(AND(ISNUMBER(VALUE(prodcom_data[[#This Row],[PRODQNT - FR - 2019 - amount]])), ISNUMBER(VALUE(prodcom_data[[#This Row],[IMPQNT - FR - 2019 - amount]])))), "secrets", "")</f>
        <v/>
      </c>
      <c r="AH216" s="7">
        <f>_xlfn.LET(_xlpm.production_amount, VALUE(prodcom_data[[#This Row],[PRODQNT - FR - 2022 - amount]]), IF(ISNUMBER(_xlpm.production_amount), _xlpm.production_amount, 0))+_xlfn.LET(_xlpm.import_amount, VALUE(prodcom_data[[#This Row],[IMPQNT - FR - 2022 - amount]]), IF(ISNUMBER(_xlpm.import_amount), _xlpm.import_amount, 0))</f>
        <v>557706</v>
      </c>
      <c r="AI216" s="8" t="str">
        <f>IF(NOT(AND(ISNUMBER(VALUE(prodcom_data[[#This Row],[PRODQNT - FR - 2022 - amount]])), ISNUMBER(VALUE(prodcom_data[[#This Row],[IMPQNT - FR - 2022 - amount]])))), "secrets", "")</f>
        <v>secrets</v>
      </c>
      <c r="AJ21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0.75362836563829017</v>
      </c>
      <c r="AK216" s="10" t="s">
        <v>2642</v>
      </c>
    </row>
    <row r="217" spans="1:37" x14ac:dyDescent="0.3">
      <c r="A217" s="4" t="s">
        <v>3</v>
      </c>
      <c r="B217" s="4" t="s">
        <v>465</v>
      </c>
      <c r="C217" s="4" t="s">
        <v>466</v>
      </c>
      <c r="D217" s="4" t="s">
        <v>467</v>
      </c>
      <c r="E217" s="5" t="s">
        <v>7</v>
      </c>
      <c r="F217" s="4" t="s">
        <v>1972</v>
      </c>
      <c r="G217" s="5" t="s">
        <v>7</v>
      </c>
      <c r="H217" s="4" t="s">
        <v>1973</v>
      </c>
      <c r="I217" s="5" t="s">
        <v>7</v>
      </c>
      <c r="J217" s="4" t="s">
        <v>1974</v>
      </c>
      <c r="K217" s="5" t="s">
        <v>7</v>
      </c>
      <c r="L217" s="4" t="s">
        <v>1975</v>
      </c>
      <c r="M217" s="5" t="s">
        <v>7</v>
      </c>
      <c r="N217" s="4" t="s">
        <v>1976</v>
      </c>
      <c r="O217" s="5" t="s">
        <v>7</v>
      </c>
      <c r="P217" s="4" t="s">
        <v>1977</v>
      </c>
      <c r="Q217" s="5" t="s">
        <v>7</v>
      </c>
      <c r="R217" s="4" t="s">
        <v>1978</v>
      </c>
      <c r="S217" s="5" t="s">
        <v>7</v>
      </c>
      <c r="T217" s="4" t="s">
        <v>1979</v>
      </c>
      <c r="U217" s="5" t="s">
        <v>7</v>
      </c>
      <c r="V217" s="4" t="s">
        <v>1980</v>
      </c>
      <c r="W217" s="5" t="s">
        <v>7</v>
      </c>
      <c r="X217" s="4" t="s">
        <v>1981</v>
      </c>
      <c r="Y217" s="5" t="s">
        <v>7</v>
      </c>
      <c r="Z217" s="4" t="s">
        <v>1982</v>
      </c>
      <c r="AA217" s="5" t="s">
        <v>7</v>
      </c>
      <c r="AB21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12607915</v>
      </c>
      <c r="AC217" s="8" t="str">
        <f>IF(NOT(AND(ISNUMBER(VALUE(prodcom_data[[#This Row],[PRODQNT - EU27_2020 - 2019 - amount]])), ISNUMBER(VALUE(prodcom_data[[#This Row],[IMPQNT - EU27_2020 - 2019 - amount]])))), "secrets", "")</f>
        <v/>
      </c>
      <c r="AD21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7796035</v>
      </c>
      <c r="AE217" s="8" t="str">
        <f>IF(NOT(AND(ISNUMBER(VALUE(prodcom_data[[#This Row],[PRODQNT - EU27_2020 - 2022 - amount]])), ISNUMBER(VALUE(prodcom_data[[#This Row],[IMPQNT - EU27_2020 - 2022 - amount]])))), "secrets", "")</f>
        <v/>
      </c>
      <c r="AF217" s="7">
        <f>_xlfn.LET(_xlpm.production_amount, VALUE(prodcom_data[[#This Row],[PRODQNT - FR - 2019 - amount]]), IF(ISNUMBER(_xlpm.production_amount), _xlpm.production_amount, 0))+_xlfn.LET(_xlpm.import_amount, VALUE(prodcom_data[[#This Row],[IMPQNT - FR - 2019 - amount]]), IF(ISNUMBER(_xlpm.import_amount), _xlpm.import_amount, 0))</f>
        <v>9148573</v>
      </c>
      <c r="AG217" s="8" t="str">
        <f>IF(NOT(AND(ISNUMBER(VALUE(prodcom_data[[#This Row],[PRODQNT - FR - 2019 - amount]])), ISNUMBER(VALUE(prodcom_data[[#This Row],[IMPQNT - FR - 2019 - amount]])))), "secrets", "")</f>
        <v/>
      </c>
      <c r="AH217" s="7">
        <f>_xlfn.LET(_xlpm.production_amount, VALUE(prodcom_data[[#This Row],[PRODQNT - FR - 2022 - amount]]), IF(ISNUMBER(_xlpm.production_amount), _xlpm.production_amount, 0))+_xlfn.LET(_xlpm.import_amount, VALUE(prodcom_data[[#This Row],[IMPQNT - FR - 2022 - amount]]), IF(ISNUMBER(_xlpm.import_amount), _xlpm.import_amount, 0))</f>
        <v>3614463</v>
      </c>
      <c r="AI217" s="8" t="str">
        <f>IF(NOT(AND(ISNUMBER(VALUE(prodcom_data[[#This Row],[PRODQNT - FR - 2022 - amount]])), ISNUMBER(VALUE(prodcom_data[[#This Row],[IMPQNT - FR - 2022 - amount]])))), "secrets", "")</f>
        <v/>
      </c>
      <c r="AJ21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0.64135166145354661</v>
      </c>
      <c r="AK217" s="10" t="s">
        <v>2642</v>
      </c>
    </row>
    <row r="218" spans="1:37" x14ac:dyDescent="0.3">
      <c r="A218" s="4" t="s">
        <v>3</v>
      </c>
      <c r="B218" s="4" t="s">
        <v>415</v>
      </c>
      <c r="C218" s="4" t="s">
        <v>416</v>
      </c>
      <c r="D218" s="4" t="s">
        <v>104</v>
      </c>
      <c r="E218" s="5" t="s">
        <v>7</v>
      </c>
      <c r="F218" s="4" t="s">
        <v>1825</v>
      </c>
      <c r="G218" s="5" t="s">
        <v>7</v>
      </c>
      <c r="H218" s="4" t="s">
        <v>1826</v>
      </c>
      <c r="I218" s="5" t="s">
        <v>7</v>
      </c>
      <c r="J218" s="4" t="s">
        <v>104</v>
      </c>
      <c r="K218" s="5" t="s">
        <v>7</v>
      </c>
      <c r="L218" s="4" t="s">
        <v>1827</v>
      </c>
      <c r="M218" s="5" t="s">
        <v>7</v>
      </c>
      <c r="N218" s="4" t="s">
        <v>1828</v>
      </c>
      <c r="O218" s="5" t="s">
        <v>7</v>
      </c>
      <c r="P218" s="4" t="s">
        <v>713</v>
      </c>
      <c r="Q218" s="5" t="s">
        <v>7</v>
      </c>
      <c r="R218" s="4" t="s">
        <v>713</v>
      </c>
      <c r="S218" s="5" t="s">
        <v>7</v>
      </c>
      <c r="T218" s="4" t="s">
        <v>1829</v>
      </c>
      <c r="U218" s="5" t="s">
        <v>7</v>
      </c>
      <c r="V218" s="4" t="s">
        <v>713</v>
      </c>
      <c r="W218" s="5" t="s">
        <v>7</v>
      </c>
      <c r="X218" s="4" t="s">
        <v>1830</v>
      </c>
      <c r="Y218" s="5" t="s">
        <v>7</v>
      </c>
      <c r="Z218" s="4" t="s">
        <v>1831</v>
      </c>
      <c r="AA218" s="5" t="s">
        <v>7</v>
      </c>
      <c r="AB21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5490297</v>
      </c>
      <c r="AC218" s="8" t="str">
        <f>IF(NOT(AND(ISNUMBER(VALUE(prodcom_data[[#This Row],[PRODQNT - EU27_2020 - 2019 - amount]])), ISNUMBER(VALUE(prodcom_data[[#This Row],[IMPQNT - EU27_2020 - 2019 - amount]])))), "secrets", "")</f>
        <v/>
      </c>
      <c r="AD21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5499855</v>
      </c>
      <c r="AE218" s="8" t="str">
        <f>IF(NOT(AND(ISNUMBER(VALUE(prodcom_data[[#This Row],[PRODQNT - EU27_2020 - 2022 - amount]])), ISNUMBER(VALUE(prodcom_data[[#This Row],[IMPQNT - EU27_2020 - 2022 - amount]])))), "secrets", "")</f>
        <v/>
      </c>
      <c r="AF218" s="7">
        <f>_xlfn.LET(_xlpm.production_amount, VALUE(prodcom_data[[#This Row],[PRODQNT - FR - 2019 - amount]]), IF(ISNUMBER(_xlpm.production_amount), _xlpm.production_amount, 0))+_xlfn.LET(_xlpm.import_amount, VALUE(prodcom_data[[#This Row],[IMPQNT - FR - 2019 - amount]]), IF(ISNUMBER(_xlpm.import_amount), _xlpm.import_amount, 0))</f>
        <v>162900</v>
      </c>
      <c r="AG218" s="8" t="str">
        <f>IF(NOT(AND(ISNUMBER(VALUE(prodcom_data[[#This Row],[PRODQNT - FR - 2019 - amount]])), ISNUMBER(VALUE(prodcom_data[[#This Row],[IMPQNT - FR - 2019 - amount]])))), "secrets", "")</f>
        <v/>
      </c>
      <c r="AH218" s="7">
        <f>_xlfn.LET(_xlpm.production_amount, VALUE(prodcom_data[[#This Row],[PRODQNT - FR - 2022 - amount]]), IF(ISNUMBER(_xlpm.production_amount), _xlpm.production_amount, 0))+_xlfn.LET(_xlpm.import_amount, VALUE(prodcom_data[[#This Row],[IMPQNT - FR - 2022 - amount]]), IF(ISNUMBER(_xlpm.import_amount), _xlpm.import_amount, 0))</f>
        <v>214436</v>
      </c>
      <c r="AI218" s="8" t="str">
        <f>IF(NOT(AND(ISNUMBER(VALUE(prodcom_data[[#This Row],[PRODQNT - FR - 2022 - amount]])), ISNUMBER(VALUE(prodcom_data[[#This Row],[IMPQNT - FR - 2022 - amount]])))), "secrets", "")</f>
        <v/>
      </c>
      <c r="AJ21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0.54546892599895813</v>
      </c>
      <c r="AK218" s="10" t="s">
        <v>2642</v>
      </c>
    </row>
    <row r="219" spans="1:37" x14ac:dyDescent="0.3">
      <c r="A219" s="4" t="s">
        <v>3</v>
      </c>
      <c r="B219" s="4" t="s">
        <v>409</v>
      </c>
      <c r="C219" s="4" t="s">
        <v>410</v>
      </c>
      <c r="D219" s="4" t="s">
        <v>411</v>
      </c>
      <c r="E219" s="5" t="s">
        <v>7</v>
      </c>
      <c r="F219" s="4" t="s">
        <v>1808</v>
      </c>
      <c r="G219" s="5" t="s">
        <v>7</v>
      </c>
      <c r="H219" s="4" t="s">
        <v>1809</v>
      </c>
      <c r="I219" s="5" t="s">
        <v>7</v>
      </c>
      <c r="J219" s="4" t="s">
        <v>1810</v>
      </c>
      <c r="K219" s="5" t="s">
        <v>7</v>
      </c>
      <c r="L219" s="4" t="s">
        <v>1811</v>
      </c>
      <c r="M219" s="5" t="s">
        <v>7</v>
      </c>
      <c r="N219" s="4" t="s">
        <v>1812</v>
      </c>
      <c r="O219" s="5" t="s">
        <v>7</v>
      </c>
      <c r="P219" s="4" t="s">
        <v>2611</v>
      </c>
      <c r="Q219" s="5" t="s">
        <v>7</v>
      </c>
      <c r="R219" s="4" t="s">
        <v>1813</v>
      </c>
      <c r="S219" s="5" t="s">
        <v>7</v>
      </c>
      <c r="T219" s="4" t="s">
        <v>1814</v>
      </c>
      <c r="U219" s="5" t="s">
        <v>7</v>
      </c>
      <c r="V219" s="4" t="s">
        <v>713</v>
      </c>
      <c r="W219" s="5" t="s">
        <v>7</v>
      </c>
      <c r="X219" s="4" t="s">
        <v>1815</v>
      </c>
      <c r="Y219" s="5" t="s">
        <v>7</v>
      </c>
      <c r="Z219" s="4" t="s">
        <v>1816</v>
      </c>
      <c r="AA219" s="5" t="s">
        <v>7</v>
      </c>
      <c r="AB21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922978</v>
      </c>
      <c r="AC219" s="8" t="str">
        <f>IF(NOT(AND(ISNUMBER(VALUE(prodcom_data[[#This Row],[PRODQNT - EU27_2020 - 2019 - amount]])), ISNUMBER(VALUE(prodcom_data[[#This Row],[IMPQNT - EU27_2020 - 2019 - amount]])))), "secrets", "")</f>
        <v/>
      </c>
      <c r="AD21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4835634</v>
      </c>
      <c r="AE219" s="8" t="str">
        <f>IF(NOT(AND(ISNUMBER(VALUE(prodcom_data[[#This Row],[PRODQNT - EU27_2020 - 2022 - amount]])), ISNUMBER(VALUE(prodcom_data[[#This Row],[IMPQNT - EU27_2020 - 2022 - amount]])))), "secrets", "")</f>
        <v/>
      </c>
      <c r="AF219" s="7">
        <f>_xlfn.LET(_xlpm.production_amount, VALUE(prodcom_data[[#This Row],[PRODQNT - FR - 2019 - amount]]), IF(ISNUMBER(_xlpm.production_amount), _xlpm.production_amount, 0))+_xlfn.LET(_xlpm.import_amount, VALUE(prodcom_data[[#This Row],[IMPQNT - FR - 2019 - amount]]), IF(ISNUMBER(_xlpm.import_amount), _xlpm.import_amount, 0))</f>
        <v>428100</v>
      </c>
      <c r="AG219" s="8" t="str">
        <f>IF(NOT(AND(ISNUMBER(VALUE(prodcom_data[[#This Row],[PRODQNT - FR - 2019 - amount]])), ISNUMBER(VALUE(prodcom_data[[#This Row],[IMPQNT - FR - 2019 - amount]])))), "secrets", "")</f>
        <v>secrets</v>
      </c>
      <c r="AH219" s="7">
        <f>_xlfn.LET(_xlpm.production_amount, VALUE(prodcom_data[[#This Row],[PRODQNT - FR - 2022 - amount]]), IF(ISNUMBER(_xlpm.production_amount), _xlpm.production_amount, 0))+_xlfn.LET(_xlpm.import_amount, VALUE(prodcom_data[[#This Row],[IMPQNT - FR - 2022 - amount]]), IF(ISNUMBER(_xlpm.import_amount), _xlpm.import_amount, 0))</f>
        <v>953383</v>
      </c>
      <c r="AI219" s="8" t="str">
        <f>IF(NOT(AND(ISNUMBER(VALUE(prodcom_data[[#This Row],[PRODQNT - FR - 2022 - amount]])), ISNUMBER(VALUE(prodcom_data[[#This Row],[IMPQNT - FR - 2022 - amount]])))), "secrets", "")</f>
        <v/>
      </c>
      <c r="AJ21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0.70063201640157213</v>
      </c>
      <c r="AK219" s="10" t="s">
        <v>2642</v>
      </c>
    </row>
    <row r="220" spans="1:37" x14ac:dyDescent="0.3">
      <c r="A220" s="4" t="s">
        <v>3</v>
      </c>
      <c r="B220" s="4" t="s">
        <v>324</v>
      </c>
      <c r="C220" s="4" t="s">
        <v>325</v>
      </c>
      <c r="D220" s="4" t="s">
        <v>326</v>
      </c>
      <c r="E220" s="5" t="s">
        <v>7</v>
      </c>
      <c r="F220" s="4" t="s">
        <v>1582</v>
      </c>
      <c r="G220" s="5" t="s">
        <v>7</v>
      </c>
      <c r="H220" s="4" t="s">
        <v>1583</v>
      </c>
      <c r="I220" s="5" t="s">
        <v>7</v>
      </c>
      <c r="J220" s="4" t="s">
        <v>1584</v>
      </c>
      <c r="K220" s="5" t="s">
        <v>7</v>
      </c>
      <c r="L220" s="4" t="s">
        <v>1585</v>
      </c>
      <c r="M220" s="5" t="s">
        <v>7</v>
      </c>
      <c r="N220" s="4" t="s">
        <v>1586</v>
      </c>
      <c r="O220" s="5" t="s">
        <v>7</v>
      </c>
      <c r="P220" s="4" t="s">
        <v>2611</v>
      </c>
      <c r="Q220" s="5" t="s">
        <v>7</v>
      </c>
      <c r="R220" s="4" t="s">
        <v>1587</v>
      </c>
      <c r="S220" s="5" t="s">
        <v>7</v>
      </c>
      <c r="T220" s="4" t="s">
        <v>1588</v>
      </c>
      <c r="U220" s="5" t="s">
        <v>7</v>
      </c>
      <c r="V220" s="4" t="s">
        <v>713</v>
      </c>
      <c r="W220" s="5" t="s">
        <v>7</v>
      </c>
      <c r="X220" s="4" t="s">
        <v>1589</v>
      </c>
      <c r="Y220" s="5" t="s">
        <v>7</v>
      </c>
      <c r="Z220" s="4" t="s">
        <v>1590</v>
      </c>
      <c r="AA220" s="5" t="s">
        <v>7</v>
      </c>
      <c r="AB22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4033122</v>
      </c>
      <c r="AC220" s="8" t="str">
        <f>IF(NOT(AND(ISNUMBER(VALUE(prodcom_data[[#This Row],[PRODQNT - EU27_2020 - 2019 - amount]])), ISNUMBER(VALUE(prodcom_data[[#This Row],[IMPQNT - EU27_2020 - 2019 - amount]])))), "secrets", "")</f>
        <v/>
      </c>
      <c r="AD22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3754947</v>
      </c>
      <c r="AE220" s="8" t="str">
        <f>IF(NOT(AND(ISNUMBER(VALUE(prodcom_data[[#This Row],[PRODQNT - EU27_2020 - 2022 - amount]])), ISNUMBER(VALUE(prodcom_data[[#This Row],[IMPQNT - EU27_2020 - 2022 - amount]])))), "secrets", "")</f>
        <v/>
      </c>
      <c r="AF220" s="7">
        <f>_xlfn.LET(_xlpm.production_amount, VALUE(prodcom_data[[#This Row],[PRODQNT - FR - 2019 - amount]]), IF(ISNUMBER(_xlpm.production_amount), _xlpm.production_amount, 0))+_xlfn.LET(_xlpm.import_amount, VALUE(prodcom_data[[#This Row],[IMPQNT - FR - 2019 - amount]]), IF(ISNUMBER(_xlpm.import_amount), _xlpm.import_amount, 0))</f>
        <v>329600</v>
      </c>
      <c r="AG220" s="8" t="str">
        <f>IF(NOT(AND(ISNUMBER(VALUE(prodcom_data[[#This Row],[PRODQNT - FR - 2019 - amount]])), ISNUMBER(VALUE(prodcom_data[[#This Row],[IMPQNT - FR - 2019 - amount]])))), "secrets", "")</f>
        <v>secrets</v>
      </c>
      <c r="AH220" s="7">
        <f>_xlfn.LET(_xlpm.production_amount, VALUE(prodcom_data[[#This Row],[PRODQNT - FR - 2022 - amount]]), IF(ISNUMBER(_xlpm.production_amount), _xlpm.production_amount, 0))+_xlfn.LET(_xlpm.import_amount, VALUE(prodcom_data[[#This Row],[IMPQNT - FR - 2022 - amount]]), IF(ISNUMBER(_xlpm.import_amount), _xlpm.import_amount, 0))</f>
        <v>277986</v>
      </c>
      <c r="AI220" s="8" t="str">
        <f>IF(NOT(AND(ISNUMBER(VALUE(prodcom_data[[#This Row],[PRODQNT - FR - 2022 - amount]])), ISNUMBER(VALUE(prodcom_data[[#This Row],[IMPQNT - FR - 2022 - amount]])))), "secrets", "")</f>
        <v/>
      </c>
      <c r="AJ22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0.1704418198179628</v>
      </c>
      <c r="AK220" s="10" t="s">
        <v>2642</v>
      </c>
    </row>
    <row r="221" spans="1:37" x14ac:dyDescent="0.3">
      <c r="A221" s="4" t="s">
        <v>3</v>
      </c>
      <c r="B221" s="4" t="s">
        <v>102</v>
      </c>
      <c r="C221" s="4" t="s">
        <v>103</v>
      </c>
      <c r="D221" s="4" t="s">
        <v>104</v>
      </c>
      <c r="E221" s="5" t="s">
        <v>7</v>
      </c>
      <c r="F221" s="4" t="s">
        <v>985</v>
      </c>
      <c r="G221" s="5" t="s">
        <v>7</v>
      </c>
      <c r="H221" s="4" t="s">
        <v>986</v>
      </c>
      <c r="I221" s="5" t="s">
        <v>7</v>
      </c>
      <c r="J221" s="4" t="s">
        <v>104</v>
      </c>
      <c r="K221" s="5" t="s">
        <v>7</v>
      </c>
      <c r="L221" s="4" t="s">
        <v>987</v>
      </c>
      <c r="M221" s="5" t="s">
        <v>7</v>
      </c>
      <c r="N221" s="4" t="s">
        <v>988</v>
      </c>
      <c r="O221" s="5" t="s">
        <v>7</v>
      </c>
      <c r="P221" s="4" t="s">
        <v>2611</v>
      </c>
      <c r="Q221" s="5" t="s">
        <v>7</v>
      </c>
      <c r="R221" s="4" t="s">
        <v>989</v>
      </c>
      <c r="S221" s="5" t="s">
        <v>7</v>
      </c>
      <c r="T221" s="4" t="s">
        <v>990</v>
      </c>
      <c r="U221" s="5" t="s">
        <v>7</v>
      </c>
      <c r="V221" s="4" t="s">
        <v>2611</v>
      </c>
      <c r="W221" s="5" t="s">
        <v>7</v>
      </c>
      <c r="X221" s="4" t="s">
        <v>991</v>
      </c>
      <c r="Y221" s="5" t="s">
        <v>7</v>
      </c>
      <c r="Z221" s="4" t="s">
        <v>992</v>
      </c>
      <c r="AA221" s="5" t="s">
        <v>7</v>
      </c>
      <c r="AB22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3447159</v>
      </c>
      <c r="AC221" s="8" t="str">
        <f>IF(NOT(AND(ISNUMBER(VALUE(prodcom_data[[#This Row],[PRODQNT - EU27_2020 - 2019 - amount]])), ISNUMBER(VALUE(prodcom_data[[#This Row],[IMPQNT - EU27_2020 - 2019 - amount]])))), "secrets", "")</f>
        <v/>
      </c>
      <c r="AD22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3604096</v>
      </c>
      <c r="AE221" s="8" t="str">
        <f>IF(NOT(AND(ISNUMBER(VALUE(prodcom_data[[#This Row],[PRODQNT - EU27_2020 - 2022 - amount]])), ISNUMBER(VALUE(prodcom_data[[#This Row],[IMPQNT - EU27_2020 - 2022 - amount]])))), "secrets", "")</f>
        <v/>
      </c>
      <c r="AF221" s="7">
        <f>_xlfn.LET(_xlpm.production_amount, VALUE(prodcom_data[[#This Row],[PRODQNT - FR - 2019 - amount]]), IF(ISNUMBER(_xlpm.production_amount), _xlpm.production_amount, 0))+_xlfn.LET(_xlpm.import_amount, VALUE(prodcom_data[[#This Row],[IMPQNT - FR - 2019 - amount]]), IF(ISNUMBER(_xlpm.import_amount), _xlpm.import_amount, 0))</f>
        <v>22300</v>
      </c>
      <c r="AG221" s="8" t="str">
        <f>IF(NOT(AND(ISNUMBER(VALUE(prodcom_data[[#This Row],[PRODQNT - FR - 2019 - amount]])), ISNUMBER(VALUE(prodcom_data[[#This Row],[IMPQNT - FR - 2019 - amount]])))), "secrets", "")</f>
        <v>secrets</v>
      </c>
      <c r="AH221" s="7">
        <f>_xlfn.LET(_xlpm.production_amount, VALUE(prodcom_data[[#This Row],[PRODQNT - FR - 2022 - amount]]), IF(ISNUMBER(_xlpm.production_amount), _xlpm.production_amount, 0))+_xlfn.LET(_xlpm.import_amount, VALUE(prodcom_data[[#This Row],[IMPQNT - FR - 2022 - amount]]), IF(ISNUMBER(_xlpm.import_amount), _xlpm.import_amount, 0))</f>
        <v>31600</v>
      </c>
      <c r="AI221" s="8" t="str">
        <f>IF(NOT(AND(ISNUMBER(VALUE(prodcom_data[[#This Row],[PRODQNT - FR - 2022 - amount]])), ISNUMBER(VALUE(prodcom_data[[#This Row],[IMPQNT - FR - 2022 - amount]])))), "secrets", "")</f>
        <v>secrets</v>
      </c>
      <c r="AJ22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0.83238626274105909</v>
      </c>
      <c r="AK221" s="10" t="s">
        <v>2642</v>
      </c>
    </row>
    <row r="222" spans="1:37" x14ac:dyDescent="0.3">
      <c r="A222" s="4" t="s">
        <v>3</v>
      </c>
      <c r="B222" s="4" t="s">
        <v>238</v>
      </c>
      <c r="C222" s="4" t="s">
        <v>239</v>
      </c>
      <c r="D222" s="4" t="s">
        <v>240</v>
      </c>
      <c r="E222" s="5" t="s">
        <v>7</v>
      </c>
      <c r="F222" s="4" t="s">
        <v>1361</v>
      </c>
      <c r="G222" s="5" t="s">
        <v>7</v>
      </c>
      <c r="H222" s="4" t="s">
        <v>1362</v>
      </c>
      <c r="I222" s="5" t="s">
        <v>7</v>
      </c>
      <c r="J222" s="4" t="s">
        <v>1363</v>
      </c>
      <c r="K222" s="5" t="s">
        <v>7</v>
      </c>
      <c r="L222" s="4" t="s">
        <v>1364</v>
      </c>
      <c r="M222" s="5" t="s">
        <v>7</v>
      </c>
      <c r="N222" s="4" t="s">
        <v>1365</v>
      </c>
      <c r="O222" s="5" t="s">
        <v>7</v>
      </c>
      <c r="P222" s="4" t="s">
        <v>2611</v>
      </c>
      <c r="Q222" s="5" t="s">
        <v>7</v>
      </c>
      <c r="R222" s="4" t="s">
        <v>713</v>
      </c>
      <c r="S222" s="5" t="s">
        <v>7</v>
      </c>
      <c r="T222" s="4" t="s">
        <v>1366</v>
      </c>
      <c r="U222" s="5" t="s">
        <v>7</v>
      </c>
      <c r="V222" s="4" t="s">
        <v>2611</v>
      </c>
      <c r="W222" s="5" t="s">
        <v>7</v>
      </c>
      <c r="X222" s="4" t="s">
        <v>1367</v>
      </c>
      <c r="Y222" s="5" t="s">
        <v>7</v>
      </c>
      <c r="Z222" s="4" t="s">
        <v>1368</v>
      </c>
      <c r="AA222" s="5" t="s">
        <v>7</v>
      </c>
      <c r="AB22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711128</v>
      </c>
      <c r="AC222" s="8" t="str">
        <f>IF(NOT(AND(ISNUMBER(VALUE(prodcom_data[[#This Row],[PRODQNT - EU27_2020 - 2019 - amount]])), ISNUMBER(VALUE(prodcom_data[[#This Row],[IMPQNT - EU27_2020 - 2019 - amount]])))), "secrets", "")</f>
        <v/>
      </c>
      <c r="AD22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738278</v>
      </c>
      <c r="AE222" s="8" t="str">
        <f>IF(NOT(AND(ISNUMBER(VALUE(prodcom_data[[#This Row],[PRODQNT - EU27_2020 - 2022 - amount]])), ISNUMBER(VALUE(prodcom_data[[#This Row],[IMPQNT - EU27_2020 - 2022 - amount]])))), "secrets", "")</f>
        <v/>
      </c>
      <c r="AF222" s="7">
        <f>_xlfn.LET(_xlpm.production_amount, VALUE(prodcom_data[[#This Row],[PRODQNT - FR - 2019 - amount]]), IF(ISNUMBER(_xlpm.production_amount), _xlpm.production_amount, 0))+_xlfn.LET(_xlpm.import_amount, VALUE(prodcom_data[[#This Row],[IMPQNT - FR - 2019 - amount]]), IF(ISNUMBER(_xlpm.import_amount), _xlpm.import_amount, 0))</f>
        <v>65800</v>
      </c>
      <c r="AG222" s="8" t="str">
        <f>IF(NOT(AND(ISNUMBER(VALUE(prodcom_data[[#This Row],[PRODQNT - FR - 2019 - amount]])), ISNUMBER(VALUE(prodcom_data[[#This Row],[IMPQNT - FR - 2019 - amount]])))), "secrets", "")</f>
        <v>secrets</v>
      </c>
      <c r="AH222" s="7">
        <f>_xlfn.LET(_xlpm.production_amount, VALUE(prodcom_data[[#This Row],[PRODQNT - FR - 2022 - amount]]), IF(ISNUMBER(_xlpm.production_amount), _xlpm.production_amount, 0))+_xlfn.LET(_xlpm.import_amount, VALUE(prodcom_data[[#This Row],[IMPQNT - FR - 2022 - amount]]), IF(ISNUMBER(_xlpm.import_amount), _xlpm.import_amount, 0))</f>
        <v>46084</v>
      </c>
      <c r="AI222" s="8" t="str">
        <f>IF(NOT(AND(ISNUMBER(VALUE(prodcom_data[[#This Row],[PRODQNT - FR - 2022 - amount]])), ISNUMBER(VALUE(prodcom_data[[#This Row],[IMPQNT - FR - 2022 - amount]])))), "secrets", "")</f>
        <v>secrets</v>
      </c>
      <c r="AJ22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0.43344106149715961</v>
      </c>
      <c r="AK222" s="10" t="s">
        <v>2642</v>
      </c>
    </row>
    <row r="223" spans="1:37" x14ac:dyDescent="0.3">
      <c r="A223" s="4" t="s">
        <v>3</v>
      </c>
      <c r="B223" s="4" t="s">
        <v>247</v>
      </c>
      <c r="C223" s="4" t="s">
        <v>248</v>
      </c>
      <c r="D223" s="4" t="s">
        <v>249</v>
      </c>
      <c r="E223" s="5" t="s">
        <v>7</v>
      </c>
      <c r="F223" s="4" t="s">
        <v>1389</v>
      </c>
      <c r="G223" s="5" t="s">
        <v>7</v>
      </c>
      <c r="H223" s="4" t="s">
        <v>1390</v>
      </c>
      <c r="I223" s="5" t="s">
        <v>7</v>
      </c>
      <c r="J223" s="4" t="s">
        <v>1391</v>
      </c>
      <c r="K223" s="5" t="s">
        <v>7</v>
      </c>
      <c r="L223" s="4" t="s">
        <v>1392</v>
      </c>
      <c r="M223" s="5" t="s">
        <v>7</v>
      </c>
      <c r="N223" s="4" t="s">
        <v>1393</v>
      </c>
      <c r="O223" s="5" t="s">
        <v>7</v>
      </c>
      <c r="P223" s="4" t="s">
        <v>713</v>
      </c>
      <c r="Q223" s="5" t="s">
        <v>7</v>
      </c>
      <c r="R223" s="4" t="s">
        <v>1394</v>
      </c>
      <c r="S223" s="5" t="s">
        <v>7</v>
      </c>
      <c r="T223" s="4" t="s">
        <v>1395</v>
      </c>
      <c r="U223" s="5" t="s">
        <v>7</v>
      </c>
      <c r="V223" s="4" t="s">
        <v>713</v>
      </c>
      <c r="W223" s="5" t="s">
        <v>7</v>
      </c>
      <c r="X223" s="4" t="s">
        <v>1396</v>
      </c>
      <c r="Y223" s="5" t="s">
        <v>7</v>
      </c>
      <c r="Z223" s="4" t="s">
        <v>1397</v>
      </c>
      <c r="AA223" s="5" t="s">
        <v>7</v>
      </c>
      <c r="AB22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407084</v>
      </c>
      <c r="AC223" s="8" t="str">
        <f>IF(NOT(AND(ISNUMBER(VALUE(prodcom_data[[#This Row],[PRODQNT - EU27_2020 - 2019 - amount]])), ISNUMBER(VALUE(prodcom_data[[#This Row],[IMPQNT - EU27_2020 - 2019 - amount]])))), "secrets", "")</f>
        <v/>
      </c>
      <c r="AD22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674911</v>
      </c>
      <c r="AE223" s="8" t="str">
        <f>IF(NOT(AND(ISNUMBER(VALUE(prodcom_data[[#This Row],[PRODQNT - EU27_2020 - 2022 - amount]])), ISNUMBER(VALUE(prodcom_data[[#This Row],[IMPQNT - EU27_2020 - 2022 - amount]])))), "secrets", "")</f>
        <v/>
      </c>
      <c r="AF223" s="7">
        <f>_xlfn.LET(_xlpm.production_amount, VALUE(prodcom_data[[#This Row],[PRODQNT - FR - 2019 - amount]]), IF(ISNUMBER(_xlpm.production_amount), _xlpm.production_amount, 0))+_xlfn.LET(_xlpm.import_amount, VALUE(prodcom_data[[#This Row],[IMPQNT - FR - 2019 - amount]]), IF(ISNUMBER(_xlpm.import_amount), _xlpm.import_amount, 0))</f>
        <v>72000</v>
      </c>
      <c r="AG223" s="8" t="str">
        <f>IF(NOT(AND(ISNUMBER(VALUE(prodcom_data[[#This Row],[PRODQNT - FR - 2019 - amount]])), ISNUMBER(VALUE(prodcom_data[[#This Row],[IMPQNT - FR - 2019 - amount]])))), "secrets", "")</f>
        <v/>
      </c>
      <c r="AH223" s="7">
        <f>_xlfn.LET(_xlpm.production_amount, VALUE(prodcom_data[[#This Row],[PRODQNT - FR - 2022 - amount]]), IF(ISNUMBER(_xlpm.production_amount), _xlpm.production_amount, 0))+_xlfn.LET(_xlpm.import_amount, VALUE(prodcom_data[[#This Row],[IMPQNT - FR - 2022 - amount]]), IF(ISNUMBER(_xlpm.import_amount), _xlpm.import_amount, 0))</f>
        <v>30111</v>
      </c>
      <c r="AI223" s="8" t="str">
        <f>IF(NOT(AND(ISNUMBER(VALUE(prodcom_data[[#This Row],[PRODQNT - FR - 2022 - amount]])), ISNUMBER(VALUE(prodcom_data[[#This Row],[IMPQNT - FR - 2022 - amount]])))), "secrets", "")</f>
        <v/>
      </c>
      <c r="AJ22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0.29633536866342375</v>
      </c>
      <c r="AK223" s="10" t="s">
        <v>2642</v>
      </c>
    </row>
    <row r="224" spans="1:37" hidden="1" x14ac:dyDescent="0.3">
      <c r="A224" s="4" t="s">
        <v>3</v>
      </c>
      <c r="B224" s="4" t="s">
        <v>20</v>
      </c>
      <c r="C224" s="4" t="s">
        <v>21</v>
      </c>
      <c r="D224" s="4" t="s">
        <v>2611</v>
      </c>
      <c r="E224" s="5" t="s">
        <v>22</v>
      </c>
      <c r="F224" s="4" t="s">
        <v>2611</v>
      </c>
      <c r="G224" s="5" t="s">
        <v>22</v>
      </c>
      <c r="H224" s="4" t="s">
        <v>2611</v>
      </c>
      <c r="I224" s="5" t="s">
        <v>22</v>
      </c>
      <c r="J224" s="4" t="s">
        <v>2611</v>
      </c>
      <c r="K224" s="5" t="s">
        <v>22</v>
      </c>
      <c r="L224" s="4" t="s">
        <v>2611</v>
      </c>
      <c r="M224" s="5" t="s">
        <v>22</v>
      </c>
      <c r="N224" s="4" t="s">
        <v>2611</v>
      </c>
      <c r="O224" s="5" t="s">
        <v>22</v>
      </c>
      <c r="P224" s="4" t="s">
        <v>2611</v>
      </c>
      <c r="Q224" s="5" t="s">
        <v>22</v>
      </c>
      <c r="R224" s="4" t="s">
        <v>2611</v>
      </c>
      <c r="S224" s="5" t="s">
        <v>22</v>
      </c>
      <c r="T224" s="4" t="s">
        <v>2611</v>
      </c>
      <c r="U224" s="5" t="s">
        <v>22</v>
      </c>
      <c r="V224" s="4" t="s">
        <v>2611</v>
      </c>
      <c r="W224" s="5" t="s">
        <v>22</v>
      </c>
      <c r="X224" s="4" t="s">
        <v>2611</v>
      </c>
      <c r="Y224" s="5" t="s">
        <v>22</v>
      </c>
      <c r="Z224" s="4" t="s">
        <v>2611</v>
      </c>
      <c r="AA224" s="5" t="s">
        <v>22</v>
      </c>
      <c r="AB22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4" s="8" t="str">
        <f>IF(NOT(AND(ISNUMBER(VALUE(prodcom_data[[#This Row],[PRODQNT - EU27_2020 - 2019 - amount]])), ISNUMBER(VALUE(prodcom_data[[#This Row],[IMPQNT - EU27_2020 - 2019 - amount]])))), "secrets", "")</f>
        <v>secrets</v>
      </c>
      <c r="AD22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4" s="8" t="str">
        <f>IF(NOT(AND(ISNUMBER(VALUE(prodcom_data[[#This Row],[PRODQNT - EU27_2020 - 2022 - amount]])), ISNUMBER(VALUE(prodcom_data[[#This Row],[IMPQNT - EU27_2020 - 2022 - amount]])))), "secrets", "")</f>
        <v>secrets</v>
      </c>
      <c r="AF224"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4" s="8" t="str">
        <f>IF(NOT(AND(ISNUMBER(VALUE(prodcom_data[[#This Row],[PRODQNT - FR - 2019 - amount]])), ISNUMBER(VALUE(prodcom_data[[#This Row],[IMPQNT - FR - 2019 - amount]])))), "secrets", "")</f>
        <v>secrets</v>
      </c>
      <c r="AH224"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4" s="8" t="str">
        <f>IF(NOT(AND(ISNUMBER(VALUE(prodcom_data[[#This Row],[PRODQNT - FR - 2022 - amount]])), ISNUMBER(VALUE(prodcom_data[[#This Row],[IMPQNT - FR - 2022 - amount]])))), "secrets", "")</f>
        <v>secrets</v>
      </c>
      <c r="AJ224"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4" s="10" t="s">
        <v>2700</v>
      </c>
    </row>
    <row r="225" spans="1:37" x14ac:dyDescent="0.3">
      <c r="A225" s="4" t="s">
        <v>3</v>
      </c>
      <c r="B225" s="4" t="s">
        <v>23</v>
      </c>
      <c r="C225" s="4" t="s">
        <v>24</v>
      </c>
      <c r="D225" s="4" t="s">
        <v>2611</v>
      </c>
      <c r="E225" s="5" t="s">
        <v>22</v>
      </c>
      <c r="F225" s="4" t="s">
        <v>2611</v>
      </c>
      <c r="G225" s="5" t="s">
        <v>22</v>
      </c>
      <c r="H225" s="4" t="s">
        <v>2611</v>
      </c>
      <c r="I225" s="5" t="s">
        <v>22</v>
      </c>
      <c r="J225" s="4" t="s">
        <v>2611</v>
      </c>
      <c r="K225" s="5" t="s">
        <v>22</v>
      </c>
      <c r="L225" s="4" t="s">
        <v>2611</v>
      </c>
      <c r="M225" s="5" t="s">
        <v>22</v>
      </c>
      <c r="N225" s="4" t="s">
        <v>2611</v>
      </c>
      <c r="O225" s="5" t="s">
        <v>22</v>
      </c>
      <c r="P225" s="4" t="s">
        <v>2611</v>
      </c>
      <c r="Q225" s="5" t="s">
        <v>22</v>
      </c>
      <c r="R225" s="4" t="s">
        <v>2611</v>
      </c>
      <c r="S225" s="5" t="s">
        <v>22</v>
      </c>
      <c r="T225" s="4" t="s">
        <v>2611</v>
      </c>
      <c r="U225" s="5" t="s">
        <v>22</v>
      </c>
      <c r="V225" s="4" t="s">
        <v>2611</v>
      </c>
      <c r="W225" s="5" t="s">
        <v>22</v>
      </c>
      <c r="X225" s="4" t="s">
        <v>2611</v>
      </c>
      <c r="Y225" s="5" t="s">
        <v>22</v>
      </c>
      <c r="Z225" s="4" t="s">
        <v>2611</v>
      </c>
      <c r="AA225" s="5" t="s">
        <v>22</v>
      </c>
      <c r="AB22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5" s="8" t="str">
        <f>IF(NOT(AND(ISNUMBER(VALUE(prodcom_data[[#This Row],[PRODQNT - EU27_2020 - 2019 - amount]])), ISNUMBER(VALUE(prodcom_data[[#This Row],[IMPQNT - EU27_2020 - 2019 - amount]])))), "secrets", "")</f>
        <v>secrets</v>
      </c>
      <c r="AD22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5" s="8" t="str">
        <f>IF(NOT(AND(ISNUMBER(VALUE(prodcom_data[[#This Row],[PRODQNT - EU27_2020 - 2022 - amount]])), ISNUMBER(VALUE(prodcom_data[[#This Row],[IMPQNT - EU27_2020 - 2022 - amount]])))), "secrets", "")</f>
        <v>secrets</v>
      </c>
      <c r="AF225"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5" s="8" t="str">
        <f>IF(NOT(AND(ISNUMBER(VALUE(prodcom_data[[#This Row],[PRODQNT - FR - 2019 - amount]])), ISNUMBER(VALUE(prodcom_data[[#This Row],[IMPQNT - FR - 2019 - amount]])))), "secrets", "")</f>
        <v>secrets</v>
      </c>
      <c r="AH225"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5" s="8" t="str">
        <f>IF(NOT(AND(ISNUMBER(VALUE(prodcom_data[[#This Row],[PRODQNT - FR - 2022 - amount]])), ISNUMBER(VALUE(prodcom_data[[#This Row],[IMPQNT - FR - 2022 - amount]])))), "secrets", "")</f>
        <v>secrets</v>
      </c>
      <c r="AJ225"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5" s="10" t="s">
        <v>2642</v>
      </c>
    </row>
    <row r="226" spans="1:37" hidden="1" x14ac:dyDescent="0.3">
      <c r="A226" s="4" t="s">
        <v>3</v>
      </c>
      <c r="B226" s="4" t="s">
        <v>147</v>
      </c>
      <c r="C226" s="4" t="s">
        <v>148</v>
      </c>
      <c r="D226" s="4" t="s">
        <v>2611</v>
      </c>
      <c r="E226" s="5" t="s">
        <v>22</v>
      </c>
      <c r="F226" s="4" t="s">
        <v>2611</v>
      </c>
      <c r="G226" s="5" t="s">
        <v>22</v>
      </c>
      <c r="H226" s="4" t="s">
        <v>2611</v>
      </c>
      <c r="I226" s="5" t="s">
        <v>22</v>
      </c>
      <c r="J226" s="4" t="s">
        <v>2611</v>
      </c>
      <c r="K226" s="5" t="s">
        <v>22</v>
      </c>
      <c r="L226" s="4" t="s">
        <v>2611</v>
      </c>
      <c r="M226" s="5" t="s">
        <v>22</v>
      </c>
      <c r="N226" s="4" t="s">
        <v>2611</v>
      </c>
      <c r="O226" s="5" t="s">
        <v>22</v>
      </c>
      <c r="P226" s="4" t="s">
        <v>2611</v>
      </c>
      <c r="Q226" s="5" t="s">
        <v>22</v>
      </c>
      <c r="R226" s="4" t="s">
        <v>2611</v>
      </c>
      <c r="S226" s="5" t="s">
        <v>22</v>
      </c>
      <c r="T226" s="4" t="s">
        <v>2611</v>
      </c>
      <c r="U226" s="5" t="s">
        <v>22</v>
      </c>
      <c r="V226" s="4" t="s">
        <v>2611</v>
      </c>
      <c r="W226" s="5" t="s">
        <v>22</v>
      </c>
      <c r="X226" s="4" t="s">
        <v>2611</v>
      </c>
      <c r="Y226" s="5" t="s">
        <v>22</v>
      </c>
      <c r="Z226" s="4" t="s">
        <v>2611</v>
      </c>
      <c r="AA226" s="5" t="s">
        <v>22</v>
      </c>
      <c r="AB22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6" s="8" t="str">
        <f>IF(NOT(AND(ISNUMBER(VALUE(prodcom_data[[#This Row],[PRODQNT - EU27_2020 - 2019 - amount]])), ISNUMBER(VALUE(prodcom_data[[#This Row],[IMPQNT - EU27_2020 - 2019 - amount]])))), "secrets", "")</f>
        <v>secrets</v>
      </c>
      <c r="AD22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6" s="8" t="str">
        <f>IF(NOT(AND(ISNUMBER(VALUE(prodcom_data[[#This Row],[PRODQNT - EU27_2020 - 2022 - amount]])), ISNUMBER(VALUE(prodcom_data[[#This Row],[IMPQNT - EU27_2020 - 2022 - amount]])))), "secrets", "")</f>
        <v>secrets</v>
      </c>
      <c r="AF226"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6" s="8" t="str">
        <f>IF(NOT(AND(ISNUMBER(VALUE(prodcom_data[[#This Row],[PRODQNT - FR - 2019 - amount]])), ISNUMBER(VALUE(prodcom_data[[#This Row],[IMPQNT - FR - 2019 - amount]])))), "secrets", "")</f>
        <v>secrets</v>
      </c>
      <c r="AH226"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6" s="8" t="str">
        <f>IF(NOT(AND(ISNUMBER(VALUE(prodcom_data[[#This Row],[PRODQNT - FR - 2022 - amount]])), ISNUMBER(VALUE(prodcom_data[[#This Row],[IMPQNT - FR - 2022 - amount]])))), "secrets", "")</f>
        <v>secrets</v>
      </c>
      <c r="AJ226"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6" s="10" t="s">
        <v>2641</v>
      </c>
    </row>
    <row r="227" spans="1:37" x14ac:dyDescent="0.3">
      <c r="A227" s="4" t="s">
        <v>3</v>
      </c>
      <c r="B227" s="4" t="s">
        <v>195</v>
      </c>
      <c r="C227" s="4" t="s">
        <v>196</v>
      </c>
      <c r="D227" s="4" t="s">
        <v>2611</v>
      </c>
      <c r="E227" s="5" t="s">
        <v>22</v>
      </c>
      <c r="F227" s="4" t="s">
        <v>2611</v>
      </c>
      <c r="G227" s="5" t="s">
        <v>22</v>
      </c>
      <c r="H227" s="4" t="s">
        <v>2611</v>
      </c>
      <c r="I227" s="5" t="s">
        <v>22</v>
      </c>
      <c r="J227" s="4" t="s">
        <v>2611</v>
      </c>
      <c r="K227" s="5" t="s">
        <v>22</v>
      </c>
      <c r="L227" s="4" t="s">
        <v>2611</v>
      </c>
      <c r="M227" s="5" t="s">
        <v>22</v>
      </c>
      <c r="N227" s="4" t="s">
        <v>2611</v>
      </c>
      <c r="O227" s="5" t="s">
        <v>22</v>
      </c>
      <c r="P227" s="4" t="s">
        <v>2611</v>
      </c>
      <c r="Q227" s="5" t="s">
        <v>22</v>
      </c>
      <c r="R227" s="4" t="s">
        <v>2611</v>
      </c>
      <c r="S227" s="5" t="s">
        <v>22</v>
      </c>
      <c r="T227" s="4" t="s">
        <v>2611</v>
      </c>
      <c r="U227" s="5" t="s">
        <v>22</v>
      </c>
      <c r="V227" s="4" t="s">
        <v>2611</v>
      </c>
      <c r="W227" s="5" t="s">
        <v>22</v>
      </c>
      <c r="X227" s="4" t="s">
        <v>2611</v>
      </c>
      <c r="Y227" s="5" t="s">
        <v>22</v>
      </c>
      <c r="Z227" s="4" t="s">
        <v>2611</v>
      </c>
      <c r="AA227" s="5" t="s">
        <v>22</v>
      </c>
      <c r="AB22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7" s="8" t="str">
        <f>IF(NOT(AND(ISNUMBER(VALUE(prodcom_data[[#This Row],[PRODQNT - EU27_2020 - 2019 - amount]])), ISNUMBER(VALUE(prodcom_data[[#This Row],[IMPQNT - EU27_2020 - 2019 - amount]])))), "secrets", "")</f>
        <v>secrets</v>
      </c>
      <c r="AD22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7" s="8" t="str">
        <f>IF(NOT(AND(ISNUMBER(VALUE(prodcom_data[[#This Row],[PRODQNT - EU27_2020 - 2022 - amount]])), ISNUMBER(VALUE(prodcom_data[[#This Row],[IMPQNT - EU27_2020 - 2022 - amount]])))), "secrets", "")</f>
        <v>secrets</v>
      </c>
      <c r="AF227"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7" s="8" t="str">
        <f>IF(NOT(AND(ISNUMBER(VALUE(prodcom_data[[#This Row],[PRODQNT - FR - 2019 - amount]])), ISNUMBER(VALUE(prodcom_data[[#This Row],[IMPQNT - FR - 2019 - amount]])))), "secrets", "")</f>
        <v>secrets</v>
      </c>
      <c r="AH227"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7" s="8" t="str">
        <f>IF(NOT(AND(ISNUMBER(VALUE(prodcom_data[[#This Row],[PRODQNT - FR - 2022 - amount]])), ISNUMBER(VALUE(prodcom_data[[#This Row],[IMPQNT - FR - 2022 - amount]])))), "secrets", "")</f>
        <v>secrets</v>
      </c>
      <c r="AJ227"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7" s="10" t="s">
        <v>2642</v>
      </c>
    </row>
    <row r="228" spans="1:37" hidden="1" x14ac:dyDescent="0.3">
      <c r="A228" s="4" t="s">
        <v>3</v>
      </c>
      <c r="B228" s="4" t="s">
        <v>200</v>
      </c>
      <c r="C228" s="4" t="s">
        <v>201</v>
      </c>
      <c r="D228" s="4" t="s">
        <v>2611</v>
      </c>
      <c r="E228" s="5" t="s">
        <v>22</v>
      </c>
      <c r="F228" s="4" t="s">
        <v>2611</v>
      </c>
      <c r="G228" s="5" t="s">
        <v>22</v>
      </c>
      <c r="H228" s="4" t="s">
        <v>2611</v>
      </c>
      <c r="I228" s="5" t="s">
        <v>22</v>
      </c>
      <c r="J228" s="4" t="s">
        <v>2611</v>
      </c>
      <c r="K228" s="5" t="s">
        <v>22</v>
      </c>
      <c r="L228" s="4" t="s">
        <v>2611</v>
      </c>
      <c r="M228" s="5" t="s">
        <v>22</v>
      </c>
      <c r="N228" s="4" t="s">
        <v>2611</v>
      </c>
      <c r="O228" s="5" t="s">
        <v>22</v>
      </c>
      <c r="P228" s="4" t="s">
        <v>2611</v>
      </c>
      <c r="Q228" s="5" t="s">
        <v>22</v>
      </c>
      <c r="R228" s="4" t="s">
        <v>2611</v>
      </c>
      <c r="S228" s="5" t="s">
        <v>22</v>
      </c>
      <c r="T228" s="4" t="s">
        <v>2611</v>
      </c>
      <c r="U228" s="5" t="s">
        <v>22</v>
      </c>
      <c r="V228" s="4" t="s">
        <v>2611</v>
      </c>
      <c r="W228" s="5" t="s">
        <v>22</v>
      </c>
      <c r="X228" s="4" t="s">
        <v>2611</v>
      </c>
      <c r="Y228" s="5" t="s">
        <v>22</v>
      </c>
      <c r="Z228" s="4" t="s">
        <v>2611</v>
      </c>
      <c r="AA228" s="5" t="s">
        <v>22</v>
      </c>
      <c r="AB22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8" s="8" t="str">
        <f>IF(NOT(AND(ISNUMBER(VALUE(prodcom_data[[#This Row],[PRODQNT - EU27_2020 - 2019 - amount]])), ISNUMBER(VALUE(prodcom_data[[#This Row],[IMPQNT - EU27_2020 - 2019 - amount]])))), "secrets", "")</f>
        <v>secrets</v>
      </c>
      <c r="AD22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8" s="8" t="str">
        <f>IF(NOT(AND(ISNUMBER(VALUE(prodcom_data[[#This Row],[PRODQNT - EU27_2020 - 2022 - amount]])), ISNUMBER(VALUE(prodcom_data[[#This Row],[IMPQNT - EU27_2020 - 2022 - amount]])))), "secrets", "")</f>
        <v>secrets</v>
      </c>
      <c r="AF228"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8" s="8" t="str">
        <f>IF(NOT(AND(ISNUMBER(VALUE(prodcom_data[[#This Row],[PRODQNT - FR - 2019 - amount]])), ISNUMBER(VALUE(prodcom_data[[#This Row],[IMPQNT - FR - 2019 - amount]])))), "secrets", "")</f>
        <v>secrets</v>
      </c>
      <c r="AH228"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8" s="8" t="str">
        <f>IF(NOT(AND(ISNUMBER(VALUE(prodcom_data[[#This Row],[PRODQNT - FR - 2022 - amount]])), ISNUMBER(VALUE(prodcom_data[[#This Row],[IMPQNT - FR - 2022 - amount]])))), "secrets", "")</f>
        <v>secrets</v>
      </c>
      <c r="AJ228"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8" s="10" t="s">
        <v>2649</v>
      </c>
    </row>
    <row r="229" spans="1:37" hidden="1" x14ac:dyDescent="0.3">
      <c r="A229" s="4" t="s">
        <v>3</v>
      </c>
      <c r="B229" s="4" t="s">
        <v>250</v>
      </c>
      <c r="C229" s="4" t="s">
        <v>251</v>
      </c>
      <c r="D229" s="4" t="s">
        <v>2611</v>
      </c>
      <c r="E229" s="5" t="s">
        <v>22</v>
      </c>
      <c r="F229" s="4" t="s">
        <v>2611</v>
      </c>
      <c r="G229" s="5" t="s">
        <v>22</v>
      </c>
      <c r="H229" s="4" t="s">
        <v>2611</v>
      </c>
      <c r="I229" s="5" t="s">
        <v>22</v>
      </c>
      <c r="J229" s="4" t="s">
        <v>2611</v>
      </c>
      <c r="K229" s="5" t="s">
        <v>22</v>
      </c>
      <c r="L229" s="4" t="s">
        <v>2611</v>
      </c>
      <c r="M229" s="5" t="s">
        <v>22</v>
      </c>
      <c r="N229" s="4" t="s">
        <v>2611</v>
      </c>
      <c r="O229" s="5" t="s">
        <v>22</v>
      </c>
      <c r="P229" s="4" t="s">
        <v>2611</v>
      </c>
      <c r="Q229" s="5" t="s">
        <v>22</v>
      </c>
      <c r="R229" s="4" t="s">
        <v>2611</v>
      </c>
      <c r="S229" s="5" t="s">
        <v>22</v>
      </c>
      <c r="T229" s="4" t="s">
        <v>2611</v>
      </c>
      <c r="U229" s="5" t="s">
        <v>22</v>
      </c>
      <c r="V229" s="4" t="s">
        <v>2611</v>
      </c>
      <c r="W229" s="5" t="s">
        <v>22</v>
      </c>
      <c r="X229" s="4" t="s">
        <v>2611</v>
      </c>
      <c r="Y229" s="5" t="s">
        <v>22</v>
      </c>
      <c r="Z229" s="4" t="s">
        <v>2611</v>
      </c>
      <c r="AA229" s="5" t="s">
        <v>22</v>
      </c>
      <c r="AB22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9" s="8" t="str">
        <f>IF(NOT(AND(ISNUMBER(VALUE(prodcom_data[[#This Row],[PRODQNT - EU27_2020 - 2019 - amount]])), ISNUMBER(VALUE(prodcom_data[[#This Row],[IMPQNT - EU27_2020 - 2019 - amount]])))), "secrets", "")</f>
        <v>secrets</v>
      </c>
      <c r="AD22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9" s="8" t="str">
        <f>IF(NOT(AND(ISNUMBER(VALUE(prodcom_data[[#This Row],[PRODQNT - EU27_2020 - 2022 - amount]])), ISNUMBER(VALUE(prodcom_data[[#This Row],[IMPQNT - EU27_2020 - 2022 - amount]])))), "secrets", "")</f>
        <v>secrets</v>
      </c>
      <c r="AF229"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9" s="8" t="str">
        <f>IF(NOT(AND(ISNUMBER(VALUE(prodcom_data[[#This Row],[PRODQNT - FR - 2019 - amount]])), ISNUMBER(VALUE(prodcom_data[[#This Row],[IMPQNT - FR - 2019 - amount]])))), "secrets", "")</f>
        <v>secrets</v>
      </c>
      <c r="AH229"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9" s="8" t="str">
        <f>IF(NOT(AND(ISNUMBER(VALUE(prodcom_data[[#This Row],[PRODQNT - FR - 2022 - amount]])), ISNUMBER(VALUE(prodcom_data[[#This Row],[IMPQNT - FR - 2022 - amount]])))), "secrets", "")</f>
        <v>secrets</v>
      </c>
      <c r="AJ229"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9" s="10" t="s">
        <v>2641</v>
      </c>
    </row>
    <row r="230" spans="1:37" x14ac:dyDescent="0.3">
      <c r="A230" s="4" t="s">
        <v>3</v>
      </c>
      <c r="B230" s="4" t="s">
        <v>311</v>
      </c>
      <c r="C230" s="4" t="s">
        <v>312</v>
      </c>
      <c r="D230" s="4" t="s">
        <v>2611</v>
      </c>
      <c r="E230" s="5" t="s">
        <v>22</v>
      </c>
      <c r="F230" s="4" t="s">
        <v>2611</v>
      </c>
      <c r="G230" s="5" t="s">
        <v>22</v>
      </c>
      <c r="H230" s="4" t="s">
        <v>2611</v>
      </c>
      <c r="I230" s="5" t="s">
        <v>22</v>
      </c>
      <c r="J230" s="4" t="s">
        <v>2611</v>
      </c>
      <c r="K230" s="5" t="s">
        <v>22</v>
      </c>
      <c r="L230" s="4" t="s">
        <v>2611</v>
      </c>
      <c r="M230" s="5" t="s">
        <v>22</v>
      </c>
      <c r="N230" s="4" t="s">
        <v>2611</v>
      </c>
      <c r="O230" s="5" t="s">
        <v>22</v>
      </c>
      <c r="P230" s="4" t="s">
        <v>2611</v>
      </c>
      <c r="Q230" s="5" t="s">
        <v>22</v>
      </c>
      <c r="R230" s="4" t="s">
        <v>2611</v>
      </c>
      <c r="S230" s="5" t="s">
        <v>22</v>
      </c>
      <c r="T230" s="4" t="s">
        <v>2611</v>
      </c>
      <c r="U230" s="5" t="s">
        <v>22</v>
      </c>
      <c r="V230" s="4" t="s">
        <v>2611</v>
      </c>
      <c r="W230" s="5" t="s">
        <v>22</v>
      </c>
      <c r="X230" s="4" t="s">
        <v>2611</v>
      </c>
      <c r="Y230" s="5" t="s">
        <v>22</v>
      </c>
      <c r="Z230" s="4" t="s">
        <v>2611</v>
      </c>
      <c r="AA230" s="5" t="s">
        <v>22</v>
      </c>
      <c r="AB23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0" s="8" t="str">
        <f>IF(NOT(AND(ISNUMBER(VALUE(prodcom_data[[#This Row],[PRODQNT - EU27_2020 - 2019 - amount]])), ISNUMBER(VALUE(prodcom_data[[#This Row],[IMPQNT - EU27_2020 - 2019 - amount]])))), "secrets", "")</f>
        <v>secrets</v>
      </c>
      <c r="AD23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0" s="8" t="str">
        <f>IF(NOT(AND(ISNUMBER(VALUE(prodcom_data[[#This Row],[PRODQNT - EU27_2020 - 2022 - amount]])), ISNUMBER(VALUE(prodcom_data[[#This Row],[IMPQNT - EU27_2020 - 2022 - amount]])))), "secrets", "")</f>
        <v>secrets</v>
      </c>
      <c r="AF230"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0" s="8" t="str">
        <f>IF(NOT(AND(ISNUMBER(VALUE(prodcom_data[[#This Row],[PRODQNT - FR - 2019 - amount]])), ISNUMBER(VALUE(prodcom_data[[#This Row],[IMPQNT - FR - 2019 - amount]])))), "secrets", "")</f>
        <v>secrets</v>
      </c>
      <c r="AH230"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0" s="8" t="str">
        <f>IF(NOT(AND(ISNUMBER(VALUE(prodcom_data[[#This Row],[PRODQNT - FR - 2022 - amount]])), ISNUMBER(VALUE(prodcom_data[[#This Row],[IMPQNT - FR - 2022 - amount]])))), "secrets", "")</f>
        <v>secrets</v>
      </c>
      <c r="AJ230"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0" s="10" t="s">
        <v>2642</v>
      </c>
    </row>
    <row r="231" spans="1:37" x14ac:dyDescent="0.3">
      <c r="A231" s="4" t="s">
        <v>3</v>
      </c>
      <c r="B231" s="4" t="s">
        <v>316</v>
      </c>
      <c r="C231" s="4" t="s">
        <v>317</v>
      </c>
      <c r="D231" s="4" t="s">
        <v>2611</v>
      </c>
      <c r="E231" s="5" t="s">
        <v>22</v>
      </c>
      <c r="F231" s="4" t="s">
        <v>2611</v>
      </c>
      <c r="G231" s="5" t="s">
        <v>22</v>
      </c>
      <c r="H231" s="4" t="s">
        <v>2611</v>
      </c>
      <c r="I231" s="5" t="s">
        <v>22</v>
      </c>
      <c r="J231" s="4" t="s">
        <v>2611</v>
      </c>
      <c r="K231" s="5" t="s">
        <v>22</v>
      </c>
      <c r="L231" s="4" t="s">
        <v>2611</v>
      </c>
      <c r="M231" s="5" t="s">
        <v>22</v>
      </c>
      <c r="N231" s="4" t="s">
        <v>2611</v>
      </c>
      <c r="O231" s="5" t="s">
        <v>22</v>
      </c>
      <c r="P231" s="4" t="s">
        <v>2611</v>
      </c>
      <c r="Q231" s="5" t="s">
        <v>22</v>
      </c>
      <c r="R231" s="4" t="s">
        <v>2611</v>
      </c>
      <c r="S231" s="5" t="s">
        <v>22</v>
      </c>
      <c r="T231" s="4" t="s">
        <v>2611</v>
      </c>
      <c r="U231" s="5" t="s">
        <v>22</v>
      </c>
      <c r="V231" s="4" t="s">
        <v>2611</v>
      </c>
      <c r="W231" s="5" t="s">
        <v>22</v>
      </c>
      <c r="X231" s="4" t="s">
        <v>2611</v>
      </c>
      <c r="Y231" s="5" t="s">
        <v>22</v>
      </c>
      <c r="Z231" s="4" t="s">
        <v>2611</v>
      </c>
      <c r="AA231" s="5" t="s">
        <v>22</v>
      </c>
      <c r="AB23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1" s="8" t="str">
        <f>IF(NOT(AND(ISNUMBER(VALUE(prodcom_data[[#This Row],[PRODQNT - EU27_2020 - 2019 - amount]])), ISNUMBER(VALUE(prodcom_data[[#This Row],[IMPQNT - EU27_2020 - 2019 - amount]])))), "secrets", "")</f>
        <v>secrets</v>
      </c>
      <c r="AD23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1" s="8" t="str">
        <f>IF(NOT(AND(ISNUMBER(VALUE(prodcom_data[[#This Row],[PRODQNT - EU27_2020 - 2022 - amount]])), ISNUMBER(VALUE(prodcom_data[[#This Row],[IMPQNT - EU27_2020 - 2022 - amount]])))), "secrets", "")</f>
        <v>secrets</v>
      </c>
      <c r="AF231"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1" s="8" t="str">
        <f>IF(NOT(AND(ISNUMBER(VALUE(prodcom_data[[#This Row],[PRODQNT - FR - 2019 - amount]])), ISNUMBER(VALUE(prodcom_data[[#This Row],[IMPQNT - FR - 2019 - amount]])))), "secrets", "")</f>
        <v>secrets</v>
      </c>
      <c r="AH231"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1" s="8" t="str">
        <f>IF(NOT(AND(ISNUMBER(VALUE(prodcom_data[[#This Row],[PRODQNT - FR - 2022 - amount]])), ISNUMBER(VALUE(prodcom_data[[#This Row],[IMPQNT - FR - 2022 - amount]])))), "secrets", "")</f>
        <v>secrets</v>
      </c>
      <c r="AJ231"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1" s="10" t="s">
        <v>2642</v>
      </c>
    </row>
    <row r="232" spans="1:37" hidden="1" x14ac:dyDescent="0.3">
      <c r="A232" s="4" t="s">
        <v>3</v>
      </c>
      <c r="B232" s="4" t="s">
        <v>357</v>
      </c>
      <c r="C232" s="4" t="s">
        <v>358</v>
      </c>
      <c r="D232" s="4" t="s">
        <v>2611</v>
      </c>
      <c r="E232" s="5" t="s">
        <v>22</v>
      </c>
      <c r="F232" s="4" t="s">
        <v>2611</v>
      </c>
      <c r="G232" s="5" t="s">
        <v>22</v>
      </c>
      <c r="H232" s="4" t="s">
        <v>2611</v>
      </c>
      <c r="I232" s="5" t="s">
        <v>22</v>
      </c>
      <c r="J232" s="4" t="s">
        <v>2611</v>
      </c>
      <c r="K232" s="5" t="s">
        <v>22</v>
      </c>
      <c r="L232" s="4" t="s">
        <v>2611</v>
      </c>
      <c r="M232" s="5" t="s">
        <v>22</v>
      </c>
      <c r="N232" s="4" t="s">
        <v>2611</v>
      </c>
      <c r="O232" s="5" t="s">
        <v>22</v>
      </c>
      <c r="P232" s="4" t="s">
        <v>2611</v>
      </c>
      <c r="Q232" s="5" t="s">
        <v>22</v>
      </c>
      <c r="R232" s="4" t="s">
        <v>2611</v>
      </c>
      <c r="S232" s="5" t="s">
        <v>22</v>
      </c>
      <c r="T232" s="4" t="s">
        <v>2611</v>
      </c>
      <c r="U232" s="5" t="s">
        <v>22</v>
      </c>
      <c r="V232" s="4" t="s">
        <v>2611</v>
      </c>
      <c r="W232" s="5" t="s">
        <v>22</v>
      </c>
      <c r="X232" s="4" t="s">
        <v>2611</v>
      </c>
      <c r="Y232" s="5" t="s">
        <v>22</v>
      </c>
      <c r="Z232" s="4" t="s">
        <v>2611</v>
      </c>
      <c r="AA232" s="5" t="s">
        <v>22</v>
      </c>
      <c r="AB23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2" s="8" t="str">
        <f>IF(NOT(AND(ISNUMBER(VALUE(prodcom_data[[#This Row],[PRODQNT - EU27_2020 - 2019 - amount]])), ISNUMBER(VALUE(prodcom_data[[#This Row],[IMPQNT - EU27_2020 - 2019 - amount]])))), "secrets", "")</f>
        <v>secrets</v>
      </c>
      <c r="AD23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2" s="8" t="str">
        <f>IF(NOT(AND(ISNUMBER(VALUE(prodcom_data[[#This Row],[PRODQNT - EU27_2020 - 2022 - amount]])), ISNUMBER(VALUE(prodcom_data[[#This Row],[IMPQNT - EU27_2020 - 2022 - amount]])))), "secrets", "")</f>
        <v>secrets</v>
      </c>
      <c r="AF232"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2" s="8" t="str">
        <f>IF(NOT(AND(ISNUMBER(VALUE(prodcom_data[[#This Row],[PRODQNT - FR - 2019 - amount]])), ISNUMBER(VALUE(prodcom_data[[#This Row],[IMPQNT - FR - 2019 - amount]])))), "secrets", "")</f>
        <v>secrets</v>
      </c>
      <c r="AH232"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2" s="8" t="str">
        <f>IF(NOT(AND(ISNUMBER(VALUE(prodcom_data[[#This Row],[PRODQNT - FR - 2022 - amount]])), ISNUMBER(VALUE(prodcom_data[[#This Row],[IMPQNT - FR - 2022 - amount]])))), "secrets", "")</f>
        <v>secrets</v>
      </c>
      <c r="AJ232"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2" s="10" t="s">
        <v>2641</v>
      </c>
    </row>
    <row r="233" spans="1:37" hidden="1" x14ac:dyDescent="0.3">
      <c r="A233" s="4" t="s">
        <v>3</v>
      </c>
      <c r="B233" s="4" t="s">
        <v>361</v>
      </c>
      <c r="C233" s="4" t="s">
        <v>362</v>
      </c>
      <c r="D233" s="4" t="s">
        <v>2611</v>
      </c>
      <c r="E233" s="5" t="s">
        <v>22</v>
      </c>
      <c r="F233" s="4" t="s">
        <v>2611</v>
      </c>
      <c r="G233" s="5" t="s">
        <v>22</v>
      </c>
      <c r="H233" s="4" t="s">
        <v>2611</v>
      </c>
      <c r="I233" s="5" t="s">
        <v>22</v>
      </c>
      <c r="J233" s="4" t="s">
        <v>2611</v>
      </c>
      <c r="K233" s="5" t="s">
        <v>22</v>
      </c>
      <c r="L233" s="4" t="s">
        <v>2611</v>
      </c>
      <c r="M233" s="5" t="s">
        <v>22</v>
      </c>
      <c r="N233" s="4" t="s">
        <v>2611</v>
      </c>
      <c r="O233" s="5" t="s">
        <v>22</v>
      </c>
      <c r="P233" s="4" t="s">
        <v>2611</v>
      </c>
      <c r="Q233" s="5" t="s">
        <v>22</v>
      </c>
      <c r="R233" s="4" t="s">
        <v>2611</v>
      </c>
      <c r="S233" s="5" t="s">
        <v>22</v>
      </c>
      <c r="T233" s="4" t="s">
        <v>2611</v>
      </c>
      <c r="U233" s="5" t="s">
        <v>22</v>
      </c>
      <c r="V233" s="4" t="s">
        <v>2611</v>
      </c>
      <c r="W233" s="5" t="s">
        <v>22</v>
      </c>
      <c r="X233" s="4" t="s">
        <v>2611</v>
      </c>
      <c r="Y233" s="5" t="s">
        <v>22</v>
      </c>
      <c r="Z233" s="4" t="s">
        <v>2611</v>
      </c>
      <c r="AA233" s="5" t="s">
        <v>22</v>
      </c>
      <c r="AB23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3" s="8" t="str">
        <f>IF(NOT(AND(ISNUMBER(VALUE(prodcom_data[[#This Row],[PRODQNT - EU27_2020 - 2019 - amount]])), ISNUMBER(VALUE(prodcom_data[[#This Row],[IMPQNT - EU27_2020 - 2019 - amount]])))), "secrets", "")</f>
        <v>secrets</v>
      </c>
      <c r="AD23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3" s="8" t="str">
        <f>IF(NOT(AND(ISNUMBER(VALUE(prodcom_data[[#This Row],[PRODQNT - EU27_2020 - 2022 - amount]])), ISNUMBER(VALUE(prodcom_data[[#This Row],[IMPQNT - EU27_2020 - 2022 - amount]])))), "secrets", "")</f>
        <v>secrets</v>
      </c>
      <c r="AF233"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3" s="8" t="str">
        <f>IF(NOT(AND(ISNUMBER(VALUE(prodcom_data[[#This Row],[PRODQNT - FR - 2019 - amount]])), ISNUMBER(VALUE(prodcom_data[[#This Row],[IMPQNT - FR - 2019 - amount]])))), "secrets", "")</f>
        <v>secrets</v>
      </c>
      <c r="AH233"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3" s="8" t="str">
        <f>IF(NOT(AND(ISNUMBER(VALUE(prodcom_data[[#This Row],[PRODQNT - FR - 2022 - amount]])), ISNUMBER(VALUE(prodcom_data[[#This Row],[IMPQNT - FR - 2022 - amount]])))), "secrets", "")</f>
        <v>secrets</v>
      </c>
      <c r="AJ233"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3" s="10" t="s">
        <v>2641</v>
      </c>
    </row>
    <row r="234" spans="1:37" x14ac:dyDescent="0.3">
      <c r="A234" s="4" t="s">
        <v>3</v>
      </c>
      <c r="B234" s="4" t="s">
        <v>402</v>
      </c>
      <c r="C234" s="4" t="s">
        <v>403</v>
      </c>
      <c r="D234" s="4" t="s">
        <v>2611</v>
      </c>
      <c r="E234" s="5" t="s">
        <v>22</v>
      </c>
      <c r="F234" s="4" t="s">
        <v>2611</v>
      </c>
      <c r="G234" s="5" t="s">
        <v>22</v>
      </c>
      <c r="H234" s="4" t="s">
        <v>2611</v>
      </c>
      <c r="I234" s="5" t="s">
        <v>22</v>
      </c>
      <c r="J234" s="4" t="s">
        <v>2611</v>
      </c>
      <c r="K234" s="5" t="s">
        <v>22</v>
      </c>
      <c r="L234" s="4" t="s">
        <v>2611</v>
      </c>
      <c r="M234" s="5" t="s">
        <v>22</v>
      </c>
      <c r="N234" s="4" t="s">
        <v>2611</v>
      </c>
      <c r="O234" s="5" t="s">
        <v>22</v>
      </c>
      <c r="P234" s="4" t="s">
        <v>703</v>
      </c>
      <c r="Q234" s="5" t="s">
        <v>703</v>
      </c>
      <c r="R234" s="4" t="s">
        <v>2611</v>
      </c>
      <c r="S234" s="5" t="s">
        <v>22</v>
      </c>
      <c r="T234" s="4" t="s">
        <v>2611</v>
      </c>
      <c r="U234" s="5" t="s">
        <v>22</v>
      </c>
      <c r="V234" s="4" t="s">
        <v>703</v>
      </c>
      <c r="W234" s="5" t="s">
        <v>703</v>
      </c>
      <c r="X234" s="4" t="s">
        <v>2611</v>
      </c>
      <c r="Y234" s="5" t="s">
        <v>22</v>
      </c>
      <c r="Z234" s="4" t="s">
        <v>2611</v>
      </c>
      <c r="AA234" s="5" t="s">
        <v>22</v>
      </c>
      <c r="AB23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4" s="8" t="str">
        <f>IF(NOT(AND(ISNUMBER(VALUE(prodcom_data[[#This Row],[PRODQNT - EU27_2020 - 2019 - amount]])), ISNUMBER(VALUE(prodcom_data[[#This Row],[IMPQNT - EU27_2020 - 2019 - amount]])))), "secrets", "")</f>
        <v>secrets</v>
      </c>
      <c r="AD23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4" s="8" t="str">
        <f>IF(NOT(AND(ISNUMBER(VALUE(prodcom_data[[#This Row],[PRODQNT - EU27_2020 - 2022 - amount]])), ISNUMBER(VALUE(prodcom_data[[#This Row],[IMPQNT - EU27_2020 - 2022 - amount]])))), "secrets", "")</f>
        <v>secrets</v>
      </c>
      <c r="AF234"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4" s="8" t="str">
        <f>IF(NOT(AND(ISNUMBER(VALUE(prodcom_data[[#This Row],[PRODQNT - FR - 2019 - amount]])), ISNUMBER(VALUE(prodcom_data[[#This Row],[IMPQNT - FR - 2019 - amount]])))), "secrets", "")</f>
        <v>secrets</v>
      </c>
      <c r="AH234"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4" s="8" t="str">
        <f>IF(NOT(AND(ISNUMBER(VALUE(prodcom_data[[#This Row],[PRODQNT - FR - 2022 - amount]])), ISNUMBER(VALUE(prodcom_data[[#This Row],[IMPQNT - FR - 2022 - amount]])))), "secrets", "")</f>
        <v>secrets</v>
      </c>
      <c r="AJ234"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4" s="10" t="s">
        <v>2642</v>
      </c>
    </row>
    <row r="235" spans="1:37" x14ac:dyDescent="0.3">
      <c r="A235" s="4" t="s">
        <v>3</v>
      </c>
      <c r="B235" s="4" t="s">
        <v>407</v>
      </c>
      <c r="C235" s="4" t="s">
        <v>408</v>
      </c>
      <c r="D235" s="4" t="s">
        <v>2611</v>
      </c>
      <c r="E235" s="5" t="s">
        <v>22</v>
      </c>
      <c r="F235" s="4" t="s">
        <v>2611</v>
      </c>
      <c r="G235" s="5" t="s">
        <v>22</v>
      </c>
      <c r="H235" s="4" t="s">
        <v>2611</v>
      </c>
      <c r="I235" s="5" t="s">
        <v>22</v>
      </c>
      <c r="J235" s="4" t="s">
        <v>2611</v>
      </c>
      <c r="K235" s="5" t="s">
        <v>22</v>
      </c>
      <c r="L235" s="4" t="s">
        <v>2611</v>
      </c>
      <c r="M235" s="5" t="s">
        <v>22</v>
      </c>
      <c r="N235" s="4" t="s">
        <v>2611</v>
      </c>
      <c r="O235" s="5" t="s">
        <v>22</v>
      </c>
      <c r="P235" s="4" t="s">
        <v>2611</v>
      </c>
      <c r="Q235" s="5" t="s">
        <v>22</v>
      </c>
      <c r="R235" s="4" t="s">
        <v>2611</v>
      </c>
      <c r="S235" s="5" t="s">
        <v>22</v>
      </c>
      <c r="T235" s="4" t="s">
        <v>2611</v>
      </c>
      <c r="U235" s="5" t="s">
        <v>22</v>
      </c>
      <c r="V235" s="4" t="s">
        <v>2611</v>
      </c>
      <c r="W235" s="5" t="s">
        <v>22</v>
      </c>
      <c r="X235" s="4" t="s">
        <v>2611</v>
      </c>
      <c r="Y235" s="5" t="s">
        <v>22</v>
      </c>
      <c r="Z235" s="4" t="s">
        <v>2611</v>
      </c>
      <c r="AA235" s="5" t="s">
        <v>22</v>
      </c>
      <c r="AB23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5" s="8" t="str">
        <f>IF(NOT(AND(ISNUMBER(VALUE(prodcom_data[[#This Row],[PRODQNT - EU27_2020 - 2019 - amount]])), ISNUMBER(VALUE(prodcom_data[[#This Row],[IMPQNT - EU27_2020 - 2019 - amount]])))), "secrets", "")</f>
        <v>secrets</v>
      </c>
      <c r="AD23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5" s="8" t="str">
        <f>IF(NOT(AND(ISNUMBER(VALUE(prodcom_data[[#This Row],[PRODQNT - EU27_2020 - 2022 - amount]])), ISNUMBER(VALUE(prodcom_data[[#This Row],[IMPQNT - EU27_2020 - 2022 - amount]])))), "secrets", "")</f>
        <v>secrets</v>
      </c>
      <c r="AF235"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5" s="8" t="str">
        <f>IF(NOT(AND(ISNUMBER(VALUE(prodcom_data[[#This Row],[PRODQNT - FR - 2019 - amount]])), ISNUMBER(VALUE(prodcom_data[[#This Row],[IMPQNT - FR - 2019 - amount]])))), "secrets", "")</f>
        <v>secrets</v>
      </c>
      <c r="AH235"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5" s="8" t="str">
        <f>IF(NOT(AND(ISNUMBER(VALUE(prodcom_data[[#This Row],[PRODQNT - FR - 2022 - amount]])), ISNUMBER(VALUE(prodcom_data[[#This Row],[IMPQNT - FR - 2022 - amount]])))), "secrets", "")</f>
        <v>secrets</v>
      </c>
      <c r="AJ235"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5" s="10" t="s">
        <v>2642</v>
      </c>
    </row>
    <row r="236" spans="1:37" x14ac:dyDescent="0.3">
      <c r="A236" s="4" t="s">
        <v>3</v>
      </c>
      <c r="B236" s="4" t="s">
        <v>468</v>
      </c>
      <c r="C236" s="4" t="s">
        <v>469</v>
      </c>
      <c r="D236" s="4" t="s">
        <v>470</v>
      </c>
      <c r="E236" s="5" t="s">
        <v>7</v>
      </c>
      <c r="F236" s="4" t="s">
        <v>1983</v>
      </c>
      <c r="G236" s="5" t="s">
        <v>7</v>
      </c>
      <c r="H236" s="4" t="s">
        <v>1984</v>
      </c>
      <c r="I236" s="5" t="s">
        <v>7</v>
      </c>
      <c r="J236" s="4" t="s">
        <v>2611</v>
      </c>
      <c r="K236" s="5" t="s">
        <v>22</v>
      </c>
      <c r="L236" s="4" t="s">
        <v>2611</v>
      </c>
      <c r="M236" s="5" t="s">
        <v>22</v>
      </c>
      <c r="N236" s="4" t="s">
        <v>2611</v>
      </c>
      <c r="O236" s="5" t="s">
        <v>22</v>
      </c>
      <c r="P236" s="4" t="s">
        <v>1985</v>
      </c>
      <c r="Q236" s="5" t="s">
        <v>7</v>
      </c>
      <c r="R236" s="4" t="s">
        <v>1986</v>
      </c>
      <c r="S236" s="5" t="s">
        <v>7</v>
      </c>
      <c r="T236" s="4" t="s">
        <v>1987</v>
      </c>
      <c r="U236" s="5" t="s">
        <v>7</v>
      </c>
      <c r="V236" s="4" t="s">
        <v>2611</v>
      </c>
      <c r="W236" s="5" t="s">
        <v>22</v>
      </c>
      <c r="X236" s="4" t="s">
        <v>2611</v>
      </c>
      <c r="Y236" s="5" t="s">
        <v>22</v>
      </c>
      <c r="Z236" s="4" t="s">
        <v>2611</v>
      </c>
      <c r="AA236" s="5" t="s">
        <v>22</v>
      </c>
      <c r="AB23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45622476</v>
      </c>
      <c r="AC236" s="8" t="str">
        <f>IF(NOT(AND(ISNUMBER(VALUE(prodcom_data[[#This Row],[PRODQNT - EU27_2020 - 2019 - amount]])), ISNUMBER(VALUE(prodcom_data[[#This Row],[IMPQNT - EU27_2020 - 2019 - amount]])))), "secrets", "")</f>
        <v/>
      </c>
      <c r="AD23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6" s="8" t="str">
        <f>IF(NOT(AND(ISNUMBER(VALUE(prodcom_data[[#This Row],[PRODQNT - EU27_2020 - 2022 - amount]])), ISNUMBER(VALUE(prodcom_data[[#This Row],[IMPQNT - EU27_2020 - 2022 - amount]])))), "secrets", "")</f>
        <v>secrets</v>
      </c>
      <c r="AF236" s="7">
        <f>_xlfn.LET(_xlpm.production_amount, VALUE(prodcom_data[[#This Row],[PRODQNT - FR - 2019 - amount]]), IF(ISNUMBER(_xlpm.production_amount), _xlpm.production_amount, 0))+_xlfn.LET(_xlpm.import_amount, VALUE(prodcom_data[[#This Row],[IMPQNT - FR - 2019 - amount]]), IF(ISNUMBER(_xlpm.import_amount), _xlpm.import_amount, 0))</f>
        <v>3687563</v>
      </c>
      <c r="AG236" s="8" t="str">
        <f>IF(NOT(AND(ISNUMBER(VALUE(prodcom_data[[#This Row],[PRODQNT - FR - 2019 - amount]])), ISNUMBER(VALUE(prodcom_data[[#This Row],[IMPQNT - FR - 2019 - amount]])))), "secrets", "")</f>
        <v/>
      </c>
      <c r="AH236"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6" s="8" t="str">
        <f>IF(NOT(AND(ISNUMBER(VALUE(prodcom_data[[#This Row],[PRODQNT - FR - 2022 - amount]])), ISNUMBER(VALUE(prodcom_data[[#This Row],[IMPQNT - FR - 2022 - amount]])))), "secrets", "")</f>
        <v>secrets</v>
      </c>
      <c r="AJ236"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6" s="10" t="s">
        <v>2642</v>
      </c>
    </row>
    <row r="237" spans="1:37" x14ac:dyDescent="0.3">
      <c r="A237" s="4" t="s">
        <v>3</v>
      </c>
      <c r="B237" s="4" t="s">
        <v>482</v>
      </c>
      <c r="C237" s="4" t="s">
        <v>483</v>
      </c>
      <c r="D237" s="4" t="s">
        <v>484</v>
      </c>
      <c r="E237" s="5" t="s">
        <v>7</v>
      </c>
      <c r="F237" s="4" t="s">
        <v>2016</v>
      </c>
      <c r="G237" s="5" t="s">
        <v>7</v>
      </c>
      <c r="H237" s="4" t="s">
        <v>2017</v>
      </c>
      <c r="I237" s="5" t="s">
        <v>7</v>
      </c>
      <c r="J237" s="4" t="s">
        <v>2611</v>
      </c>
      <c r="K237" s="5" t="s">
        <v>22</v>
      </c>
      <c r="L237" s="4" t="s">
        <v>2611</v>
      </c>
      <c r="M237" s="5" t="s">
        <v>22</v>
      </c>
      <c r="N237" s="4" t="s">
        <v>2611</v>
      </c>
      <c r="O237" s="5" t="s">
        <v>22</v>
      </c>
      <c r="P237" s="4" t="s">
        <v>2611</v>
      </c>
      <c r="Q237" s="5" t="s">
        <v>7</v>
      </c>
      <c r="R237" s="4" t="s">
        <v>2018</v>
      </c>
      <c r="S237" s="5" t="s">
        <v>7</v>
      </c>
      <c r="T237" s="4" t="s">
        <v>2019</v>
      </c>
      <c r="U237" s="5" t="s">
        <v>7</v>
      </c>
      <c r="V237" s="4" t="s">
        <v>2611</v>
      </c>
      <c r="W237" s="5" t="s">
        <v>22</v>
      </c>
      <c r="X237" s="4" t="s">
        <v>2611</v>
      </c>
      <c r="Y237" s="5" t="s">
        <v>22</v>
      </c>
      <c r="Z237" s="4" t="s">
        <v>2611</v>
      </c>
      <c r="AA237" s="5" t="s">
        <v>22</v>
      </c>
      <c r="AB23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17780909</v>
      </c>
      <c r="AC237" s="8" t="str">
        <f>IF(NOT(AND(ISNUMBER(VALUE(prodcom_data[[#This Row],[PRODQNT - EU27_2020 - 2019 - amount]])), ISNUMBER(VALUE(prodcom_data[[#This Row],[IMPQNT - EU27_2020 - 2019 - amount]])))), "secrets", "")</f>
        <v/>
      </c>
      <c r="AD23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7" s="8" t="str">
        <f>IF(NOT(AND(ISNUMBER(VALUE(prodcom_data[[#This Row],[PRODQNT - EU27_2020 - 2022 - amount]])), ISNUMBER(VALUE(prodcom_data[[#This Row],[IMPQNT - EU27_2020 - 2022 - amount]])))), "secrets", "")</f>
        <v>secrets</v>
      </c>
      <c r="AF237" s="7">
        <f>_xlfn.LET(_xlpm.production_amount, VALUE(prodcom_data[[#This Row],[PRODQNT - FR - 2019 - amount]]), IF(ISNUMBER(_xlpm.production_amount), _xlpm.production_amount, 0))+_xlfn.LET(_xlpm.import_amount, VALUE(prodcom_data[[#This Row],[IMPQNT - FR - 2019 - amount]]), IF(ISNUMBER(_xlpm.import_amount), _xlpm.import_amount, 0))</f>
        <v>1099900</v>
      </c>
      <c r="AG237" s="8" t="str">
        <f>IF(NOT(AND(ISNUMBER(VALUE(prodcom_data[[#This Row],[PRODQNT - FR - 2019 - amount]])), ISNUMBER(VALUE(prodcom_data[[#This Row],[IMPQNT - FR - 2019 - amount]])))), "secrets", "")</f>
        <v>secrets</v>
      </c>
      <c r="AH237"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7" s="8" t="str">
        <f>IF(NOT(AND(ISNUMBER(VALUE(prodcom_data[[#This Row],[PRODQNT - FR - 2022 - amount]])), ISNUMBER(VALUE(prodcom_data[[#This Row],[IMPQNT - FR - 2022 - amount]])))), "secrets", "")</f>
        <v>secrets</v>
      </c>
      <c r="AJ237"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7" s="10" t="s">
        <v>2642</v>
      </c>
    </row>
    <row r="238" spans="1:37" hidden="1" x14ac:dyDescent="0.3">
      <c r="A238" s="4" t="s">
        <v>3</v>
      </c>
      <c r="B238" s="4" t="s">
        <v>661</v>
      </c>
      <c r="C238" s="4" t="s">
        <v>662</v>
      </c>
      <c r="D238" s="4" t="s">
        <v>2611</v>
      </c>
      <c r="E238" s="5" t="s">
        <v>22</v>
      </c>
      <c r="F238" s="4" t="s">
        <v>2611</v>
      </c>
      <c r="G238" s="5" t="s">
        <v>22</v>
      </c>
      <c r="H238" s="4" t="s">
        <v>2611</v>
      </c>
      <c r="I238" s="5" t="s">
        <v>22</v>
      </c>
      <c r="J238" s="4" t="s">
        <v>2611</v>
      </c>
      <c r="K238" s="5" t="s">
        <v>22</v>
      </c>
      <c r="L238" s="4" t="s">
        <v>2611</v>
      </c>
      <c r="M238" s="5" t="s">
        <v>22</v>
      </c>
      <c r="N238" s="4" t="s">
        <v>2611</v>
      </c>
      <c r="O238" s="5" t="s">
        <v>22</v>
      </c>
      <c r="P238" s="4" t="s">
        <v>2611</v>
      </c>
      <c r="Q238" s="5" t="s">
        <v>22</v>
      </c>
      <c r="R238" s="4" t="s">
        <v>2611</v>
      </c>
      <c r="S238" s="5" t="s">
        <v>22</v>
      </c>
      <c r="T238" s="4" t="s">
        <v>2611</v>
      </c>
      <c r="U238" s="5" t="s">
        <v>22</v>
      </c>
      <c r="V238" s="4" t="s">
        <v>2611</v>
      </c>
      <c r="W238" s="5" t="s">
        <v>22</v>
      </c>
      <c r="X238" s="4" t="s">
        <v>2611</v>
      </c>
      <c r="Y238" s="5" t="s">
        <v>22</v>
      </c>
      <c r="Z238" s="4" t="s">
        <v>2611</v>
      </c>
      <c r="AA238" s="5" t="s">
        <v>22</v>
      </c>
      <c r="AB23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8" s="8" t="str">
        <f>IF(NOT(AND(ISNUMBER(VALUE(prodcom_data[[#This Row],[PRODQNT - EU27_2020 - 2019 - amount]])), ISNUMBER(VALUE(prodcom_data[[#This Row],[IMPQNT - EU27_2020 - 2019 - amount]])))), "secrets", "")</f>
        <v>secrets</v>
      </c>
      <c r="AD23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8" s="8" t="str">
        <f>IF(NOT(AND(ISNUMBER(VALUE(prodcom_data[[#This Row],[PRODQNT - EU27_2020 - 2022 - amount]])), ISNUMBER(VALUE(prodcom_data[[#This Row],[IMPQNT - EU27_2020 - 2022 - amount]])))), "secrets", "")</f>
        <v>secrets</v>
      </c>
      <c r="AF238"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8" s="8" t="str">
        <f>IF(NOT(AND(ISNUMBER(VALUE(prodcom_data[[#This Row],[PRODQNT - FR - 2019 - amount]])), ISNUMBER(VALUE(prodcom_data[[#This Row],[IMPQNT - FR - 2019 - amount]])))), "secrets", "")</f>
        <v>secrets</v>
      </c>
      <c r="AH238"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8" s="8" t="str">
        <f>IF(NOT(AND(ISNUMBER(VALUE(prodcom_data[[#This Row],[PRODQNT - FR - 2022 - amount]])), ISNUMBER(VALUE(prodcom_data[[#This Row],[IMPQNT - FR - 2022 - amount]])))), "secrets", "")</f>
        <v>secrets</v>
      </c>
      <c r="AJ238"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8" s="10" t="s">
        <v>2649</v>
      </c>
    </row>
    <row r="239" spans="1:37" hidden="1" x14ac:dyDescent="0.3">
      <c r="A239" s="4" t="s">
        <v>3</v>
      </c>
      <c r="B239" s="4" t="s">
        <v>672</v>
      </c>
      <c r="C239" s="4" t="s">
        <v>673</v>
      </c>
      <c r="D239" s="4" t="s">
        <v>2611</v>
      </c>
      <c r="E239" s="5" t="s">
        <v>22</v>
      </c>
      <c r="F239" s="4" t="s">
        <v>2611</v>
      </c>
      <c r="G239" s="5" t="s">
        <v>22</v>
      </c>
      <c r="H239" s="4" t="s">
        <v>2611</v>
      </c>
      <c r="I239" s="5" t="s">
        <v>22</v>
      </c>
      <c r="J239" s="4" t="s">
        <v>2611</v>
      </c>
      <c r="K239" s="5" t="s">
        <v>22</v>
      </c>
      <c r="L239" s="4" t="s">
        <v>2611</v>
      </c>
      <c r="M239" s="5" t="s">
        <v>22</v>
      </c>
      <c r="N239" s="4" t="s">
        <v>2611</v>
      </c>
      <c r="O239" s="5" t="s">
        <v>22</v>
      </c>
      <c r="P239" s="4" t="s">
        <v>2611</v>
      </c>
      <c r="Q239" s="5" t="s">
        <v>22</v>
      </c>
      <c r="R239" s="4" t="s">
        <v>2611</v>
      </c>
      <c r="S239" s="5" t="s">
        <v>22</v>
      </c>
      <c r="T239" s="4" t="s">
        <v>2611</v>
      </c>
      <c r="U239" s="5" t="s">
        <v>22</v>
      </c>
      <c r="V239" s="4" t="s">
        <v>2611</v>
      </c>
      <c r="W239" s="5" t="s">
        <v>22</v>
      </c>
      <c r="X239" s="4" t="s">
        <v>2611</v>
      </c>
      <c r="Y239" s="5" t="s">
        <v>22</v>
      </c>
      <c r="Z239" s="4" t="s">
        <v>2611</v>
      </c>
      <c r="AA239" s="5" t="s">
        <v>22</v>
      </c>
      <c r="AB23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9" s="8" t="str">
        <f>IF(NOT(AND(ISNUMBER(VALUE(prodcom_data[[#This Row],[PRODQNT - EU27_2020 - 2019 - amount]])), ISNUMBER(VALUE(prodcom_data[[#This Row],[IMPQNT - EU27_2020 - 2019 - amount]])))), "secrets", "")</f>
        <v>secrets</v>
      </c>
      <c r="AD23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9" s="8" t="str">
        <f>IF(NOT(AND(ISNUMBER(VALUE(prodcom_data[[#This Row],[PRODQNT - EU27_2020 - 2022 - amount]])), ISNUMBER(VALUE(prodcom_data[[#This Row],[IMPQNT - EU27_2020 - 2022 - amount]])))), "secrets", "")</f>
        <v>secrets</v>
      </c>
      <c r="AF239"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9" s="8" t="str">
        <f>IF(NOT(AND(ISNUMBER(VALUE(prodcom_data[[#This Row],[PRODQNT - FR - 2019 - amount]])), ISNUMBER(VALUE(prodcom_data[[#This Row],[IMPQNT - FR - 2019 - amount]])))), "secrets", "")</f>
        <v>secrets</v>
      </c>
      <c r="AH239"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9" s="8" t="str">
        <f>IF(NOT(AND(ISNUMBER(VALUE(prodcom_data[[#This Row],[PRODQNT - FR - 2022 - amount]])), ISNUMBER(VALUE(prodcom_data[[#This Row],[IMPQNT - FR - 2022 - amount]])))), "secrets", "")</f>
        <v>secrets</v>
      </c>
      <c r="AJ239"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9" s="10" t="s">
        <v>2649</v>
      </c>
    </row>
  </sheetData>
  <phoneticPr fontId="1" type="noConversion"/>
  <conditionalFormatting sqref="AB5:AC239">
    <cfRule type="dataBar" priority="16">
      <dataBar>
        <cfvo type="min"/>
        <cfvo type="max"/>
        <color rgb="FF638EC6"/>
      </dataBar>
      <extLst>
        <ext xmlns:x14="http://schemas.microsoft.com/office/spreadsheetml/2009/9/main" uri="{B025F937-C7B1-47D3-B67F-A62EFF666E3E}">
          <x14:id>{86414DB5-B304-4224-85DE-793BEDFCBF34}</x14:id>
        </ext>
      </extLst>
    </cfRule>
  </conditionalFormatting>
  <conditionalFormatting sqref="AD6:AE239 AD5">
    <cfRule type="dataBar" priority="15">
      <dataBar>
        <cfvo type="min"/>
        <cfvo type="max"/>
        <color rgb="FF63C384"/>
      </dataBar>
      <extLst>
        <ext xmlns:x14="http://schemas.microsoft.com/office/spreadsheetml/2009/9/main" uri="{B025F937-C7B1-47D3-B67F-A62EFF666E3E}">
          <x14:id>{87CF7066-2FBE-498B-9BBF-A519B1AB983C}</x14:id>
        </ext>
      </extLst>
    </cfRule>
  </conditionalFormatting>
  <conditionalFormatting sqref="AF6:AG239 AF5">
    <cfRule type="dataBar" priority="14">
      <dataBar>
        <cfvo type="min"/>
        <cfvo type="max"/>
        <color rgb="FFFF555A"/>
      </dataBar>
      <extLst>
        <ext xmlns:x14="http://schemas.microsoft.com/office/spreadsheetml/2009/9/main" uri="{B025F937-C7B1-47D3-B67F-A62EFF666E3E}">
          <x14:id>{72986B2A-00C9-4733-8911-4FED956D3530}</x14:id>
        </ext>
      </extLst>
    </cfRule>
  </conditionalFormatting>
  <conditionalFormatting sqref="AE5">
    <cfRule type="dataBar" priority="7">
      <dataBar>
        <cfvo type="min"/>
        <cfvo type="max"/>
        <color rgb="FF638EC6"/>
      </dataBar>
      <extLst>
        <ext xmlns:x14="http://schemas.microsoft.com/office/spreadsheetml/2009/9/main" uri="{B025F937-C7B1-47D3-B67F-A62EFF666E3E}">
          <x14:id>{824EB610-769F-4871-A6DB-E35BE974C5D9}</x14:id>
        </ext>
      </extLst>
    </cfRule>
  </conditionalFormatting>
  <conditionalFormatting sqref="AG5">
    <cfRule type="dataBar" priority="5">
      <dataBar>
        <cfvo type="min"/>
        <cfvo type="max"/>
        <color rgb="FF638EC6"/>
      </dataBar>
      <extLst>
        <ext xmlns:x14="http://schemas.microsoft.com/office/spreadsheetml/2009/9/main" uri="{B025F937-C7B1-47D3-B67F-A62EFF666E3E}">
          <x14:id>{F92CEEA2-56C6-4519-AA74-0998369E9DE1}</x14:id>
        </ext>
      </extLst>
    </cfRule>
  </conditionalFormatting>
  <conditionalFormatting sqref="AH6:AI239 AH5 AK6:AK239">
    <cfRule type="dataBar" priority="35">
      <dataBar>
        <cfvo type="min"/>
        <cfvo type="max"/>
        <color theme="5" tint="0.39997558519241921"/>
      </dataBar>
      <extLst>
        <ext xmlns:x14="http://schemas.microsoft.com/office/spreadsheetml/2009/9/main" uri="{B025F937-C7B1-47D3-B67F-A62EFF666E3E}">
          <x14:id>{FB0DCDF0-EE9A-4F37-A902-35051C1C5DC1}</x14:id>
        </ext>
      </extLst>
    </cfRule>
  </conditionalFormatting>
  <conditionalFormatting sqref="AK5 AI5">
    <cfRule type="dataBar" priority="38">
      <dataBar>
        <cfvo type="min"/>
        <cfvo type="max"/>
        <color rgb="FF638EC6"/>
      </dataBar>
      <extLst>
        <ext xmlns:x14="http://schemas.microsoft.com/office/spreadsheetml/2009/9/main" uri="{B025F937-C7B1-47D3-B67F-A62EFF666E3E}">
          <x14:id>{D8AA3BDC-DFBB-4C2E-A3E2-EAB79811156C}</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6414DB5-B304-4224-85DE-793BEDFCBF34}">
            <x14:dataBar minLength="0" maxLength="100" gradient="0">
              <x14:cfvo type="autoMin"/>
              <x14:cfvo type="autoMax"/>
              <x14:negativeFillColor rgb="FFFF0000"/>
              <x14:axisColor rgb="FF000000"/>
            </x14:dataBar>
          </x14:cfRule>
          <xm:sqref>AB5:AC239</xm:sqref>
        </x14:conditionalFormatting>
        <x14:conditionalFormatting xmlns:xm="http://schemas.microsoft.com/office/excel/2006/main">
          <x14:cfRule type="dataBar" id="{87CF7066-2FBE-498B-9BBF-A519B1AB983C}">
            <x14:dataBar minLength="0" maxLength="100" gradient="0">
              <x14:cfvo type="autoMin"/>
              <x14:cfvo type="autoMax"/>
              <x14:negativeFillColor rgb="FFFF0000"/>
              <x14:axisColor rgb="FF000000"/>
            </x14:dataBar>
          </x14:cfRule>
          <xm:sqref>AD6:AE239 AD5</xm:sqref>
        </x14:conditionalFormatting>
        <x14:conditionalFormatting xmlns:xm="http://schemas.microsoft.com/office/excel/2006/main">
          <x14:cfRule type="dataBar" id="{72986B2A-00C9-4733-8911-4FED956D3530}">
            <x14:dataBar minLength="0" maxLength="100" gradient="0">
              <x14:cfvo type="autoMin"/>
              <x14:cfvo type="autoMax"/>
              <x14:negativeFillColor rgb="FFFF0000"/>
              <x14:axisColor rgb="FF000000"/>
            </x14:dataBar>
          </x14:cfRule>
          <xm:sqref>AF6:AG239 AF5</xm:sqref>
        </x14:conditionalFormatting>
        <x14:conditionalFormatting xmlns:xm="http://schemas.microsoft.com/office/excel/2006/main">
          <x14:cfRule type="dataBar" id="{824EB610-769F-4871-A6DB-E35BE974C5D9}">
            <x14:dataBar minLength="0" maxLength="100" gradient="0">
              <x14:cfvo type="autoMin"/>
              <x14:cfvo type="autoMax"/>
              <x14:negativeFillColor rgb="FFFF0000"/>
              <x14:axisColor rgb="FF000000"/>
            </x14:dataBar>
          </x14:cfRule>
          <xm:sqref>AE5</xm:sqref>
        </x14:conditionalFormatting>
        <x14:conditionalFormatting xmlns:xm="http://schemas.microsoft.com/office/excel/2006/main">
          <x14:cfRule type="dataBar" id="{F92CEEA2-56C6-4519-AA74-0998369E9DE1}">
            <x14:dataBar minLength="0" maxLength="100" gradient="0">
              <x14:cfvo type="autoMin"/>
              <x14:cfvo type="autoMax"/>
              <x14:negativeFillColor rgb="FFFF0000"/>
              <x14:axisColor rgb="FF000000"/>
            </x14:dataBar>
          </x14:cfRule>
          <xm:sqref>AG5</xm:sqref>
        </x14:conditionalFormatting>
        <x14:conditionalFormatting xmlns:xm="http://schemas.microsoft.com/office/excel/2006/main">
          <x14:cfRule type="dataBar" id="{FB0DCDF0-EE9A-4F37-A902-35051C1C5DC1}">
            <x14:dataBar minLength="0" maxLength="100" gradient="0">
              <x14:cfvo type="autoMin"/>
              <x14:cfvo type="autoMax"/>
              <x14:negativeFillColor rgb="FFFF0000"/>
              <x14:axisColor rgb="FF000000"/>
            </x14:dataBar>
          </x14:cfRule>
          <xm:sqref>AH6:AI239 AH5 AK6:AK239</xm:sqref>
        </x14:conditionalFormatting>
        <x14:conditionalFormatting xmlns:xm="http://schemas.microsoft.com/office/excel/2006/main">
          <x14:cfRule type="dataBar" id="{D8AA3BDC-DFBB-4C2E-A3E2-EAB79811156C}">
            <x14:dataBar minLength="0" maxLength="100" gradient="0">
              <x14:cfvo type="autoMin"/>
              <x14:cfvo type="autoMax"/>
              <x14:negativeFillColor rgb="FFFF0000"/>
              <x14:axisColor rgb="FF000000"/>
            </x14:dataBar>
          </x14:cfRule>
          <xm:sqref>AK5 AI5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C0C99-01C6-4D27-A4D9-BFEEB79638BB}">
  <sheetPr codeName="Sheet6"/>
  <dimension ref="A1:D7"/>
  <sheetViews>
    <sheetView zoomScaleNormal="100" workbookViewId="0">
      <selection activeCell="B2" sqref="B2"/>
    </sheetView>
  </sheetViews>
  <sheetFormatPr defaultRowHeight="14.4" x14ac:dyDescent="0.3"/>
  <cols>
    <col min="1" max="1" width="23.21875" customWidth="1"/>
    <col min="2" max="2" width="37.77734375" customWidth="1"/>
    <col min="3" max="3" width="18" customWidth="1"/>
  </cols>
  <sheetData>
    <row r="1" spans="1:4" ht="24" thickBot="1" x14ac:dyDescent="0.5">
      <c r="A1" s="11" t="s">
        <v>3046</v>
      </c>
      <c r="B1" s="94" t="s">
        <v>3134</v>
      </c>
    </row>
    <row r="2" spans="1:4" ht="15" thickTop="1" x14ac:dyDescent="0.3"/>
    <row r="3" spans="1:4" x14ac:dyDescent="0.3">
      <c r="C3" s="85" t="s">
        <v>3084</v>
      </c>
    </row>
    <row r="4" spans="1:4" x14ac:dyDescent="0.3">
      <c r="B4" t="s">
        <v>704</v>
      </c>
      <c r="C4" s="7">
        <f>SUBTOTAL(9, prodcom_data[PRODQNT + IMPQNT - EU27 - 2019])</f>
        <v>126375890323</v>
      </c>
      <c r="D4" t="s">
        <v>3083</v>
      </c>
    </row>
    <row r="5" spans="1:4" x14ac:dyDescent="0.3">
      <c r="B5" t="s">
        <v>705</v>
      </c>
      <c r="C5" s="7">
        <f>SUBTOTAL(9, prodcom_data[PRODQNT + IMPQNT - EU27 - 2022])</f>
        <v>120083372330</v>
      </c>
      <c r="D5" s="43" t="s">
        <v>3083</v>
      </c>
    </row>
    <row r="7" spans="1:4" x14ac:dyDescent="0.3">
      <c r="B7" t="s">
        <v>3085</v>
      </c>
      <c r="C7" s="61" cm="1">
        <f t="array" ref="C7">PEARSON('Filtered PRODCOM data'!AB6:AB237/'Correlation EU27 2019-2022'!C4, 'Filtered PRODCOM data'!AD6:AD237/'Correlation EU27 2019-2022'!C5)</f>
        <v>0.99211809005161777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908D-C3FD-4AA4-A1ED-5B5322120E61}">
  <sheetPr codeName="Sheet3"/>
  <dimension ref="A1:E39"/>
  <sheetViews>
    <sheetView zoomScaleNormal="100" workbookViewId="0">
      <selection activeCell="B2" sqref="B2"/>
    </sheetView>
  </sheetViews>
  <sheetFormatPr defaultRowHeight="14.4" x14ac:dyDescent="0.3"/>
  <cols>
    <col min="1" max="1" width="26.6640625" customWidth="1"/>
    <col min="2" max="2" width="54.33203125" customWidth="1"/>
    <col min="3" max="3" width="16.109375" customWidth="1"/>
    <col min="4" max="4" width="15" customWidth="1"/>
  </cols>
  <sheetData>
    <row r="1" spans="1:5" ht="24" thickBot="1" x14ac:dyDescent="0.5">
      <c r="A1" s="11" t="s">
        <v>3046</v>
      </c>
      <c r="B1" s="94" t="s">
        <v>3133</v>
      </c>
    </row>
    <row r="2" spans="1:5" s="43" customFormat="1" ht="15" thickTop="1" x14ac:dyDescent="0.3"/>
    <row r="3" spans="1:5" ht="18" thickBot="1" x14ac:dyDescent="0.4">
      <c r="B3" s="12" t="s">
        <v>2844</v>
      </c>
    </row>
    <row r="4" spans="1:5" ht="15" thickTop="1" x14ac:dyDescent="0.3"/>
    <row r="5" spans="1:5" x14ac:dyDescent="0.3">
      <c r="B5" s="36" t="s">
        <v>635</v>
      </c>
      <c r="D5" s="9"/>
    </row>
    <row r="6" spans="1:5" x14ac:dyDescent="0.3">
      <c r="B6" s="36" t="s">
        <v>705</v>
      </c>
      <c r="C6" s="48">
        <f>'Filtered PRODCOM data'!$AD$26</f>
        <v>2370412440</v>
      </c>
      <c r="D6" s="46" t="s">
        <v>3019</v>
      </c>
    </row>
    <row r="7" spans="1:5" x14ac:dyDescent="0.3">
      <c r="D7" s="9"/>
    </row>
    <row r="8" spans="1:5" ht="15" thickBot="1" x14ac:dyDescent="0.35">
      <c r="B8" s="38" t="s">
        <v>2845</v>
      </c>
      <c r="D8" s="9"/>
    </row>
    <row r="9" spans="1:5" x14ac:dyDescent="0.3">
      <c r="D9" s="9"/>
    </row>
    <row r="10" spans="1:5" x14ac:dyDescent="0.3">
      <c r="B10" s="36" t="s">
        <v>2846</v>
      </c>
      <c r="C10" s="66">
        <v>1009</v>
      </c>
      <c r="D10" s="46" t="s">
        <v>2847</v>
      </c>
      <c r="E10" s="70" t="s">
        <v>2848</v>
      </c>
    </row>
    <row r="11" spans="1:5" x14ac:dyDescent="0.3">
      <c r="B11" s="36" t="s">
        <v>2846</v>
      </c>
      <c r="C11" s="61">
        <f>C10/1000</f>
        <v>1.0089999999999999</v>
      </c>
      <c r="D11" s="46" t="s">
        <v>2849</v>
      </c>
    </row>
    <row r="12" spans="1:5" x14ac:dyDescent="0.3">
      <c r="B12" s="36" t="s">
        <v>35</v>
      </c>
      <c r="C12" s="66">
        <v>0.95</v>
      </c>
      <c r="D12" s="46" t="s">
        <v>2850</v>
      </c>
      <c r="E12" s="70" t="s">
        <v>2851</v>
      </c>
    </row>
    <row r="13" spans="1:5" x14ac:dyDescent="0.3">
      <c r="B13" s="36" t="s">
        <v>35</v>
      </c>
      <c r="C13" s="61">
        <f>C12*C11</f>
        <v>0.9585499999999999</v>
      </c>
      <c r="D13" s="46" t="s">
        <v>2849</v>
      </c>
    </row>
    <row r="14" spans="1:5" x14ac:dyDescent="0.3">
      <c r="D14" s="9"/>
    </row>
    <row r="15" spans="1:5" x14ac:dyDescent="0.3">
      <c r="B15" s="36" t="s">
        <v>2852</v>
      </c>
      <c r="C15" s="67">
        <v>4</v>
      </c>
      <c r="D15" s="46" t="s">
        <v>2853</v>
      </c>
      <c r="E15" s="70" t="s">
        <v>2760</v>
      </c>
    </row>
    <row r="16" spans="1:5" x14ac:dyDescent="0.3">
      <c r="D16" s="9"/>
    </row>
    <row r="17" spans="2:5" ht="15" thickBot="1" x14ac:dyDescent="0.35">
      <c r="B17" s="38" t="s">
        <v>2854</v>
      </c>
      <c r="D17" s="9"/>
    </row>
    <row r="18" spans="2:5" x14ac:dyDescent="0.3">
      <c r="D18" s="9"/>
    </row>
    <row r="19" spans="2:5" x14ac:dyDescent="0.3">
      <c r="B19" s="36" t="s">
        <v>2855</v>
      </c>
      <c r="C19" s="66">
        <v>646</v>
      </c>
      <c r="D19" s="46" t="s">
        <v>2856</v>
      </c>
      <c r="E19" s="70" t="s">
        <v>2848</v>
      </c>
    </row>
    <row r="20" spans="2:5" x14ac:dyDescent="0.3">
      <c r="B20" s="36" t="s">
        <v>2857</v>
      </c>
      <c r="C20" s="66">
        <v>513</v>
      </c>
      <c r="D20" s="46" t="s">
        <v>2856</v>
      </c>
      <c r="E20" s="70" t="s">
        <v>2848</v>
      </c>
    </row>
    <row r="21" spans="2:5" x14ac:dyDescent="0.3">
      <c r="B21" s="36" t="s">
        <v>2855</v>
      </c>
      <c r="C21" s="61">
        <f>C19/1000</f>
        <v>0.64600000000000002</v>
      </c>
      <c r="D21" s="46" t="s">
        <v>2858</v>
      </c>
    </row>
    <row r="22" spans="2:5" x14ac:dyDescent="0.3">
      <c r="B22" s="36" t="s">
        <v>2857</v>
      </c>
      <c r="C22" s="61">
        <f>C20/1000</f>
        <v>0.51300000000000001</v>
      </c>
      <c r="D22" s="46" t="s">
        <v>2858</v>
      </c>
    </row>
    <row r="23" spans="2:5" x14ac:dyDescent="0.3">
      <c r="D23" s="9"/>
    </row>
    <row r="24" spans="2:5" x14ac:dyDescent="0.3">
      <c r="B24" s="36" t="s">
        <v>2859</v>
      </c>
      <c r="C24" s="67">
        <v>3.4</v>
      </c>
      <c r="D24" s="46" t="s">
        <v>2853</v>
      </c>
      <c r="E24" s="70" t="s">
        <v>2760</v>
      </c>
    </row>
    <row r="25" spans="2:5" x14ac:dyDescent="0.3">
      <c r="D25" s="9"/>
    </row>
    <row r="26" spans="2:5" ht="18" thickBot="1" x14ac:dyDescent="0.4">
      <c r="B26" s="12" t="s">
        <v>346</v>
      </c>
      <c r="D26" s="9"/>
    </row>
    <row r="27" spans="2:5" ht="15" thickTop="1" x14ac:dyDescent="0.3">
      <c r="B27" s="36"/>
      <c r="D27" s="63"/>
    </row>
    <row r="28" spans="2:5" x14ac:dyDescent="0.3">
      <c r="B28" s="36" t="s">
        <v>2860</v>
      </c>
      <c r="C28" s="67">
        <v>10</v>
      </c>
      <c r="D28" s="63" t="s">
        <v>2853</v>
      </c>
      <c r="E28" s="70" t="s">
        <v>2762</v>
      </c>
    </row>
    <row r="29" spans="2:5" x14ac:dyDescent="0.3">
      <c r="B29" s="36" t="s">
        <v>2861</v>
      </c>
      <c r="C29" s="67">
        <v>3</v>
      </c>
      <c r="D29" s="63" t="s">
        <v>2853</v>
      </c>
      <c r="E29" s="70" t="s">
        <v>2762</v>
      </c>
    </row>
    <row r="30" spans="2:5" x14ac:dyDescent="0.3">
      <c r="D30" s="9"/>
    </row>
    <row r="31" spans="2:5" x14ac:dyDescent="0.3">
      <c r="B31" s="36" t="s">
        <v>346</v>
      </c>
      <c r="D31" s="9"/>
    </row>
    <row r="32" spans="2:5" x14ac:dyDescent="0.3">
      <c r="B32" s="36" t="s">
        <v>705</v>
      </c>
      <c r="C32" s="48">
        <f>'Filtered PRODCOM data'!AD48</f>
        <v>1049281862</v>
      </c>
      <c r="D32" s="46" t="s">
        <v>3019</v>
      </c>
    </row>
    <row r="34" spans="2:5" ht="18" thickBot="1" x14ac:dyDescent="0.4">
      <c r="B34" s="39" t="s">
        <v>2862</v>
      </c>
    </row>
    <row r="35" spans="2:5" ht="15" thickTop="1" x14ac:dyDescent="0.3"/>
    <row r="36" spans="2:5" x14ac:dyDescent="0.3">
      <c r="C36" t="s">
        <v>2863</v>
      </c>
      <c r="D36" s="64"/>
    </row>
    <row r="37" spans="2:5" x14ac:dyDescent="0.3">
      <c r="B37" s="36" t="s">
        <v>2864</v>
      </c>
      <c r="C37" s="67">
        <v>12.010999999999999</v>
      </c>
      <c r="D37" s="46" t="s">
        <v>2865</v>
      </c>
      <c r="E37" s="70" t="s">
        <v>2866</v>
      </c>
    </row>
    <row r="38" spans="2:5" x14ac:dyDescent="0.3">
      <c r="B38" s="36" t="s">
        <v>2867</v>
      </c>
      <c r="C38" s="67">
        <v>15.999000000000001</v>
      </c>
      <c r="D38" s="46" t="s">
        <v>2865</v>
      </c>
      <c r="E38" s="70" t="s">
        <v>2866</v>
      </c>
    </row>
    <row r="39" spans="2:5" x14ac:dyDescent="0.3">
      <c r="B39" s="36" t="s">
        <v>2868</v>
      </c>
      <c r="C39" s="67">
        <v>1.008</v>
      </c>
      <c r="D39" s="46" t="s">
        <v>2865</v>
      </c>
      <c r="E39" s="70" t="s">
        <v>2869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547A6-99EA-4A1A-9599-61E561A583B4}">
  <sheetPr codeName="Sheet8"/>
  <dimension ref="A1:I24"/>
  <sheetViews>
    <sheetView workbookViewId="0">
      <selection activeCell="B39" sqref="B39"/>
    </sheetView>
  </sheetViews>
  <sheetFormatPr defaultRowHeight="14.4" x14ac:dyDescent="0.3"/>
  <cols>
    <col min="1" max="1" width="27.21875" customWidth="1"/>
    <col min="2" max="2" width="25.88671875" customWidth="1"/>
    <col min="5" max="5" width="20.5546875" customWidth="1"/>
    <col min="8" max="8" width="36.109375" customWidth="1"/>
  </cols>
  <sheetData>
    <row r="1" spans="1:9" ht="24" thickBot="1" x14ac:dyDescent="0.5">
      <c r="A1" s="11" t="s">
        <v>3046</v>
      </c>
      <c r="B1" s="94" t="s">
        <v>3132</v>
      </c>
    </row>
    <row r="2" spans="1:9" s="43" customFormat="1" ht="15" thickTop="1" x14ac:dyDescent="0.3"/>
    <row r="3" spans="1:9" s="43" customFormat="1" x14ac:dyDescent="0.3"/>
    <row r="4" spans="1:9" x14ac:dyDescent="0.3">
      <c r="B4" t="s">
        <v>3095</v>
      </c>
      <c r="C4" s="66">
        <v>353</v>
      </c>
      <c r="D4" s="64" t="s">
        <v>2853</v>
      </c>
      <c r="E4" s="13" t="s">
        <v>3108</v>
      </c>
    </row>
    <row r="6" spans="1:9" x14ac:dyDescent="0.3">
      <c r="B6" t="s">
        <v>3096</v>
      </c>
      <c r="C6" s="66">
        <v>55</v>
      </c>
      <c r="D6" s="64" t="s">
        <v>2853</v>
      </c>
      <c r="E6" s="13" t="s">
        <v>3108</v>
      </c>
    </row>
    <row r="7" spans="1:9" x14ac:dyDescent="0.3">
      <c r="B7" t="s">
        <v>3097</v>
      </c>
      <c r="C7" s="66">
        <v>22</v>
      </c>
      <c r="D7" s="64" t="s">
        <v>2853</v>
      </c>
      <c r="E7" s="13" t="s">
        <v>3108</v>
      </c>
    </row>
    <row r="8" spans="1:9" s="43" customFormat="1" x14ac:dyDescent="0.3">
      <c r="H8" s="43" t="s">
        <v>3111</v>
      </c>
    </row>
    <row r="9" spans="1:9" s="43" customFormat="1" x14ac:dyDescent="0.3">
      <c r="C9" s="43" t="s">
        <v>3106</v>
      </c>
      <c r="F9" t="s">
        <v>3105</v>
      </c>
      <c r="H9" s="43" t="s">
        <v>3110</v>
      </c>
      <c r="I9" s="43" t="s">
        <v>3112</v>
      </c>
    </row>
    <row r="10" spans="1:9" s="43" customFormat="1" x14ac:dyDescent="0.3">
      <c r="B10" s="43" t="s">
        <v>3109</v>
      </c>
      <c r="C10" s="61">
        <f>C6-C7</f>
        <v>33</v>
      </c>
      <c r="D10" s="64" t="s">
        <v>2853</v>
      </c>
      <c r="F10" s="92">
        <f t="shared" ref="F10:F16" si="0">C10/$C$4</f>
        <v>9.3484419263456089E-2</v>
      </c>
      <c r="G10" s="43" t="s">
        <v>3107</v>
      </c>
      <c r="H10" s="42" t="s">
        <v>3113</v>
      </c>
    </row>
    <row r="11" spans="1:9" x14ac:dyDescent="0.3">
      <c r="B11" t="s">
        <v>3098</v>
      </c>
      <c r="C11" s="66">
        <v>6</v>
      </c>
      <c r="D11" s="64" t="s">
        <v>2853</v>
      </c>
      <c r="E11" s="13" t="s">
        <v>3108</v>
      </c>
      <c r="F11" s="92">
        <f t="shared" si="0"/>
        <v>1.69971671388102E-2</v>
      </c>
      <c r="G11" s="43" t="s">
        <v>3107</v>
      </c>
      <c r="H11" s="42" t="s">
        <v>3114</v>
      </c>
    </row>
    <row r="12" spans="1:9" x14ac:dyDescent="0.3">
      <c r="B12" t="s">
        <v>3099</v>
      </c>
      <c r="C12" s="66">
        <v>13</v>
      </c>
      <c r="D12" s="64" t="s">
        <v>2853</v>
      </c>
      <c r="E12" s="13" t="s">
        <v>3108</v>
      </c>
      <c r="F12" s="92">
        <f t="shared" si="0"/>
        <v>3.6827195467422094E-2</v>
      </c>
      <c r="G12" s="43" t="s">
        <v>3107</v>
      </c>
      <c r="H12" s="42" t="s">
        <v>3114</v>
      </c>
    </row>
    <row r="13" spans="1:9" x14ac:dyDescent="0.3">
      <c r="B13" t="s">
        <v>3100</v>
      </c>
      <c r="C13" s="66">
        <v>26</v>
      </c>
      <c r="D13" s="64" t="s">
        <v>2853</v>
      </c>
      <c r="E13" s="13" t="s">
        <v>3108</v>
      </c>
      <c r="F13" s="92">
        <f t="shared" si="0"/>
        <v>7.3654390934844188E-2</v>
      </c>
      <c r="G13" s="43" t="s">
        <v>3107</v>
      </c>
      <c r="H13" s="42" t="s">
        <v>3115</v>
      </c>
      <c r="I13" s="93" t="s">
        <v>3030</v>
      </c>
    </row>
    <row r="14" spans="1:9" x14ac:dyDescent="0.3">
      <c r="B14" t="s">
        <v>3101</v>
      </c>
      <c r="C14" s="66">
        <v>34</v>
      </c>
      <c r="D14" s="64" t="s">
        <v>2853</v>
      </c>
      <c r="E14" s="13" t="s">
        <v>3108</v>
      </c>
      <c r="F14" s="92">
        <f t="shared" si="0"/>
        <v>9.6317280453257784E-2</v>
      </c>
      <c r="G14" s="43" t="s">
        <v>3107</v>
      </c>
      <c r="H14" s="42" t="s">
        <v>3116</v>
      </c>
      <c r="I14" s="93" t="s">
        <v>3030</v>
      </c>
    </row>
    <row r="15" spans="1:9" x14ac:dyDescent="0.3">
      <c r="B15" t="s">
        <v>3102</v>
      </c>
      <c r="C15" s="66">
        <v>174</v>
      </c>
      <c r="D15" s="64" t="s">
        <v>2853</v>
      </c>
      <c r="E15" s="13" t="s">
        <v>3108</v>
      </c>
      <c r="F15" s="92">
        <f t="shared" si="0"/>
        <v>0.49291784702549574</v>
      </c>
      <c r="G15" s="43" t="s">
        <v>3107</v>
      </c>
      <c r="H15" s="42" t="s">
        <v>3117</v>
      </c>
      <c r="I15" s="52" t="s">
        <v>3031</v>
      </c>
    </row>
    <row r="16" spans="1:9" x14ac:dyDescent="0.3">
      <c r="B16" t="s">
        <v>3103</v>
      </c>
      <c r="C16" s="66">
        <v>67</v>
      </c>
      <c r="D16" s="64" t="s">
        <v>2853</v>
      </c>
      <c r="E16" s="13" t="s">
        <v>3108</v>
      </c>
      <c r="F16" s="92">
        <f t="shared" si="0"/>
        <v>0.18980169971671387</v>
      </c>
      <c r="G16" s="43" t="s">
        <v>3107</v>
      </c>
      <c r="H16" s="42" t="s">
        <v>3118</v>
      </c>
      <c r="I16" s="52" t="s">
        <v>3031</v>
      </c>
    </row>
    <row r="18" spans="2:7" x14ac:dyDescent="0.3">
      <c r="B18" t="s">
        <v>3104</v>
      </c>
      <c r="C18" s="61">
        <f>SUM(C10:C16)</f>
        <v>353</v>
      </c>
      <c r="D18" s="64" t="s">
        <v>2853</v>
      </c>
      <c r="E18" s="13" t="s">
        <v>3108</v>
      </c>
      <c r="F18" s="92">
        <f>SUM(F10:F16)</f>
        <v>1</v>
      </c>
      <c r="G18" s="43" t="s">
        <v>3107</v>
      </c>
    </row>
    <row r="21" spans="2:7" x14ac:dyDescent="0.3">
      <c r="B21" t="s">
        <v>3121</v>
      </c>
    </row>
    <row r="22" spans="2:7" x14ac:dyDescent="0.3">
      <c r="B22" t="s">
        <v>3119</v>
      </c>
      <c r="C22" s="66">
        <v>0.748</v>
      </c>
      <c r="D22" t="s">
        <v>3083</v>
      </c>
      <c r="E22" s="70" t="s">
        <v>3123</v>
      </c>
    </row>
    <row r="23" spans="2:7" x14ac:dyDescent="0.3">
      <c r="B23" t="s">
        <v>3120</v>
      </c>
      <c r="C23" s="66">
        <v>0.748</v>
      </c>
      <c r="D23" s="43" t="s">
        <v>3083</v>
      </c>
      <c r="E23" s="70" t="s">
        <v>3123</v>
      </c>
    </row>
    <row r="24" spans="2:7" x14ac:dyDescent="0.3">
      <c r="B24" t="s">
        <v>3122</v>
      </c>
      <c r="C24" s="66">
        <v>0.84699999999999998</v>
      </c>
      <c r="D24" s="43" t="s">
        <v>3083</v>
      </c>
      <c r="E24" s="70" t="s">
        <v>3123</v>
      </c>
    </row>
  </sheetData>
  <hyperlinks>
    <hyperlink ref="E4" r:id="rId1" display="zotero://open-pdf/library/items/HCSQXMF4?page=27&amp;annotation=KBUA3EEM" xr:uid="{4F0AC259-AFFF-43F3-9809-767B407BF0D9}"/>
    <hyperlink ref="E18" r:id="rId2" display="zotero://open-pdf/library/items/HCSQXMF4?page=27&amp;annotation=KBUA3EEM" xr:uid="{235FD0E1-FC5B-4732-961A-0D3F150DF933}"/>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3AB6A-DCA0-44FC-B906-F1FE7AA47CE2}">
  <sheetPr codeName="Sheet4"/>
  <dimension ref="A1:AF115"/>
  <sheetViews>
    <sheetView zoomScaleNormal="100" workbookViewId="0">
      <selection activeCell="B2" sqref="B2"/>
    </sheetView>
  </sheetViews>
  <sheetFormatPr defaultRowHeight="14.4" x14ac:dyDescent="0.3"/>
  <cols>
    <col min="1" max="1" width="28" customWidth="1"/>
    <col min="2" max="2" width="16.88671875" customWidth="1"/>
    <col min="3" max="3" width="9.21875" customWidth="1"/>
    <col min="4" max="4" width="40.5546875" customWidth="1"/>
    <col min="5" max="5" width="18.33203125" customWidth="1"/>
    <col min="6" max="6" width="21.109375" customWidth="1"/>
    <col min="7" max="8" width="24" customWidth="1"/>
    <col min="9" max="10" width="19" customWidth="1"/>
    <col min="11" max="12" width="22" customWidth="1"/>
    <col min="13" max="13" width="16.44140625" customWidth="1"/>
    <col min="14" max="14" width="20.109375" customWidth="1"/>
    <col min="15" max="15" width="42.33203125" customWidth="1"/>
    <col min="16" max="31" width="10" customWidth="1"/>
  </cols>
  <sheetData>
    <row r="1" spans="1:31" ht="24" thickBot="1" x14ac:dyDescent="0.5">
      <c r="A1" s="11" t="s">
        <v>3046</v>
      </c>
      <c r="B1" s="94" t="s">
        <v>3131</v>
      </c>
    </row>
    <row r="2" spans="1:31" ht="21" thickTop="1" thickBot="1" x14ac:dyDescent="0.45">
      <c r="A2" s="11" t="s">
        <v>3048</v>
      </c>
      <c r="B2" s="100" t="s">
        <v>3130</v>
      </c>
    </row>
    <row r="3" spans="1:31" s="43" customFormat="1" ht="15" thickTop="1" x14ac:dyDescent="0.3"/>
    <row r="4" spans="1:31" s="43" customFormat="1" x14ac:dyDescent="0.3">
      <c r="A4" s="80" t="s">
        <v>3057</v>
      </c>
      <c r="B4" s="43" t="s">
        <v>3059</v>
      </c>
    </row>
    <row r="5" spans="1:31" x14ac:dyDescent="0.3">
      <c r="A5" s="81" t="s">
        <v>3053</v>
      </c>
      <c r="B5" t="s">
        <v>3058</v>
      </c>
    </row>
    <row r="6" spans="1:31" s="43" customFormat="1" x14ac:dyDescent="0.3">
      <c r="A6" s="82" t="s">
        <v>3060</v>
      </c>
      <c r="B6" s="43" t="s">
        <v>3061</v>
      </c>
    </row>
    <row r="7" spans="1:31" x14ac:dyDescent="0.3">
      <c r="F7" s="99" t="s">
        <v>705</v>
      </c>
      <c r="G7" s="99"/>
      <c r="I7" s="40" t="s">
        <v>3056</v>
      </c>
      <c r="J7" s="40"/>
    </row>
    <row r="8" spans="1:31" s="14" customFormat="1" ht="72" x14ac:dyDescent="0.3">
      <c r="A8" s="78" t="s">
        <v>3043</v>
      </c>
      <c r="B8" s="79" t="s">
        <v>2870</v>
      </c>
      <c r="C8" s="78" t="s">
        <v>2796</v>
      </c>
      <c r="D8" s="50" t="s">
        <v>2871</v>
      </c>
      <c r="E8" s="50" t="s">
        <v>2872</v>
      </c>
      <c r="F8" s="50" t="s">
        <v>3020</v>
      </c>
      <c r="G8" s="50" t="s">
        <v>3021</v>
      </c>
      <c r="H8" s="78" t="s">
        <v>3044</v>
      </c>
      <c r="I8" s="78" t="s">
        <v>3052</v>
      </c>
      <c r="J8" s="50" t="s">
        <v>2617</v>
      </c>
      <c r="K8" s="50" t="s">
        <v>2873</v>
      </c>
      <c r="L8" s="50" t="s">
        <v>2874</v>
      </c>
      <c r="M8" s="50" t="s">
        <v>2875</v>
      </c>
      <c r="N8" s="50" t="s">
        <v>2876</v>
      </c>
      <c r="O8" s="55" t="s">
        <v>2877</v>
      </c>
      <c r="P8" s="50" t="s">
        <v>3022</v>
      </c>
      <c r="Q8" s="50" t="s">
        <v>3023</v>
      </c>
      <c r="R8" s="50" t="s">
        <v>3025</v>
      </c>
      <c r="S8" s="50" t="s">
        <v>3026</v>
      </c>
      <c r="T8" s="50" t="s">
        <v>3035</v>
      </c>
      <c r="U8" s="55" t="s">
        <v>3036</v>
      </c>
      <c r="V8" s="50" t="s">
        <v>3028</v>
      </c>
      <c r="W8" s="50" t="s">
        <v>3029</v>
      </c>
      <c r="X8" s="50" t="s">
        <v>3027</v>
      </c>
      <c r="Y8" s="50" t="s">
        <v>3033</v>
      </c>
      <c r="Z8" s="50" t="s">
        <v>3037</v>
      </c>
      <c r="AA8" s="50" t="s">
        <v>3038</v>
      </c>
      <c r="AB8" s="50" t="s">
        <v>3040</v>
      </c>
      <c r="AC8" s="50" t="s">
        <v>3041</v>
      </c>
      <c r="AD8" s="50" t="s">
        <v>3050</v>
      </c>
      <c r="AE8" s="50" t="s">
        <v>3051</v>
      </c>
    </row>
    <row r="9" spans="1:31" x14ac:dyDescent="0.3">
      <c r="A9" s="57">
        <v>1</v>
      </c>
      <c r="B9" t="s">
        <v>614</v>
      </c>
      <c r="C9" s="57" t="s">
        <v>2797</v>
      </c>
      <c r="D9" t="s">
        <v>615</v>
      </c>
      <c r="E9" s="41" t="s">
        <v>2878</v>
      </c>
      <c r="F9" s="49">
        <f>INDEX(prodcom_data[PRODQNT + IMPQNT - EU27 - 2022], MATCH(B9, prodcom_data[product], 0))</f>
        <v>11059816493</v>
      </c>
      <c r="G9" s="47">
        <f>F9/1000000000</f>
        <v>11.059816493</v>
      </c>
      <c r="H9" s="83">
        <f>INDEX(prodcom_data[Local production share of available quantity (PRODQNT + IMPQNT) - EU27 - 2022], MATCH(B9, prodcom_data[product], 0))</f>
        <v>0.86402104863567564</v>
      </c>
      <c r="I9" s="42" t="s">
        <v>2643</v>
      </c>
      <c r="J9" s="42" t="s">
        <v>2642</v>
      </c>
      <c r="K9" s="67" t="s">
        <v>2879</v>
      </c>
      <c r="L9" s="67">
        <v>42.081000000000003</v>
      </c>
      <c r="M9" s="68" t="s">
        <v>2880</v>
      </c>
      <c r="N9" s="62">
        <f>M9*'Split Polyamides &amp; Isocyanates'!$C$37/L9</f>
        <v>0.85627717972481643</v>
      </c>
      <c r="O9" s="69" t="s">
        <v>2881</v>
      </c>
      <c r="P9" s="52" t="s">
        <v>3030</v>
      </c>
      <c r="Q9" s="51">
        <v>1</v>
      </c>
      <c r="R9" s="52"/>
      <c r="S9" s="53"/>
      <c r="T9" s="52"/>
      <c r="U9" s="56"/>
      <c r="V9" s="52" t="s">
        <v>3024</v>
      </c>
      <c r="W9" s="51">
        <v>0.89</v>
      </c>
      <c r="X9" s="52" t="s">
        <v>3078</v>
      </c>
      <c r="Y9" s="54">
        <f>0.05+0.01</f>
        <v>6.0000000000000005E-2</v>
      </c>
      <c r="Z9" s="52" t="s">
        <v>3031</v>
      </c>
      <c r="AA9" s="54" cm="1">
        <f t="array" ref="AA9">1-SUM(IF(ISNUMBER(V9:Y9), V9:Y9, 0))</f>
        <v>4.9999999999999933E-2</v>
      </c>
      <c r="AB9" s="52"/>
      <c r="AC9" s="53"/>
      <c r="AD9" s="52"/>
      <c r="AE9" s="53"/>
    </row>
    <row r="10" spans="1:31" x14ac:dyDescent="0.3">
      <c r="A10" s="57">
        <v>2</v>
      </c>
      <c r="B10" t="s">
        <v>8</v>
      </c>
      <c r="C10" s="57" t="s">
        <v>2798</v>
      </c>
      <c r="D10" t="s">
        <v>9</v>
      </c>
      <c r="E10" s="41" t="s">
        <v>9</v>
      </c>
      <c r="F10" s="49">
        <f>INDEX(prodcom_data[PRODQNT + IMPQNT - EU27 - 2022], MATCH(B10, prodcom_data[product], 0))</f>
        <v>10337493766</v>
      </c>
      <c r="G10" s="47">
        <f t="shared" ref="G10:G65" si="0">F10/1000000000</f>
        <v>10.337493766</v>
      </c>
      <c r="H10" s="83">
        <f>INDEX(prodcom_data[Local production share of available quantity (PRODQNT + IMPQNT) - EU27 - 2022], MATCH(B10, prodcom_data[product], 0))</f>
        <v>0.87904863332422545</v>
      </c>
      <c r="I10" s="42" t="s">
        <v>2644</v>
      </c>
      <c r="J10" s="42" t="s">
        <v>2642</v>
      </c>
      <c r="K10" s="67" t="s">
        <v>2885</v>
      </c>
      <c r="L10" s="67">
        <v>28.05</v>
      </c>
      <c r="M10" s="68" t="s">
        <v>2886</v>
      </c>
      <c r="N10" s="62">
        <f>M10*'Split Polyamides &amp; Isocyanates'!$C$37/L10</f>
        <v>0.85639928698752221</v>
      </c>
      <c r="O10" s="69" t="s">
        <v>2887</v>
      </c>
      <c r="P10" s="52" t="s">
        <v>3024</v>
      </c>
      <c r="Q10" s="51">
        <v>0.96</v>
      </c>
      <c r="R10" s="52" t="s">
        <v>3031</v>
      </c>
      <c r="S10" s="54" cm="1">
        <f t="array" ref="S10">1-SUM(IF(ISNUMBER(P10:Q10), P10:Q10, 0))</f>
        <v>4.0000000000000036E-2</v>
      </c>
      <c r="T10" s="52"/>
      <c r="U10" s="56"/>
      <c r="V10" s="52" t="s">
        <v>3032</v>
      </c>
      <c r="W10" s="51">
        <v>0.94</v>
      </c>
      <c r="X10" s="52" t="s">
        <v>3079</v>
      </c>
      <c r="Y10" s="53">
        <v>0.03</v>
      </c>
      <c r="Z10" s="52" t="s">
        <v>3042</v>
      </c>
      <c r="AA10" s="53">
        <v>0.02</v>
      </c>
      <c r="AB10" s="52" t="s">
        <v>3034</v>
      </c>
      <c r="AC10" s="53">
        <v>0.01</v>
      </c>
      <c r="AD10" s="52"/>
      <c r="AE10" s="53"/>
    </row>
    <row r="11" spans="1:31" x14ac:dyDescent="0.3">
      <c r="A11" s="57">
        <v>3</v>
      </c>
      <c r="B11" t="s">
        <v>11</v>
      </c>
      <c r="C11" s="57" t="s">
        <v>2798</v>
      </c>
      <c r="D11" t="s">
        <v>12</v>
      </c>
      <c r="E11" s="41" t="s">
        <v>2882</v>
      </c>
      <c r="F11" s="49">
        <f>INDEX(prodcom_data[PRODQNT + IMPQNT - EU27 - 2022], MATCH(B11, prodcom_data[product], 0))</f>
        <v>9081741202</v>
      </c>
      <c r="G11" s="47">
        <f t="shared" si="0"/>
        <v>9.0817412019999999</v>
      </c>
      <c r="H11" s="83">
        <f>INDEX(prodcom_data[Local production share of available quantity (PRODQNT + IMPQNT) - EU27 - 2022], MATCH(B11, prodcom_data[product], 0))</f>
        <v>0.94409418582769256</v>
      </c>
      <c r="I11" s="42" t="s">
        <v>2645</v>
      </c>
      <c r="J11" s="42" t="s">
        <v>2642</v>
      </c>
      <c r="K11" s="67" t="s">
        <v>2883</v>
      </c>
      <c r="L11" s="67">
        <v>42.08</v>
      </c>
      <c r="M11" s="68" t="s">
        <v>2880</v>
      </c>
      <c r="N11" s="62">
        <f>M11*'Split Polyamides &amp; Isocyanates'!$C$37/L11</f>
        <v>0.85629752851711038</v>
      </c>
      <c r="O11" s="69" t="s">
        <v>2884</v>
      </c>
      <c r="P11" s="52" t="s">
        <v>3024</v>
      </c>
      <c r="Q11" s="51">
        <v>0.98</v>
      </c>
      <c r="R11" s="52" t="s">
        <v>3031</v>
      </c>
      <c r="S11" s="54" cm="1">
        <f t="array" ref="S11">1-SUM(IF(ISNUMBER(P11:Q11), P11:Q11, 0))</f>
        <v>2.0000000000000018E-2</v>
      </c>
      <c r="T11" s="52"/>
      <c r="U11" s="56"/>
      <c r="V11" s="52" t="s">
        <v>3032</v>
      </c>
      <c r="W11" s="51">
        <v>0.97</v>
      </c>
      <c r="X11" s="52" t="s">
        <v>3079</v>
      </c>
      <c r="Y11" s="53">
        <v>0.01</v>
      </c>
      <c r="Z11" s="52" t="s">
        <v>3042</v>
      </c>
      <c r="AA11" s="53">
        <v>0.01</v>
      </c>
      <c r="AB11" s="52" t="s">
        <v>3031</v>
      </c>
      <c r="AC11" s="54" cm="1">
        <f t="array" ref="AC11">1-SUM(IF(ISNUMBER(V11:AA11), V11:AA11, 0))</f>
        <v>1.0000000000000009E-2</v>
      </c>
      <c r="AD11" s="52"/>
      <c r="AE11" s="53"/>
    </row>
    <row r="12" spans="1:31" x14ac:dyDescent="0.3">
      <c r="A12" s="57">
        <v>4</v>
      </c>
      <c r="B12" t="s">
        <v>539</v>
      </c>
      <c r="C12" s="57" t="s">
        <v>2799</v>
      </c>
      <c r="D12" t="s">
        <v>540</v>
      </c>
      <c r="E12" s="41" t="s">
        <v>2888</v>
      </c>
      <c r="F12" s="49">
        <f>INDEX(prodcom_data[PRODQNT + IMPQNT - EU27 - 2022], MATCH(B12, prodcom_data[product], 0))</f>
        <v>7628879471</v>
      </c>
      <c r="G12" s="47">
        <f t="shared" si="0"/>
        <v>7.6288794710000003</v>
      </c>
      <c r="H12" s="83">
        <f>INDEX(prodcom_data[Local production share of available quantity (PRODQNT + IMPQNT) - EU27 - 2022], MATCH(B12, prodcom_data[product], 0))</f>
        <v>0.78369292184089345</v>
      </c>
      <c r="I12" s="42" t="s">
        <v>2646</v>
      </c>
      <c r="J12" s="42" t="s">
        <v>2642</v>
      </c>
      <c r="K12" s="67" t="s">
        <v>2889</v>
      </c>
      <c r="L12" s="67">
        <v>28.053999999999998</v>
      </c>
      <c r="M12" s="68" t="s">
        <v>2886</v>
      </c>
      <c r="N12" s="62">
        <f>M12*'Split Polyamides &amp; Isocyanates'!$C$37/L12</f>
        <v>0.85627717972481643</v>
      </c>
      <c r="O12" s="69" t="s">
        <v>2890</v>
      </c>
      <c r="P12" s="52" t="s">
        <v>3030</v>
      </c>
      <c r="Q12" s="51">
        <v>1</v>
      </c>
      <c r="R12" s="52"/>
      <c r="S12" s="53"/>
      <c r="T12" s="52"/>
      <c r="U12" s="56"/>
      <c r="V12" s="52" t="s">
        <v>3024</v>
      </c>
      <c r="W12" s="51">
        <v>0.81</v>
      </c>
      <c r="X12" s="52" t="s">
        <v>3034</v>
      </c>
      <c r="Y12" s="53">
        <v>0.05</v>
      </c>
      <c r="Z12" s="52" t="s">
        <v>3031</v>
      </c>
      <c r="AA12" s="54" cm="1">
        <f t="array" ref="AA12">1-SUM(IF(ISNUMBER(V12:Y12), V12:Y12, 0))</f>
        <v>0.1399999999999999</v>
      </c>
      <c r="AB12" s="52"/>
      <c r="AC12" s="53"/>
      <c r="AD12" s="52"/>
      <c r="AE12" s="53"/>
    </row>
    <row r="13" spans="1:31" x14ac:dyDescent="0.3">
      <c r="A13" s="57">
        <v>5</v>
      </c>
      <c r="B13" t="s">
        <v>111</v>
      </c>
      <c r="C13" s="77" t="s">
        <v>3049</v>
      </c>
      <c r="D13" t="s">
        <v>112</v>
      </c>
      <c r="E13" s="41" t="s">
        <v>2891</v>
      </c>
      <c r="F13" s="49">
        <f>INDEX(prodcom_data[PRODQNT + IMPQNT - EU27 - 2022], MATCH(B13, prodcom_data[product], 0))</f>
        <v>6904732058</v>
      </c>
      <c r="G13" s="47">
        <f t="shared" si="0"/>
        <v>6.9047320579999996</v>
      </c>
      <c r="H13" s="83">
        <f>INDEX(prodcom_data[Local production share of available quantity (PRODQNT + IMPQNT) - EU27 - 2022], MATCH(B13, prodcom_data[product], 0))</f>
        <v>0.14193164800139446</v>
      </c>
      <c r="I13" s="42" t="s">
        <v>2647</v>
      </c>
      <c r="J13" s="42" t="s">
        <v>2642</v>
      </c>
      <c r="K13" s="67" t="s">
        <v>2892</v>
      </c>
      <c r="L13" s="67">
        <v>32.042000000000002</v>
      </c>
      <c r="M13" s="68" t="s">
        <v>2893</v>
      </c>
      <c r="N13" s="62">
        <f>M13*'Split Polyamides &amp; Isocyanates'!$C$37/L13</f>
        <v>0.3748517570688471</v>
      </c>
      <c r="O13" s="69" t="s">
        <v>2894</v>
      </c>
      <c r="P13" s="52" t="s">
        <v>3024</v>
      </c>
      <c r="Q13" s="51">
        <v>0.35</v>
      </c>
      <c r="R13" s="52" t="s">
        <v>3034</v>
      </c>
      <c r="S13" s="51">
        <v>0.23</v>
      </c>
      <c r="T13" s="52" t="s">
        <v>3031</v>
      </c>
      <c r="U13" s="54">
        <f>1-Q13-S13</f>
        <v>0.42000000000000004</v>
      </c>
      <c r="V13" s="52" t="s">
        <v>3032</v>
      </c>
      <c r="W13" s="51">
        <v>0.18</v>
      </c>
      <c r="X13" s="52" t="s">
        <v>3039</v>
      </c>
      <c r="Y13" s="51">
        <v>0.21</v>
      </c>
      <c r="Z13" s="52" t="s">
        <v>3034</v>
      </c>
      <c r="AA13" s="51">
        <v>0.23</v>
      </c>
      <c r="AB13" s="52" t="s">
        <v>3042</v>
      </c>
      <c r="AC13" s="53">
        <v>0.16</v>
      </c>
      <c r="AD13" s="52" t="s">
        <v>3031</v>
      </c>
      <c r="AE13" s="54" cm="1">
        <f t="array" ref="AE13">1-SUM(IF(ISNUMBER(V13:AC13), V13:AC13, 0))</f>
        <v>0.21999999999999997</v>
      </c>
    </row>
    <row r="14" spans="1:31" x14ac:dyDescent="0.3">
      <c r="A14" s="57">
        <v>6</v>
      </c>
      <c r="B14" t="s">
        <v>34</v>
      </c>
      <c r="C14" s="57" t="s">
        <v>2801</v>
      </c>
      <c r="D14" t="s">
        <v>35</v>
      </c>
      <c r="E14" s="41" t="s">
        <v>35</v>
      </c>
      <c r="F14" s="49">
        <f>INDEX(prodcom_data[PRODQNT + IMPQNT - EU27 - 2022], MATCH(B14, prodcom_data[product], 0))</f>
        <v>6234476067</v>
      </c>
      <c r="G14" s="47">
        <f t="shared" si="0"/>
        <v>6.2344760670000001</v>
      </c>
      <c r="H14" s="83">
        <f>INDEX(prodcom_data[Local production share of available quantity (PRODQNT + IMPQNT) - EU27 - 2022], MATCH(B14, prodcom_data[product], 0))</f>
        <v>0.88287081478020857</v>
      </c>
      <c r="I14" s="42" t="s">
        <v>2648</v>
      </c>
      <c r="J14" s="42" t="s">
        <v>2642</v>
      </c>
      <c r="K14" s="67" t="s">
        <v>2895</v>
      </c>
      <c r="L14" s="67">
        <v>78.11</v>
      </c>
      <c r="M14" s="68" t="s">
        <v>2896</v>
      </c>
      <c r="N14" s="62">
        <f>M14*'Split Polyamides &amp; Isocyanates'!$C$37/L14</f>
        <v>0.92262194341313541</v>
      </c>
      <c r="O14" s="69" t="s">
        <v>2897</v>
      </c>
      <c r="P14" s="52" t="s">
        <v>3024</v>
      </c>
      <c r="Q14" s="51">
        <v>0.93</v>
      </c>
      <c r="R14" s="52" t="s">
        <v>3031</v>
      </c>
      <c r="S14" s="54" cm="1">
        <f t="array" ref="S14">1-SUM(IF(ISNUMBER(P14:Q14), P14:Q14, 0))</f>
        <v>6.9999999999999951E-2</v>
      </c>
      <c r="T14" s="52"/>
      <c r="U14" s="56"/>
      <c r="V14" s="52" t="s">
        <v>3024</v>
      </c>
      <c r="W14" s="51">
        <v>0.93</v>
      </c>
      <c r="X14" s="52" t="s">
        <v>3031</v>
      </c>
      <c r="Y14" s="54" cm="1">
        <f t="array" ref="Y14">1-SUM(IF(ISNUMBER(V14:W14), V14:W14, 0))</f>
        <v>6.9999999999999951E-2</v>
      </c>
      <c r="Z14" s="52"/>
      <c r="AA14" s="53"/>
      <c r="AB14" s="52"/>
      <c r="AC14" s="53"/>
      <c r="AD14" s="52"/>
      <c r="AE14" s="53"/>
    </row>
    <row r="15" spans="1:31" x14ac:dyDescent="0.3">
      <c r="A15" s="57">
        <v>7</v>
      </c>
      <c r="B15" t="s">
        <v>563</v>
      </c>
      <c r="C15" s="57" t="s">
        <v>2802</v>
      </c>
      <c r="D15" t="s">
        <v>564</v>
      </c>
      <c r="E15" s="41" t="s">
        <v>2898</v>
      </c>
      <c r="F15" s="49">
        <f>INDEX(prodcom_data[PRODQNT + IMPQNT - EU27 - 2022], MATCH(B15, prodcom_data[product], 0))</f>
        <v>5008047468</v>
      </c>
      <c r="G15" s="47">
        <f t="shared" si="0"/>
        <v>5.008047468</v>
      </c>
      <c r="H15" s="83">
        <f>INDEX(prodcom_data[Local production share of available quantity (PRODQNT + IMPQNT) - EU27 - 2022], MATCH(B15, prodcom_data[product], 0))</f>
        <v>0.89272188364169869</v>
      </c>
      <c r="I15" s="42" t="s">
        <v>2650</v>
      </c>
      <c r="J15" s="42" t="s">
        <v>2642</v>
      </c>
      <c r="K15" s="67" t="s">
        <v>2899</v>
      </c>
      <c r="L15" s="67">
        <v>62.5</v>
      </c>
      <c r="M15" s="68" t="s">
        <v>2886</v>
      </c>
      <c r="N15" s="62">
        <f>M15*'Split Polyamides &amp; Isocyanates'!$C$37/L15</f>
        <v>0.38435199999999997</v>
      </c>
      <c r="O15" s="69" t="s">
        <v>2900</v>
      </c>
      <c r="P15" s="52" t="s">
        <v>3024</v>
      </c>
      <c r="Q15" s="51">
        <v>0.92</v>
      </c>
      <c r="R15" s="52" t="s">
        <v>3031</v>
      </c>
      <c r="S15" s="54" cm="1">
        <f t="array" ref="S15">1-SUM(IF(ISNUMBER(P15:Q15), P15:Q15, 0))</f>
        <v>7.999999999999996E-2</v>
      </c>
      <c r="T15" s="52"/>
      <c r="U15" s="56"/>
      <c r="V15" s="52" t="s">
        <v>3024</v>
      </c>
      <c r="W15" s="51">
        <v>0.92</v>
      </c>
      <c r="X15" s="52" t="s">
        <v>3080</v>
      </c>
      <c r="Y15" s="54">
        <f>0.03+0.03</f>
        <v>0.06</v>
      </c>
      <c r="Z15" s="52" t="s">
        <v>3031</v>
      </c>
      <c r="AA15" s="54" cm="1">
        <f t="array" ref="AA15">1-SUM(IF(ISNUMBER(V15:Y15), V15:Y15, 0))</f>
        <v>2.0000000000000018E-2</v>
      </c>
      <c r="AB15" s="52"/>
      <c r="AC15" s="53"/>
      <c r="AD15" s="52"/>
      <c r="AE15" s="53"/>
    </row>
    <row r="16" spans="1:31" x14ac:dyDescent="0.3">
      <c r="A16" s="57">
        <v>8</v>
      </c>
      <c r="B16" t="s">
        <v>536</v>
      </c>
      <c r="C16" s="57" t="s">
        <v>2800</v>
      </c>
      <c r="D16" t="s">
        <v>537</v>
      </c>
      <c r="E16" s="41" t="s">
        <v>2888</v>
      </c>
      <c r="F16" s="49">
        <f>INDEX(prodcom_data[PRODQNT + IMPQNT - EU27 - 2022], MATCH(B16, prodcom_data[product], 0))</f>
        <v>4474213876</v>
      </c>
      <c r="G16" s="47">
        <f t="shared" si="0"/>
        <v>4.4742138760000003</v>
      </c>
      <c r="H16" s="83">
        <f>INDEX(prodcom_data[Local production share of available quantity (PRODQNT + IMPQNT) - EU27 - 2022], MATCH(B16, prodcom_data[product], 0))</f>
        <v>0.7961067883023123</v>
      </c>
      <c r="I16" s="42" t="s">
        <v>2651</v>
      </c>
      <c r="J16" s="42" t="s">
        <v>2642</v>
      </c>
      <c r="K16" s="67" t="s">
        <v>2889</v>
      </c>
      <c r="L16" s="67">
        <v>28.053999999999998</v>
      </c>
      <c r="M16" s="68" t="s">
        <v>2886</v>
      </c>
      <c r="N16" s="62">
        <f>M16*'Split Polyamides &amp; Isocyanates'!$C$37/L16</f>
        <v>0.85627717972481643</v>
      </c>
      <c r="O16" s="69" t="s">
        <v>2890</v>
      </c>
      <c r="P16" s="52" t="s">
        <v>3030</v>
      </c>
      <c r="Q16" s="51">
        <v>1</v>
      </c>
      <c r="R16" s="52"/>
      <c r="S16" s="53"/>
      <c r="T16" s="52"/>
      <c r="U16" s="56"/>
      <c r="V16" s="52" t="s">
        <v>3024</v>
      </c>
      <c r="W16" s="51">
        <v>0.84</v>
      </c>
      <c r="X16" s="52" t="s">
        <v>3034</v>
      </c>
      <c r="Y16" s="53">
        <v>0.04</v>
      </c>
      <c r="Z16" s="52" t="s">
        <v>3031</v>
      </c>
      <c r="AA16" s="54" cm="1">
        <f t="array" ref="AA16">1-SUM(IF(ISNUMBER(V16:Y16), V16:Y16, 0))</f>
        <v>0.12</v>
      </c>
      <c r="AB16" s="52"/>
      <c r="AC16" s="53"/>
      <c r="AD16" s="52"/>
      <c r="AE16" s="53"/>
    </row>
    <row r="17" spans="1:31" x14ac:dyDescent="0.3">
      <c r="A17" s="57">
        <v>9</v>
      </c>
      <c r="B17" t="s">
        <v>533</v>
      </c>
      <c r="C17" s="57" t="s">
        <v>2800</v>
      </c>
      <c r="D17" t="s">
        <v>534</v>
      </c>
      <c r="E17" s="41" t="s">
        <v>2888</v>
      </c>
      <c r="F17" s="49">
        <f>INDEX(prodcom_data[PRODQNT + IMPQNT - EU27 - 2022], MATCH(B17, prodcom_data[product], 0))</f>
        <v>4238710053</v>
      </c>
      <c r="G17" s="47">
        <f t="shared" si="0"/>
        <v>4.2387100530000001</v>
      </c>
      <c r="H17" s="83">
        <f>INDEX(prodcom_data[Local production share of available quantity (PRODQNT + IMPQNT) - EU27 - 2022], MATCH(B17, prodcom_data[product], 0))</f>
        <v>0.8225375065540016</v>
      </c>
      <c r="I17" s="42" t="s">
        <v>2653</v>
      </c>
      <c r="J17" s="42" t="s">
        <v>2642</v>
      </c>
      <c r="K17" s="67" t="s">
        <v>2889</v>
      </c>
      <c r="L17" s="67">
        <v>28.053999999999998</v>
      </c>
      <c r="M17" s="68" t="s">
        <v>2886</v>
      </c>
      <c r="N17" s="62">
        <f>M17*'Split Polyamides &amp; Isocyanates'!$C$37/L17</f>
        <v>0.85627717972481643</v>
      </c>
      <c r="O17" s="69" t="s">
        <v>2890</v>
      </c>
      <c r="P17" s="52" t="s">
        <v>3030</v>
      </c>
      <c r="Q17" s="51">
        <v>1</v>
      </c>
      <c r="R17" s="52"/>
      <c r="S17" s="53"/>
      <c r="T17" s="52"/>
      <c r="U17" s="56"/>
      <c r="V17" s="52" t="s">
        <v>3030</v>
      </c>
      <c r="W17" s="51">
        <v>1</v>
      </c>
      <c r="X17" s="52"/>
      <c r="Y17" s="53"/>
      <c r="Z17" s="52"/>
      <c r="AA17" s="53"/>
      <c r="AB17" s="52"/>
      <c r="AC17" s="53"/>
      <c r="AD17" s="52"/>
      <c r="AE17" s="53"/>
    </row>
    <row r="18" spans="1:31" x14ac:dyDescent="0.3">
      <c r="A18" s="57">
        <v>10</v>
      </c>
      <c r="B18" t="s">
        <v>49</v>
      </c>
      <c r="C18" s="57" t="s">
        <v>2803</v>
      </c>
      <c r="D18" t="s">
        <v>50</v>
      </c>
      <c r="E18" s="41" t="s">
        <v>50</v>
      </c>
      <c r="F18" s="49">
        <f>INDEX(prodcom_data[PRODQNT + IMPQNT - EU27 - 2022], MATCH(B18, prodcom_data[product], 0))</f>
        <v>3627976392</v>
      </c>
      <c r="G18" s="47">
        <f t="shared" si="0"/>
        <v>3.6279763919999999</v>
      </c>
      <c r="H18" s="83">
        <f>INDEX(prodcom_data[Local production share of available quantity (PRODQNT + IMPQNT) - EU27 - 2022], MATCH(B18, prodcom_data[product], 0))</f>
        <v>0.82690725513409014</v>
      </c>
      <c r="I18" s="42" t="s">
        <v>2654</v>
      </c>
      <c r="J18" s="42" t="s">
        <v>2642</v>
      </c>
      <c r="K18" s="67" t="s">
        <v>2909</v>
      </c>
      <c r="L18" s="67">
        <v>104.15</v>
      </c>
      <c r="M18" s="68" t="s">
        <v>2903</v>
      </c>
      <c r="N18" s="62">
        <f>M18*'Split Polyamides &amp; Isocyanates'!$C$37/L18</f>
        <v>0.92259241478636567</v>
      </c>
      <c r="O18" s="69" t="s">
        <v>2910</v>
      </c>
      <c r="P18" s="52" t="s">
        <v>3024</v>
      </c>
      <c r="Q18" s="51">
        <v>0.84</v>
      </c>
      <c r="R18" s="52" t="s">
        <v>3031</v>
      </c>
      <c r="S18" s="54" cm="1">
        <f t="array" ref="S18">1-SUM(IF(ISNUMBER(P18:Q18), P18:Q18, 0))</f>
        <v>0.16000000000000003</v>
      </c>
      <c r="T18" s="52"/>
      <c r="U18" s="56"/>
      <c r="V18" s="52" t="s">
        <v>3024</v>
      </c>
      <c r="W18" s="51">
        <v>0.84</v>
      </c>
      <c r="X18" s="52" t="s">
        <v>3034</v>
      </c>
      <c r="Y18" s="53">
        <v>0.06</v>
      </c>
      <c r="Z18" s="52" t="s">
        <v>3081</v>
      </c>
      <c r="AA18" s="53">
        <v>0.03</v>
      </c>
      <c r="AB18" s="52" t="s">
        <v>3031</v>
      </c>
      <c r="AC18" s="54" cm="1">
        <f t="array" ref="AC18">1-SUM(IF(ISNUMBER(V18:AA18), V18:AA18, 0))</f>
        <v>7.0000000000000062E-2</v>
      </c>
      <c r="AD18" s="52"/>
      <c r="AE18" s="53"/>
    </row>
    <row r="19" spans="1:31" x14ac:dyDescent="0.3">
      <c r="A19" s="57">
        <v>11</v>
      </c>
      <c r="B19" t="s">
        <v>263</v>
      </c>
      <c r="C19" s="57" t="s">
        <v>2804</v>
      </c>
      <c r="D19" t="s">
        <v>264</v>
      </c>
      <c r="E19" s="41" t="s">
        <v>2901</v>
      </c>
      <c r="F19" s="49">
        <f>INDEX(prodcom_data[PRODQNT + IMPQNT - EU27 - 2022], MATCH(B19, prodcom_data[product], 0))</f>
        <v>3491283735</v>
      </c>
      <c r="G19" s="47">
        <f t="shared" si="0"/>
        <v>3.4912837350000001</v>
      </c>
      <c r="H19" s="83">
        <f>INDEX(prodcom_data[Local production share of available quantity (PRODQNT + IMPQNT) - EU27 - 2022], MATCH(B19, prodcom_data[product], 0))</f>
        <v>0.80199726304971886</v>
      </c>
      <c r="I19" s="42" t="s">
        <v>2655</v>
      </c>
      <c r="J19" s="42" t="s">
        <v>2656</v>
      </c>
      <c r="K19" s="67" t="s">
        <v>2902</v>
      </c>
      <c r="L19" s="67">
        <v>166.13</v>
      </c>
      <c r="M19" s="68" t="s">
        <v>2903</v>
      </c>
      <c r="N19" s="62">
        <f>M19*'Split Polyamides &amp; Isocyanates'!$C$37/L19</f>
        <v>0.57839041714320105</v>
      </c>
      <c r="O19" s="69" t="s">
        <v>2904</v>
      </c>
      <c r="P19" s="52" t="s">
        <v>3030</v>
      </c>
      <c r="Q19" s="51">
        <v>1</v>
      </c>
      <c r="R19" s="52"/>
      <c r="S19" s="53"/>
      <c r="T19" s="52"/>
      <c r="U19" s="56"/>
      <c r="V19" s="52" t="s">
        <v>3030</v>
      </c>
      <c r="W19" s="51">
        <v>1</v>
      </c>
      <c r="X19" s="52"/>
      <c r="Y19" s="53"/>
      <c r="Z19" s="52"/>
      <c r="AA19" s="53"/>
      <c r="AB19" s="52"/>
      <c r="AC19" s="53"/>
      <c r="AD19" s="52"/>
      <c r="AE19" s="53"/>
    </row>
    <row r="20" spans="1:31" x14ac:dyDescent="0.3">
      <c r="A20" s="57">
        <v>12</v>
      </c>
      <c r="B20" t="s">
        <v>599</v>
      </c>
      <c r="C20" s="57" t="s">
        <v>2805</v>
      </c>
      <c r="D20" t="s">
        <v>600</v>
      </c>
      <c r="E20" s="41" t="s">
        <v>2905</v>
      </c>
      <c r="F20" s="49">
        <f>INDEX(prodcom_data[PRODQNT + IMPQNT - EU27 - 2022], MATCH(B20, prodcom_data[product], 0))</f>
        <v>3349184970</v>
      </c>
      <c r="G20" s="47">
        <f t="shared" si="0"/>
        <v>3.34918497</v>
      </c>
      <c r="H20" s="83">
        <f>INDEX(prodcom_data[Local production share of available quantity (PRODQNT + IMPQNT) - EU27 - 2022], MATCH(B20, prodcom_data[product], 0))</f>
        <v>0.6568762309953875</v>
      </c>
      <c r="I20" s="42" t="s">
        <v>2657</v>
      </c>
      <c r="J20" s="42" t="s">
        <v>2642</v>
      </c>
      <c r="K20" s="67" t="s">
        <v>2906</v>
      </c>
      <c r="L20" s="67">
        <v>222.24</v>
      </c>
      <c r="M20" s="68" t="s">
        <v>2907</v>
      </c>
      <c r="N20" s="62">
        <f>M20*'Split Polyamides &amp; Isocyanates'!$C$37/L20</f>
        <v>0.64854211663066952</v>
      </c>
      <c r="O20" s="69" t="s">
        <v>2908</v>
      </c>
      <c r="P20" s="52" t="s">
        <v>3030</v>
      </c>
      <c r="Q20" s="51">
        <v>1</v>
      </c>
      <c r="R20" s="52"/>
      <c r="S20" s="53"/>
      <c r="T20" s="52"/>
      <c r="U20" s="56"/>
      <c r="V20" s="52" t="s">
        <v>3030</v>
      </c>
      <c r="W20" s="51">
        <v>1</v>
      </c>
      <c r="X20" s="52"/>
      <c r="Y20" s="53"/>
      <c r="Z20" s="52"/>
      <c r="AA20" s="53"/>
      <c r="AB20" s="52"/>
      <c r="AC20" s="53"/>
      <c r="AD20" s="52"/>
      <c r="AE20" s="53"/>
    </row>
    <row r="21" spans="1:31" x14ac:dyDescent="0.3">
      <c r="A21" s="57">
        <v>13</v>
      </c>
      <c r="B21" t="s">
        <v>17</v>
      </c>
      <c r="C21" s="57" t="s">
        <v>2806</v>
      </c>
      <c r="D21" t="s">
        <v>18</v>
      </c>
      <c r="E21" s="41" t="s">
        <v>2911</v>
      </c>
      <c r="F21" s="49">
        <f>INDEX(prodcom_data[PRODQNT + IMPQNT - EU27 - 2022], MATCH(B21, prodcom_data[product], 0))</f>
        <v>2808940257</v>
      </c>
      <c r="G21" s="47">
        <f t="shared" si="0"/>
        <v>2.8089402570000002</v>
      </c>
      <c r="H21" s="83">
        <f>INDEX(prodcom_data[Local production share of available quantity (PRODQNT + IMPQNT) - EU27 - 2022], MATCH(B21, prodcom_data[product], 0))</f>
        <v>0.9968172135460267</v>
      </c>
      <c r="I21" s="42" t="s">
        <v>2659</v>
      </c>
      <c r="J21" s="42" t="s">
        <v>2660</v>
      </c>
      <c r="K21" s="67" t="s">
        <v>2912</v>
      </c>
      <c r="L21" s="67">
        <v>54.09</v>
      </c>
      <c r="M21" s="68" t="s">
        <v>2913</v>
      </c>
      <c r="N21" s="62">
        <f>M21*'Split Polyamides &amp; Isocyanates'!$C$37/L21</f>
        <v>0.88822333148456267</v>
      </c>
      <c r="O21" s="69" t="s">
        <v>2914</v>
      </c>
      <c r="P21" s="52" t="s">
        <v>3024</v>
      </c>
      <c r="Q21" s="51">
        <v>1</v>
      </c>
      <c r="R21" s="52"/>
      <c r="S21" s="53"/>
      <c r="T21" s="52"/>
      <c r="U21" s="56"/>
      <c r="V21" s="52" t="s">
        <v>3032</v>
      </c>
      <c r="W21" s="51">
        <v>1</v>
      </c>
      <c r="X21" s="52"/>
      <c r="Y21" s="53"/>
      <c r="Z21" s="52"/>
      <c r="AA21" s="53"/>
      <c r="AB21" s="52"/>
      <c r="AC21" s="53"/>
      <c r="AD21" s="52"/>
      <c r="AE21" s="53"/>
    </row>
    <row r="22" spans="1:31" x14ac:dyDescent="0.3">
      <c r="A22" s="57">
        <v>14</v>
      </c>
      <c r="B22" t="s">
        <v>14</v>
      </c>
      <c r="C22" s="57" t="s">
        <v>2808</v>
      </c>
      <c r="D22" t="s">
        <v>15</v>
      </c>
      <c r="E22" s="41" t="s">
        <v>2915</v>
      </c>
      <c r="F22" s="49">
        <f>INDEX(prodcom_data[PRODQNT + IMPQNT - EU27 - 2022], MATCH(B22, prodcom_data[product], 0))</f>
        <v>2000046666</v>
      </c>
      <c r="G22" s="47">
        <f t="shared" si="0"/>
        <v>2.0000466659999998</v>
      </c>
      <c r="H22" s="83">
        <f>INDEX(prodcom_data[Local production share of available quantity (PRODQNT + IMPQNT) - EU27 - 2022], MATCH(B22, prodcom_data[product], 0))</f>
        <v>0.99997666754441616</v>
      </c>
      <c r="I22" s="42" t="s">
        <v>2662</v>
      </c>
      <c r="J22" s="42" t="s">
        <v>2642</v>
      </c>
      <c r="K22" s="67" t="s">
        <v>2916</v>
      </c>
      <c r="L22" s="67">
        <v>112.21</v>
      </c>
      <c r="M22" s="68" t="s">
        <v>2903</v>
      </c>
      <c r="N22" s="62">
        <f>M22*'Split Polyamides &amp; Isocyanates'!$C$37/L22</f>
        <v>0.85632296586756973</v>
      </c>
      <c r="O22" s="69" t="s">
        <v>2917</v>
      </c>
      <c r="P22" s="52" t="s">
        <v>3024</v>
      </c>
      <c r="Q22" s="51">
        <v>1</v>
      </c>
      <c r="R22" s="52"/>
      <c r="S22" s="53"/>
      <c r="T22" s="52"/>
      <c r="U22" s="56"/>
      <c r="V22" s="52" t="s">
        <v>3032</v>
      </c>
      <c r="W22" s="51">
        <v>1</v>
      </c>
      <c r="X22" s="52"/>
      <c r="Y22" s="53"/>
      <c r="Z22" s="52"/>
      <c r="AA22" s="53"/>
      <c r="AB22" s="52"/>
      <c r="AC22" s="53"/>
      <c r="AD22" s="52"/>
      <c r="AE22" s="53"/>
    </row>
    <row r="23" spans="1:31" x14ac:dyDescent="0.3">
      <c r="A23" s="57">
        <v>15</v>
      </c>
      <c r="B23" t="s">
        <v>548</v>
      </c>
      <c r="C23" s="57" t="s">
        <v>2809</v>
      </c>
      <c r="D23" t="s">
        <v>549</v>
      </c>
      <c r="E23" s="41" t="s">
        <v>2918</v>
      </c>
      <c r="F23" s="49">
        <f>INDEX(prodcom_data[PRODQNT + IMPQNT - EU27 - 2022], MATCH(B23, prodcom_data[product], 0))</f>
        <v>1864065177</v>
      </c>
      <c r="G23" s="47">
        <f t="shared" si="0"/>
        <v>1.8640651770000001</v>
      </c>
      <c r="H23" s="83">
        <f>INDEX(prodcom_data[Local production share of available quantity (PRODQNT + IMPQNT) - EU27 - 2022], MATCH(B23, prodcom_data[product], 0))</f>
        <v>0.88707249478326589</v>
      </c>
      <c r="I23" s="42" t="s">
        <v>2663</v>
      </c>
      <c r="J23" s="42" t="s">
        <v>2642</v>
      </c>
      <c r="K23" s="67" t="s">
        <v>2919</v>
      </c>
      <c r="L23" s="67">
        <v>104.15199999999999</v>
      </c>
      <c r="M23" s="68" t="s">
        <v>2903</v>
      </c>
      <c r="N23" s="62">
        <f>M23*'Split Polyamides &amp; Isocyanates'!$C$37/L23</f>
        <v>0.92257469851755136</v>
      </c>
      <c r="O23" s="69" t="s">
        <v>2920</v>
      </c>
      <c r="P23" s="52" t="s">
        <v>3030</v>
      </c>
      <c r="Q23" s="51">
        <v>1</v>
      </c>
      <c r="R23" s="52"/>
      <c r="S23" s="53"/>
      <c r="T23" s="52"/>
      <c r="U23" s="56"/>
      <c r="V23" s="52" t="s">
        <v>3024</v>
      </c>
      <c r="W23" s="51">
        <v>0.91</v>
      </c>
      <c r="X23" s="52" t="s">
        <v>3031</v>
      </c>
      <c r="Y23" s="54" cm="1">
        <f t="array" ref="Y23">1-SUM(IF(ISNUMBER(V23:W23), V23:W23, 0))</f>
        <v>8.9999999999999969E-2</v>
      </c>
      <c r="Z23" s="52"/>
      <c r="AA23" s="53"/>
      <c r="AB23" s="52"/>
      <c r="AC23" s="53"/>
      <c r="AD23" s="52"/>
      <c r="AE23" s="53"/>
    </row>
    <row r="24" spans="1:31" x14ac:dyDescent="0.3">
      <c r="A24" s="57">
        <v>16</v>
      </c>
      <c r="B24" t="s">
        <v>132</v>
      </c>
      <c r="C24" s="57" t="s">
        <v>2810</v>
      </c>
      <c r="D24" t="s">
        <v>133</v>
      </c>
      <c r="E24" s="41" t="s">
        <v>2924</v>
      </c>
      <c r="F24" s="49">
        <f>INDEX(prodcom_data[PRODQNT + IMPQNT - EU27 - 2022], MATCH(B24, prodcom_data[product], 0))</f>
        <v>1795747967</v>
      </c>
      <c r="G24" s="47">
        <f t="shared" si="0"/>
        <v>1.7957479670000001</v>
      </c>
      <c r="H24" s="83">
        <f>INDEX(prodcom_data[Local production share of available quantity (PRODQNT + IMPQNT) - EU27 - 2022], MATCH(B24, prodcom_data[product], 0))</f>
        <v>0.55687101886052137</v>
      </c>
      <c r="I24" s="42" t="s">
        <v>2664</v>
      </c>
      <c r="J24" s="42" t="s">
        <v>2642</v>
      </c>
      <c r="K24" s="67" t="s">
        <v>2925</v>
      </c>
      <c r="L24" s="67">
        <v>62.07</v>
      </c>
      <c r="M24" s="68" t="s">
        <v>2886</v>
      </c>
      <c r="N24" s="62">
        <f>M24*'Split Polyamides &amp; Isocyanates'!$C$37/L24</f>
        <v>0.38701466086676328</v>
      </c>
      <c r="O24" s="69" t="s">
        <v>2926</v>
      </c>
      <c r="P24" s="52" t="s">
        <v>3024</v>
      </c>
      <c r="Q24" s="53">
        <v>0.56000000000000005</v>
      </c>
      <c r="R24" s="52" t="s">
        <v>3031</v>
      </c>
      <c r="S24" s="54" cm="1">
        <f t="array" ref="S24">1-SUM(IF(ISNUMBER(P24:Q24), P24:Q24, 0))</f>
        <v>0.43999999999999995</v>
      </c>
      <c r="T24" s="52"/>
      <c r="U24" s="56"/>
      <c r="V24" s="52" t="s">
        <v>3024</v>
      </c>
      <c r="W24" s="53">
        <v>0.56000000000000005</v>
      </c>
      <c r="X24" s="52" t="s">
        <v>3031</v>
      </c>
      <c r="Y24" s="54" cm="1">
        <f t="array" ref="Y24">1-SUM(IF(ISNUMBER(V24:W24), V24:W24, 0))</f>
        <v>0.43999999999999995</v>
      </c>
      <c r="Z24" s="52"/>
      <c r="AA24" s="53"/>
      <c r="AB24" s="52"/>
      <c r="AC24" s="53"/>
      <c r="AD24" s="52"/>
      <c r="AE24" s="53"/>
    </row>
    <row r="25" spans="1:31" x14ac:dyDescent="0.3">
      <c r="A25" s="57">
        <v>17</v>
      </c>
      <c r="B25" t="s">
        <v>476</v>
      </c>
      <c r="C25" s="57" t="s">
        <v>2811</v>
      </c>
      <c r="D25" t="s">
        <v>477</v>
      </c>
      <c r="E25" s="41" t="s">
        <v>2921</v>
      </c>
      <c r="F25" s="49">
        <f>INDEX(prodcom_data[PRODQNT + IMPQNT - EU27 - 2022], MATCH(B25, prodcom_data[product], 0))</f>
        <v>1650938177</v>
      </c>
      <c r="G25" s="47">
        <f t="shared" si="0"/>
        <v>1.650938177</v>
      </c>
      <c r="H25" s="83">
        <f>INDEX(prodcom_data[Local production share of available quantity (PRODQNT + IMPQNT) - EU27 - 2022], MATCH(B25, prodcom_data[product], 0))</f>
        <v>0.98168669522505081</v>
      </c>
      <c r="I25" s="42" t="s">
        <v>2665</v>
      </c>
      <c r="J25" s="42" t="s">
        <v>2642</v>
      </c>
      <c r="K25" s="67" t="s">
        <v>2922</v>
      </c>
      <c r="L25" s="67">
        <v>58.08</v>
      </c>
      <c r="M25" s="68" t="s">
        <v>2880</v>
      </c>
      <c r="N25" s="62">
        <f>M25*'Split Polyamides &amp; Isocyanates'!$C$37/L25</f>
        <v>0.62040289256198355</v>
      </c>
      <c r="O25" s="69" t="s">
        <v>2923</v>
      </c>
      <c r="P25" s="52" t="s">
        <v>3024</v>
      </c>
      <c r="Q25" s="51">
        <v>0.98</v>
      </c>
      <c r="R25" s="52" t="s">
        <v>3031</v>
      </c>
      <c r="S25" s="54" cm="1">
        <f t="array" ref="S25">1-SUM(IF(ISNUMBER(P25:Q25), P25:Q25, 0))</f>
        <v>2.0000000000000018E-2</v>
      </c>
      <c r="T25" s="52"/>
      <c r="U25" s="56"/>
      <c r="V25" s="52" t="s">
        <v>3024</v>
      </c>
      <c r="W25" s="51">
        <v>0.98</v>
      </c>
      <c r="X25" s="52" t="s">
        <v>3034</v>
      </c>
      <c r="Y25" s="53">
        <v>0.02</v>
      </c>
      <c r="Z25" s="52"/>
      <c r="AA25" s="53"/>
      <c r="AB25" s="52"/>
      <c r="AC25" s="53"/>
      <c r="AD25" s="52"/>
      <c r="AE25" s="53"/>
    </row>
    <row r="26" spans="1:31" x14ac:dyDescent="0.3">
      <c r="A26" s="57">
        <v>18</v>
      </c>
      <c r="B26" t="s">
        <v>551</v>
      </c>
      <c r="C26" s="57" t="s">
        <v>2812</v>
      </c>
      <c r="D26" t="s">
        <v>552</v>
      </c>
      <c r="E26" s="41" t="s">
        <v>2918</v>
      </c>
      <c r="F26" s="49">
        <f>INDEX(prodcom_data[PRODQNT + IMPQNT - EU27 - 2022], MATCH(B26, prodcom_data[product], 0))</f>
        <v>1592476459</v>
      </c>
      <c r="G26" s="47">
        <f t="shared" si="0"/>
        <v>1.592476459</v>
      </c>
      <c r="H26" s="83">
        <f>INDEX(prodcom_data[Local production share of available quantity (PRODQNT + IMPQNT) - EU27 - 2022], MATCH(B26, prodcom_data[product], 0))</f>
        <v>0.93163807390386044</v>
      </c>
      <c r="I26" s="42" t="s">
        <v>2666</v>
      </c>
      <c r="J26" s="42" t="s">
        <v>2642</v>
      </c>
      <c r="K26" s="67" t="s">
        <v>2919</v>
      </c>
      <c r="L26" s="67">
        <v>104.15199999999999</v>
      </c>
      <c r="M26" s="68" t="s">
        <v>2903</v>
      </c>
      <c r="N26" s="62">
        <f>M26*'Split Polyamides &amp; Isocyanates'!$C$37/L26</f>
        <v>0.92257469851755136</v>
      </c>
      <c r="O26" s="69" t="s">
        <v>2920</v>
      </c>
      <c r="P26" s="52" t="s">
        <v>3030</v>
      </c>
      <c r="Q26" s="51">
        <v>1</v>
      </c>
      <c r="R26" s="52"/>
      <c r="S26" s="53"/>
      <c r="T26" s="52"/>
      <c r="U26" s="56"/>
      <c r="V26" s="52" t="s">
        <v>3030</v>
      </c>
      <c r="W26" s="51">
        <v>1</v>
      </c>
      <c r="X26" s="52"/>
      <c r="Y26" s="53"/>
      <c r="Z26" s="52"/>
      <c r="AA26" s="53"/>
      <c r="AB26" s="52"/>
      <c r="AC26" s="53"/>
      <c r="AD26" s="52"/>
      <c r="AE26" s="53"/>
    </row>
    <row r="27" spans="1:31" x14ac:dyDescent="0.3">
      <c r="A27" s="57">
        <v>19</v>
      </c>
      <c r="B27" t="s">
        <v>72</v>
      </c>
      <c r="C27" s="57" t="s">
        <v>2813</v>
      </c>
      <c r="D27" t="s">
        <v>73</v>
      </c>
      <c r="E27" s="41" t="s">
        <v>2931</v>
      </c>
      <c r="F27" s="49">
        <f>INDEX(prodcom_data[PRODQNT + IMPQNT - EU27 - 2022], MATCH(B27, prodcom_data[product], 0))</f>
        <v>1202939382</v>
      </c>
      <c r="G27" s="47">
        <f t="shared" si="0"/>
        <v>1.2029393820000001</v>
      </c>
      <c r="H27" s="83">
        <f>INDEX(prodcom_data[Local production share of available quantity (PRODQNT + IMPQNT) - EU27 - 2022], MATCH(B27, prodcom_data[product], 0))</f>
        <v>0.7564803460728331</v>
      </c>
      <c r="I27" s="42" t="s">
        <v>2667</v>
      </c>
      <c r="J27" s="42" t="s">
        <v>2642</v>
      </c>
      <c r="K27" s="67" t="s">
        <v>2932</v>
      </c>
      <c r="L27" s="67">
        <v>98.96</v>
      </c>
      <c r="M27" s="68" t="s">
        <v>2886</v>
      </c>
      <c r="N27" s="62">
        <f>M27*'Split Polyamides &amp; Isocyanates'!$C$37/L27</f>
        <v>0.24274454324979791</v>
      </c>
      <c r="O27" s="69" t="s">
        <v>2933</v>
      </c>
      <c r="P27" s="52" t="s">
        <v>3024</v>
      </c>
      <c r="Q27" s="51">
        <v>0.86</v>
      </c>
      <c r="R27" s="52" t="s">
        <v>3031</v>
      </c>
      <c r="S27" s="54" cm="1">
        <f t="array" ref="S27">1-SUM(IF(ISNUMBER(P27:Q27), P27:Q27, 0))</f>
        <v>0.14000000000000001</v>
      </c>
      <c r="T27" s="52"/>
      <c r="U27" s="56"/>
      <c r="V27" s="52" t="s">
        <v>3024</v>
      </c>
      <c r="W27" s="51">
        <v>0.86</v>
      </c>
      <c r="X27" s="52" t="s">
        <v>3031</v>
      </c>
      <c r="Y27" s="54" cm="1">
        <f t="array" ref="Y27">1-SUM(IF(ISNUMBER(V27:W27), V27:W27, 0))</f>
        <v>0.14000000000000001</v>
      </c>
      <c r="Z27" s="52"/>
      <c r="AA27" s="53"/>
      <c r="AB27" s="52"/>
      <c r="AC27" s="53"/>
      <c r="AD27" s="52"/>
      <c r="AE27" s="53"/>
    </row>
    <row r="28" spans="1:31" x14ac:dyDescent="0.3">
      <c r="A28" s="57">
        <v>20</v>
      </c>
      <c r="B28" t="s">
        <v>43</v>
      </c>
      <c r="C28" s="57" t="s">
        <v>2814</v>
      </c>
      <c r="D28" t="s">
        <v>44</v>
      </c>
      <c r="E28" s="41" t="s">
        <v>44</v>
      </c>
      <c r="F28" s="49">
        <f>INDEX(prodcom_data[PRODQNT + IMPQNT - EU27 - 2022], MATCH(B28, prodcom_data[product], 0))</f>
        <v>1191905947</v>
      </c>
      <c r="G28" s="47">
        <f t="shared" si="0"/>
        <v>1.191905947</v>
      </c>
      <c r="H28" s="83">
        <f>INDEX(prodcom_data[Local production share of available quantity (PRODQNT + IMPQNT) - EU27 - 2022], MATCH(B28, prodcom_data[product], 0))</f>
        <v>0.46597635861951109</v>
      </c>
      <c r="I28" s="42" t="s">
        <v>2668</v>
      </c>
      <c r="J28" s="42" t="s">
        <v>2642</v>
      </c>
      <c r="K28" s="67" t="s">
        <v>2968</v>
      </c>
      <c r="L28" s="67">
        <v>106.16</v>
      </c>
      <c r="M28" s="68" t="s">
        <v>2903</v>
      </c>
      <c r="N28" s="62">
        <f>M28*'Split Polyamides &amp; Isocyanates'!$C$37/L28</f>
        <v>0.90512434061793512</v>
      </c>
      <c r="O28" s="69" t="s">
        <v>2969</v>
      </c>
      <c r="P28" s="52" t="s">
        <v>3024</v>
      </c>
      <c r="Q28" s="51">
        <v>0.48</v>
      </c>
      <c r="R28" s="52" t="s">
        <v>3031</v>
      </c>
      <c r="S28" s="54" cm="1">
        <f t="array" ref="S28">1-SUM(IF(ISNUMBER(P28:Q28), P28:Q28, 0))</f>
        <v>0.52</v>
      </c>
      <c r="T28" s="52"/>
      <c r="U28" s="56"/>
      <c r="V28" s="52" t="s">
        <v>3024</v>
      </c>
      <c r="W28" s="51">
        <v>0.48</v>
      </c>
      <c r="X28" s="52" t="s">
        <v>3031</v>
      </c>
      <c r="Y28" s="54" cm="1">
        <f t="array" ref="Y28">1-SUM(IF(ISNUMBER(V28:W28), V28:W28, 0))</f>
        <v>0.52</v>
      </c>
      <c r="Z28" s="52"/>
      <c r="AA28" s="53"/>
      <c r="AB28" s="52"/>
      <c r="AC28" s="53"/>
      <c r="AD28" s="52"/>
      <c r="AE28" s="53"/>
    </row>
    <row r="29" spans="1:31" x14ac:dyDescent="0.3">
      <c r="A29" s="57">
        <v>21</v>
      </c>
      <c r="B29" t="s">
        <v>37</v>
      </c>
      <c r="C29" s="57" t="s">
        <v>2815</v>
      </c>
      <c r="D29" t="s">
        <v>38</v>
      </c>
      <c r="E29" s="41" t="s">
        <v>38</v>
      </c>
      <c r="F29" s="49">
        <f>INDEX(prodcom_data[PRODQNT + IMPQNT - EU27 - 2022], MATCH(B29, prodcom_data[product], 0))</f>
        <v>1120381615</v>
      </c>
      <c r="G29" s="47">
        <f t="shared" si="0"/>
        <v>1.1203816150000001</v>
      </c>
      <c r="H29" s="83">
        <f>INDEX(prodcom_data[Local production share of available quantity (PRODQNT + IMPQNT) - EU27 - 2022], MATCH(B29, prodcom_data[product], 0))</f>
        <v>0.97878773028598831</v>
      </c>
      <c r="I29" s="42" t="s">
        <v>2669</v>
      </c>
      <c r="J29" s="42" t="s">
        <v>2642</v>
      </c>
      <c r="K29" s="67" t="s">
        <v>2934</v>
      </c>
      <c r="L29" s="67">
        <v>92.14</v>
      </c>
      <c r="M29" s="68" t="s">
        <v>2935</v>
      </c>
      <c r="N29" s="62">
        <f>M29*'Split Polyamides &amp; Isocyanates'!$C$37/L29</f>
        <v>0.91249186021271977</v>
      </c>
      <c r="O29" s="69" t="s">
        <v>2936</v>
      </c>
      <c r="P29" s="52" t="s">
        <v>3024</v>
      </c>
      <c r="Q29" s="51">
        <v>1</v>
      </c>
      <c r="R29" s="52"/>
      <c r="S29" s="53"/>
      <c r="T29" s="52"/>
      <c r="U29" s="56"/>
      <c r="V29" s="52" t="s">
        <v>3024</v>
      </c>
      <c r="W29" s="51">
        <v>1</v>
      </c>
      <c r="X29" s="52"/>
      <c r="Y29" s="53"/>
      <c r="Z29" s="52"/>
      <c r="AA29" s="53"/>
      <c r="AB29" s="52"/>
      <c r="AC29" s="53"/>
      <c r="AD29" s="52"/>
      <c r="AE29" s="53"/>
    </row>
    <row r="30" spans="1:31" x14ac:dyDescent="0.3">
      <c r="A30" s="57">
        <v>22</v>
      </c>
      <c r="B30" t="s">
        <v>420</v>
      </c>
      <c r="C30" s="57" t="s">
        <v>2816</v>
      </c>
      <c r="D30" t="s">
        <v>421</v>
      </c>
      <c r="E30" s="41" t="s">
        <v>421</v>
      </c>
      <c r="F30" s="49">
        <f>INDEX(prodcom_data[PRODQNT + IMPQNT - EU27 - 2022], MATCH(B30, prodcom_data[product], 0))</f>
        <v>1090852807</v>
      </c>
      <c r="G30" s="47">
        <f t="shared" si="0"/>
        <v>1.0908528070000001</v>
      </c>
      <c r="H30" s="83">
        <f>INDEX(prodcom_data[Local production share of available quantity (PRODQNT + IMPQNT) - EU27 - 2022], MATCH(B30, prodcom_data[product], 0))</f>
        <v>0.92846915963429333</v>
      </c>
      <c r="I30" s="42" t="s">
        <v>2670</v>
      </c>
      <c r="J30" s="42" t="s">
        <v>2642</v>
      </c>
      <c r="K30" s="67" t="s">
        <v>2922</v>
      </c>
      <c r="L30" s="67">
        <v>58.08</v>
      </c>
      <c r="M30" s="68" t="s">
        <v>2880</v>
      </c>
      <c r="N30" s="62">
        <f>M30*'Split Polyamides &amp; Isocyanates'!$C$37/L30</f>
        <v>0.62040289256198355</v>
      </c>
      <c r="O30" s="69" t="s">
        <v>2930</v>
      </c>
      <c r="P30" s="52" t="s">
        <v>3024</v>
      </c>
      <c r="Q30" s="51">
        <v>0.93</v>
      </c>
      <c r="R30" s="52" t="s">
        <v>3031</v>
      </c>
      <c r="S30" s="54" cm="1">
        <f t="array" ref="S30">1-SUM(IF(ISNUMBER(P30:Q30), P30:Q30, 0))</f>
        <v>6.9999999999999951E-2</v>
      </c>
      <c r="T30" s="52"/>
      <c r="U30" s="56"/>
      <c r="V30" s="52" t="s">
        <v>3024</v>
      </c>
      <c r="W30" s="51">
        <v>0.93</v>
      </c>
      <c r="X30" s="52" t="s">
        <v>3031</v>
      </c>
      <c r="Y30" s="54" cm="1">
        <f t="array" ref="Y30">1-SUM(IF(ISNUMBER(V30:W30), V30:W30, 0))</f>
        <v>6.9999999999999951E-2</v>
      </c>
      <c r="Z30" s="52"/>
      <c r="AA30" s="53"/>
      <c r="AB30" s="52"/>
      <c r="AC30" s="53"/>
      <c r="AD30" s="52"/>
      <c r="AE30" s="53"/>
    </row>
    <row r="31" spans="1:31" x14ac:dyDescent="0.3">
      <c r="A31" s="57">
        <v>23</v>
      </c>
      <c r="B31" t="s">
        <v>387</v>
      </c>
      <c r="C31" s="57" t="s">
        <v>2818</v>
      </c>
      <c r="D31" t="s">
        <v>388</v>
      </c>
      <c r="E31" s="41" t="s">
        <v>2940</v>
      </c>
      <c r="F31" s="49">
        <f>INDEX(prodcom_data[PRODQNT + IMPQNT - EU27 - 2022], MATCH(B31, prodcom_data[product], 0))</f>
        <v>931200527</v>
      </c>
      <c r="G31" s="47">
        <f t="shared" si="0"/>
        <v>0.931200527</v>
      </c>
      <c r="H31" s="83">
        <f>INDEX(prodcom_data[Local production share of available quantity (PRODQNT + IMPQNT) - EU27 - 2022], MATCH(B31, prodcom_data[product], 0))</f>
        <v>0.97723312392412343</v>
      </c>
      <c r="I31" s="42" t="s">
        <v>2672</v>
      </c>
      <c r="J31" s="42" t="s">
        <v>2642</v>
      </c>
      <c r="K31" s="67" t="s">
        <v>2941</v>
      </c>
      <c r="L31" s="67">
        <v>30.026</v>
      </c>
      <c r="M31" s="68" t="s">
        <v>2893</v>
      </c>
      <c r="N31" s="62">
        <f>M31*'Split Polyamides &amp; Isocyanates'!$C$37/L31</f>
        <v>0.40001998268167588</v>
      </c>
      <c r="O31" s="69" t="s">
        <v>2942</v>
      </c>
      <c r="P31" s="52" t="s">
        <v>3024</v>
      </c>
      <c r="Q31" s="51">
        <v>0.99</v>
      </c>
      <c r="R31" s="52" t="s">
        <v>3031</v>
      </c>
      <c r="S31" s="54" cm="1">
        <f t="array" ref="S31">1-SUM(IF(ISNUMBER(P31:Q31), P31:Q31, 0))</f>
        <v>1.0000000000000009E-2</v>
      </c>
      <c r="T31" s="52"/>
      <c r="U31" s="56"/>
      <c r="V31" s="52" t="s">
        <v>3024</v>
      </c>
      <c r="W31" s="51">
        <v>0.99</v>
      </c>
      <c r="X31" s="52" t="s">
        <v>3031</v>
      </c>
      <c r="Y31" s="54" cm="1">
        <f t="array" ref="Y31">1-SUM(IF(ISNUMBER(V31:W31), V31:W31, 0))</f>
        <v>1.0000000000000009E-2</v>
      </c>
      <c r="Z31" s="52"/>
      <c r="AA31" s="53"/>
      <c r="AB31" s="52"/>
      <c r="AC31" s="53"/>
      <c r="AD31" s="52"/>
      <c r="AE31" s="53"/>
    </row>
    <row r="32" spans="1:31" x14ac:dyDescent="0.3">
      <c r="A32" s="57">
        <v>24</v>
      </c>
      <c r="B32" t="s">
        <v>620</v>
      </c>
      <c r="C32" s="57" t="s">
        <v>2819</v>
      </c>
      <c r="D32" t="s">
        <v>621</v>
      </c>
      <c r="E32" s="41" t="s">
        <v>2927</v>
      </c>
      <c r="F32" s="49">
        <f>INDEX(prodcom_data[PRODQNT + IMPQNT - EU27 - 2022], MATCH(B32, prodcom_data[product], 0))</f>
        <v>914892768</v>
      </c>
      <c r="G32" s="47">
        <f t="shared" si="0"/>
        <v>0.91489276799999997</v>
      </c>
      <c r="H32" s="83">
        <f>INDEX(prodcom_data[Local production share of available quantity (PRODQNT + IMPQNT) - EU27 - 2022], MATCH(B32, prodcom_data[product], 0))</f>
        <v>0.98372184312642852</v>
      </c>
      <c r="I32" s="42" t="s">
        <v>2673</v>
      </c>
      <c r="J32" s="42" t="s">
        <v>2642</v>
      </c>
      <c r="K32" s="67" t="s">
        <v>2928</v>
      </c>
      <c r="L32" s="67">
        <v>86.09</v>
      </c>
      <c r="M32" s="68" t="s">
        <v>2913</v>
      </c>
      <c r="N32" s="62">
        <f>M32*'Split Polyamides &amp; Isocyanates'!$C$37/L32</f>
        <v>0.55806713904053895</v>
      </c>
      <c r="O32" s="69" t="s">
        <v>2929</v>
      </c>
      <c r="P32" s="52" t="s">
        <v>3024</v>
      </c>
      <c r="Q32" s="51">
        <v>0.99</v>
      </c>
      <c r="R32" s="52" t="s">
        <v>3031</v>
      </c>
      <c r="S32" s="54" cm="1">
        <f t="array" ref="S32">1-SUM(IF(ISNUMBER(P32:Q32), P32:Q32, 0))</f>
        <v>1.0000000000000009E-2</v>
      </c>
      <c r="T32" s="52"/>
      <c r="U32" s="56"/>
      <c r="V32" s="52" t="s">
        <v>3024</v>
      </c>
      <c r="W32" s="51">
        <v>0.99</v>
      </c>
      <c r="X32" s="52" t="s">
        <v>3031</v>
      </c>
      <c r="Y32" s="54" cm="1">
        <f t="array" ref="Y32">1-SUM(IF(ISNUMBER(V32:W32), V32:W32, 0))</f>
        <v>1.0000000000000009E-2</v>
      </c>
      <c r="Z32" s="52"/>
      <c r="AA32" s="53"/>
      <c r="AB32" s="52"/>
      <c r="AC32" s="53"/>
      <c r="AD32" s="52"/>
      <c r="AE32" s="53"/>
    </row>
    <row r="33" spans="1:31" x14ac:dyDescent="0.3">
      <c r="A33" s="57">
        <v>25</v>
      </c>
      <c r="B33" t="s">
        <v>205</v>
      </c>
      <c r="C33" s="57" t="s">
        <v>2820</v>
      </c>
      <c r="D33" t="s">
        <v>206</v>
      </c>
      <c r="E33" s="41" t="s">
        <v>206</v>
      </c>
      <c r="F33" s="49">
        <f>INDEX(prodcom_data[PRODQNT + IMPQNT - EU27 - 2022], MATCH(B33, prodcom_data[product], 0))</f>
        <v>888564975</v>
      </c>
      <c r="G33" s="47">
        <f t="shared" si="0"/>
        <v>0.88856497499999998</v>
      </c>
      <c r="H33" s="83">
        <f>INDEX(prodcom_data[Local production share of available quantity (PRODQNT + IMPQNT) - EU27 - 2022], MATCH(B33, prodcom_data[product], 0))</f>
        <v>0.16881151544376369</v>
      </c>
      <c r="I33" s="42" t="s">
        <v>2674</v>
      </c>
      <c r="J33" s="42" t="s">
        <v>2642</v>
      </c>
      <c r="K33" s="67" t="s">
        <v>2943</v>
      </c>
      <c r="L33" s="67">
        <v>60.05</v>
      </c>
      <c r="M33" s="68" t="s">
        <v>2886</v>
      </c>
      <c r="N33" s="62">
        <f>M33*'Split Polyamides &amp; Isocyanates'!$C$37/L33</f>
        <v>0.40003330557868444</v>
      </c>
      <c r="O33" s="69" t="s">
        <v>2944</v>
      </c>
      <c r="P33" s="52" t="s">
        <v>3030</v>
      </c>
      <c r="Q33" s="51">
        <v>1</v>
      </c>
      <c r="R33" s="52"/>
      <c r="S33" s="53"/>
      <c r="T33" s="52"/>
      <c r="U33" s="56"/>
      <c r="V33" s="52" t="s">
        <v>3030</v>
      </c>
      <c r="W33" s="51">
        <v>1</v>
      </c>
      <c r="X33" s="52"/>
      <c r="Y33" s="53"/>
      <c r="Z33" s="52"/>
      <c r="AA33" s="53"/>
      <c r="AB33" s="52"/>
      <c r="AC33" s="53"/>
      <c r="AD33" s="52"/>
      <c r="AE33" s="53"/>
    </row>
    <row r="34" spans="1:31" x14ac:dyDescent="0.3">
      <c r="A34" s="57">
        <v>26</v>
      </c>
      <c r="B34" t="s">
        <v>473</v>
      </c>
      <c r="C34" s="57" t="s">
        <v>2821</v>
      </c>
      <c r="D34" t="s">
        <v>474</v>
      </c>
      <c r="E34" s="41" t="s">
        <v>2950</v>
      </c>
      <c r="F34" s="49">
        <f>INDEX(prodcom_data[PRODQNT + IMPQNT - EU27 - 2022], MATCH(B34, prodcom_data[product], 0))</f>
        <v>886759378</v>
      </c>
      <c r="G34" s="47">
        <f t="shared" si="0"/>
        <v>0.88675937800000004</v>
      </c>
      <c r="H34" s="83">
        <f>INDEX(prodcom_data[Local production share of available quantity (PRODQNT + IMPQNT) - EU27 - 2022], MATCH(B34, prodcom_data[product], 0))</f>
        <v>0.9949802605865421</v>
      </c>
      <c r="I34" s="42" t="s">
        <v>2675</v>
      </c>
      <c r="J34" s="42" t="s">
        <v>2642</v>
      </c>
      <c r="K34" s="67" t="s">
        <v>2951</v>
      </c>
      <c r="L34" s="67">
        <v>44.05</v>
      </c>
      <c r="M34" s="68" t="s">
        <v>2886</v>
      </c>
      <c r="N34" s="62">
        <f>M34*'Split Polyamides &amp; Isocyanates'!$C$37/L34</f>
        <v>0.54533484676503974</v>
      </c>
      <c r="O34" s="69" t="s">
        <v>2952</v>
      </c>
      <c r="P34" s="52" t="s">
        <v>3024</v>
      </c>
      <c r="Q34" s="51">
        <v>1</v>
      </c>
      <c r="R34" s="52"/>
      <c r="S34" s="53"/>
      <c r="T34" s="52"/>
      <c r="U34" s="56"/>
      <c r="V34" s="52" t="s">
        <v>3032</v>
      </c>
      <c r="W34" s="51">
        <v>1</v>
      </c>
      <c r="X34" s="52"/>
      <c r="Y34" s="53"/>
      <c r="Z34" s="52"/>
      <c r="AA34" s="53"/>
      <c r="AB34" s="52"/>
      <c r="AC34" s="53"/>
      <c r="AD34" s="52"/>
      <c r="AE34" s="53"/>
    </row>
    <row r="35" spans="1:31" x14ac:dyDescent="0.3">
      <c r="A35" s="57">
        <v>27</v>
      </c>
      <c r="B35" t="s">
        <v>78</v>
      </c>
      <c r="C35" s="57" t="s">
        <v>2822</v>
      </c>
      <c r="D35" t="s">
        <v>79</v>
      </c>
      <c r="E35" s="41" t="s">
        <v>2949</v>
      </c>
      <c r="F35" s="49">
        <f>INDEX(prodcom_data[PRODQNT + IMPQNT - EU27 - 2022], MATCH(B35, prodcom_data[product], 0))</f>
        <v>882272543</v>
      </c>
      <c r="G35" s="47">
        <f t="shared" si="0"/>
        <v>0.88227254300000002</v>
      </c>
      <c r="H35" s="83">
        <f>INDEX(prodcom_data[Local production share of available quantity (PRODQNT + IMPQNT) - EU27 - 2022], MATCH(B35, prodcom_data[product], 0))</f>
        <v>0.90674928778782138</v>
      </c>
      <c r="I35" s="42" t="s">
        <v>2676</v>
      </c>
      <c r="J35" s="42" t="s">
        <v>2642</v>
      </c>
      <c r="K35" s="67" t="s">
        <v>2899</v>
      </c>
      <c r="L35" s="67">
        <v>62.5</v>
      </c>
      <c r="M35" s="68" t="s">
        <v>2886</v>
      </c>
      <c r="N35" s="62">
        <f>M35*'Split Polyamides &amp; Isocyanates'!$C$37/L35</f>
        <v>0.38435199999999997</v>
      </c>
      <c r="O35" s="69" t="s">
        <v>2900</v>
      </c>
      <c r="P35" s="52" t="s">
        <v>3024</v>
      </c>
      <c r="Q35" s="51">
        <v>0.98</v>
      </c>
      <c r="R35" s="52" t="s">
        <v>3031</v>
      </c>
      <c r="S35" s="54" cm="1">
        <f t="array" ref="S35">1-SUM(IF(ISNUMBER(P35:Q35), P35:Q35, 0))</f>
        <v>2.0000000000000018E-2</v>
      </c>
      <c r="T35" s="52"/>
      <c r="U35" s="56"/>
      <c r="V35" s="52" t="s">
        <v>3024</v>
      </c>
      <c r="W35" s="51">
        <v>0.98</v>
      </c>
      <c r="X35" s="52" t="s">
        <v>3078</v>
      </c>
      <c r="Y35" s="53">
        <v>0.01</v>
      </c>
      <c r="Z35" s="52" t="s">
        <v>3031</v>
      </c>
      <c r="AA35" s="54" cm="1">
        <f t="array" ref="AA35">1-SUM(IF(ISNUMBER(V35:Y35), V35:Y35, 0))</f>
        <v>1.0000000000000009E-2</v>
      </c>
      <c r="AB35" s="52"/>
      <c r="AC35" s="53"/>
      <c r="AD35" s="52"/>
      <c r="AE35" s="53"/>
    </row>
    <row r="36" spans="1:31" x14ac:dyDescent="0.3">
      <c r="A36" s="57">
        <v>28</v>
      </c>
      <c r="B36" t="s">
        <v>293</v>
      </c>
      <c r="C36" s="57" t="s">
        <v>2823</v>
      </c>
      <c r="D36" t="s">
        <v>294</v>
      </c>
      <c r="E36" s="41" t="s">
        <v>2937</v>
      </c>
      <c r="F36" s="49">
        <f>INDEX(prodcom_data[PRODQNT + IMPQNT - EU27 - 2022], MATCH(B36, prodcom_data[product], 0))</f>
        <v>881884158</v>
      </c>
      <c r="G36" s="47">
        <f t="shared" si="0"/>
        <v>0.88188415799999997</v>
      </c>
      <c r="H36" s="83">
        <f>INDEX(prodcom_data[Local production share of available quantity (PRODQNT + IMPQNT) - EU27 - 2022], MATCH(B36, prodcom_data[product], 0))</f>
        <v>0.54958148029233567</v>
      </c>
      <c r="I36" s="42" t="s">
        <v>2677</v>
      </c>
      <c r="J36" s="42" t="s">
        <v>2642</v>
      </c>
      <c r="K36" s="67" t="s">
        <v>2938</v>
      </c>
      <c r="L36" s="67">
        <v>93.13</v>
      </c>
      <c r="M36" s="68" t="s">
        <v>2896</v>
      </c>
      <c r="N36" s="62">
        <f>M36*'Split Polyamides &amp; Isocyanates'!$C$37/L36</f>
        <v>0.77382153978309898</v>
      </c>
      <c r="O36" s="69" t="s">
        <v>2939</v>
      </c>
      <c r="P36" s="52" t="s">
        <v>3024</v>
      </c>
      <c r="Q36" s="51">
        <v>0.8</v>
      </c>
      <c r="R36" s="52" t="s">
        <v>3031</v>
      </c>
      <c r="S36" s="54" cm="1">
        <f t="array" ref="S36">1-SUM(IF(ISNUMBER(P36:Q36), P36:Q36, 0))</f>
        <v>0.19999999999999996</v>
      </c>
      <c r="T36" s="52"/>
      <c r="U36" s="56"/>
      <c r="V36" s="52" t="s">
        <v>3024</v>
      </c>
      <c r="W36" s="51">
        <v>0.8</v>
      </c>
      <c r="X36" s="52" t="s">
        <v>3031</v>
      </c>
      <c r="Y36" s="54" cm="1">
        <f t="array" ref="Y36">1-SUM(IF(ISNUMBER(V36:W36), V36:W36, 0))</f>
        <v>0.19999999999999996</v>
      </c>
      <c r="Z36" s="52"/>
      <c r="AA36" s="53"/>
      <c r="AB36" s="52"/>
      <c r="AC36" s="53"/>
      <c r="AD36" s="52"/>
      <c r="AE36" s="53"/>
    </row>
    <row r="37" spans="1:31" x14ac:dyDescent="0.3">
      <c r="A37" s="57">
        <v>29</v>
      </c>
      <c r="B37" t="s">
        <v>602</v>
      </c>
      <c r="C37" s="57" t="s">
        <v>2824</v>
      </c>
      <c r="D37" t="s">
        <v>603</v>
      </c>
      <c r="E37" s="41" t="s">
        <v>2905</v>
      </c>
      <c r="F37" s="49">
        <f>INDEX(prodcom_data[PRODQNT + IMPQNT - EU27 - 2022], MATCH(B37, prodcom_data[product], 0))</f>
        <v>872335906</v>
      </c>
      <c r="G37" s="47">
        <f t="shared" si="0"/>
        <v>0.87233590599999999</v>
      </c>
      <c r="H37" s="83">
        <f>INDEX(prodcom_data[Local production share of available quantity (PRODQNT + IMPQNT) - EU27 - 2022], MATCH(B37, prodcom_data[product], 0))</f>
        <v>0.50439285712492499</v>
      </c>
      <c r="I37" s="42" t="s">
        <v>2657</v>
      </c>
      <c r="J37" s="42" t="s">
        <v>2642</v>
      </c>
      <c r="K37" s="67" t="s">
        <v>2906</v>
      </c>
      <c r="L37" s="67">
        <v>222.24</v>
      </c>
      <c r="M37" s="68" t="s">
        <v>2907</v>
      </c>
      <c r="N37" s="62">
        <f>M37*'Split Polyamides &amp; Isocyanates'!$C$37/L37</f>
        <v>0.64854211663066952</v>
      </c>
      <c r="O37" s="69" t="s">
        <v>2908</v>
      </c>
      <c r="P37" s="52" t="s">
        <v>3030</v>
      </c>
      <c r="Q37" s="51">
        <v>1</v>
      </c>
      <c r="R37" s="52"/>
      <c r="S37" s="53"/>
      <c r="T37" s="52"/>
      <c r="U37" s="56"/>
      <c r="V37" s="52" t="s">
        <v>3030</v>
      </c>
      <c r="W37" s="51">
        <v>1</v>
      </c>
      <c r="X37" s="52"/>
      <c r="Y37" s="53"/>
      <c r="Z37" s="52"/>
      <c r="AA37" s="53"/>
      <c r="AB37" s="52"/>
      <c r="AC37" s="53"/>
      <c r="AD37" s="52"/>
      <c r="AE37" s="53"/>
    </row>
    <row r="38" spans="1:31" x14ac:dyDescent="0.3">
      <c r="A38" s="57">
        <v>30</v>
      </c>
      <c r="B38" t="s">
        <v>135</v>
      </c>
      <c r="C38" s="57" t="s">
        <v>2825</v>
      </c>
      <c r="D38" t="s">
        <v>136</v>
      </c>
      <c r="E38" s="41" t="s">
        <v>2971</v>
      </c>
      <c r="F38" s="49">
        <f>INDEX(prodcom_data[PRODQNT + IMPQNT - EU27 - 2022], MATCH(B38, prodcom_data[product], 0))</f>
        <v>848026699</v>
      </c>
      <c r="G38" s="47">
        <f t="shared" si="0"/>
        <v>0.84802669900000005</v>
      </c>
      <c r="H38" s="83">
        <f>INDEX(prodcom_data[Local production share of available quantity (PRODQNT + IMPQNT) - EU27 - 2022], MATCH(B38, prodcom_data[product], 0))</f>
        <v>0.94336652483154892</v>
      </c>
      <c r="I38" s="42" t="s">
        <v>2678</v>
      </c>
      <c r="J38" s="42" t="s">
        <v>2642</v>
      </c>
      <c r="K38" s="67" t="s">
        <v>2972</v>
      </c>
      <c r="L38" s="67">
        <v>76.09</v>
      </c>
      <c r="M38" s="68" t="s">
        <v>2880</v>
      </c>
      <c r="N38" s="62">
        <f>M38*'Split Polyamides &amp; Isocyanates'!$C$37/L38</f>
        <v>0.47355762912340649</v>
      </c>
      <c r="O38" s="69" t="s">
        <v>2973</v>
      </c>
      <c r="P38" s="52" t="s">
        <v>3024</v>
      </c>
      <c r="Q38" s="51">
        <v>0.95</v>
      </c>
      <c r="R38" s="52" t="s">
        <v>3031</v>
      </c>
      <c r="S38" s="54" cm="1">
        <f t="array" ref="S38">1-SUM(IF(ISNUMBER(P38:Q38), P38:Q38, 0))</f>
        <v>5.0000000000000044E-2</v>
      </c>
      <c r="T38" s="52"/>
      <c r="U38" s="56"/>
      <c r="V38" s="52" t="s">
        <v>3024</v>
      </c>
      <c r="W38" s="51">
        <v>0.95</v>
      </c>
      <c r="X38" s="52" t="s">
        <v>3031</v>
      </c>
      <c r="Y38" s="54" cm="1">
        <f t="array" ref="Y38">1-SUM(IF(ISNUMBER(V38:W38), V38:W38, 0))</f>
        <v>5.0000000000000044E-2</v>
      </c>
      <c r="Z38" s="52"/>
      <c r="AA38" s="53"/>
      <c r="AB38" s="52"/>
      <c r="AC38" s="53"/>
      <c r="AD38" s="52"/>
      <c r="AE38" s="53"/>
    </row>
    <row r="39" spans="1:31" x14ac:dyDescent="0.3">
      <c r="A39" s="57">
        <v>31</v>
      </c>
      <c r="B39" t="s">
        <v>557</v>
      </c>
      <c r="C39" s="57" t="s">
        <v>2826</v>
      </c>
      <c r="D39" t="s">
        <v>558</v>
      </c>
      <c r="E39" s="41" t="s">
        <v>2945</v>
      </c>
      <c r="F39" s="49">
        <f>INDEX(prodcom_data[PRODQNT + IMPQNT - EU27 - 2022], MATCH(B39, prodcom_data[product], 0))</f>
        <v>846217183</v>
      </c>
      <c r="G39" s="47">
        <f t="shared" si="0"/>
        <v>0.84621718300000004</v>
      </c>
      <c r="H39" s="83">
        <f>INDEX(prodcom_data[Local production share of available quantity (PRODQNT + IMPQNT) - EU27 - 2022], MATCH(B39, prodcom_data[product], 0))</f>
        <v>0.71535186139088358</v>
      </c>
      <c r="I39" s="42" t="s">
        <v>2679</v>
      </c>
      <c r="J39" s="42" t="s">
        <v>2642</v>
      </c>
      <c r="K39" s="67" t="s">
        <v>2946</v>
      </c>
      <c r="L39" s="67">
        <v>211.3</v>
      </c>
      <c r="M39" s="68" t="s">
        <v>2947</v>
      </c>
      <c r="N39" s="62">
        <f>M39*'Split Polyamides &amp; Isocyanates'!$C$37/L39</f>
        <v>0.85265026029342161</v>
      </c>
      <c r="O39" s="69" t="s">
        <v>2948</v>
      </c>
      <c r="P39" s="52" t="s">
        <v>3030</v>
      </c>
      <c r="Q39" s="51">
        <v>1</v>
      </c>
      <c r="R39" s="52"/>
      <c r="S39" s="53"/>
      <c r="T39" s="52"/>
      <c r="U39" s="56"/>
      <c r="V39" s="52" t="s">
        <v>3030</v>
      </c>
      <c r="W39" s="51">
        <v>1</v>
      </c>
      <c r="X39" s="52"/>
      <c r="Y39" s="53"/>
      <c r="Z39" s="52"/>
      <c r="AA39" s="53"/>
      <c r="AB39" s="52"/>
      <c r="AC39" s="53"/>
      <c r="AD39" s="52"/>
      <c r="AE39" s="53"/>
    </row>
    <row r="40" spans="1:31" x14ac:dyDescent="0.3">
      <c r="A40" s="57">
        <v>32</v>
      </c>
      <c r="B40" t="s">
        <v>46</v>
      </c>
      <c r="C40" s="57" t="s">
        <v>2827</v>
      </c>
      <c r="D40" t="s">
        <v>47</v>
      </c>
      <c r="E40" s="41" t="s">
        <v>2980</v>
      </c>
      <c r="F40" s="49">
        <f>INDEX(prodcom_data[PRODQNT + IMPQNT - EU27 - 2022], MATCH(B40, prodcom_data[product], 0))</f>
        <v>821433537</v>
      </c>
      <c r="G40" s="47">
        <f t="shared" si="0"/>
        <v>0.82143353699999999</v>
      </c>
      <c r="H40" s="83">
        <f>INDEX(prodcom_data[Local production share of available quantity (PRODQNT + IMPQNT) - EU27 - 2022], MATCH(B40, prodcom_data[product], 0))</f>
        <v>0.97390715616715806</v>
      </c>
      <c r="I40" s="42" t="s">
        <v>2680</v>
      </c>
      <c r="J40" s="42" t="s">
        <v>2642</v>
      </c>
      <c r="K40" s="67" t="s">
        <v>2968</v>
      </c>
      <c r="L40" s="67">
        <v>106.16</v>
      </c>
      <c r="M40" s="68" t="s">
        <v>2903</v>
      </c>
      <c r="N40" s="62">
        <f>M40*'Split Polyamides &amp; Isocyanates'!$C$37/L40</f>
        <v>0.90512434061793512</v>
      </c>
      <c r="O40" s="69" t="s">
        <v>2981</v>
      </c>
      <c r="P40" s="52" t="s">
        <v>3024</v>
      </c>
      <c r="Q40" s="51">
        <v>0.97</v>
      </c>
      <c r="R40" s="52" t="s">
        <v>3031</v>
      </c>
      <c r="S40" s="54" cm="1">
        <f t="array" ref="S40">1-SUM(IF(ISNUMBER(P40:Q40), P40:Q40, 0))</f>
        <v>3.0000000000000027E-2</v>
      </c>
      <c r="T40" s="52"/>
      <c r="U40" s="56"/>
      <c r="V40" s="52" t="s">
        <v>3024</v>
      </c>
      <c r="W40" s="51">
        <v>0.97</v>
      </c>
      <c r="X40" s="52" t="s">
        <v>3031</v>
      </c>
      <c r="Y40" s="54" cm="1">
        <f t="array" ref="Y40">1-SUM(IF(ISNUMBER(V40:W40), V40:W40, 0))</f>
        <v>3.0000000000000027E-2</v>
      </c>
      <c r="Z40" s="52"/>
      <c r="AA40" s="53"/>
      <c r="AB40" s="52"/>
      <c r="AC40" s="53"/>
      <c r="AD40" s="52"/>
      <c r="AE40" s="53"/>
    </row>
    <row r="41" spans="1:31" x14ac:dyDescent="0.3">
      <c r="A41" s="57">
        <v>33</v>
      </c>
      <c r="B41" t="s">
        <v>569</v>
      </c>
      <c r="C41" s="57" t="s">
        <v>2828</v>
      </c>
      <c r="D41" t="s">
        <v>570</v>
      </c>
      <c r="E41" s="41" t="s">
        <v>2898</v>
      </c>
      <c r="F41" s="49">
        <f>INDEX(prodcom_data[PRODQNT + IMPQNT - EU27 - 2022], MATCH(B41, prodcom_data[product], 0))</f>
        <v>790721030</v>
      </c>
      <c r="G41" s="47">
        <f t="shared" si="0"/>
        <v>0.79072103000000005</v>
      </c>
      <c r="H41" s="83">
        <f>INDEX(prodcom_data[Local production share of available quantity (PRODQNT + IMPQNT) - EU27 - 2022], MATCH(B41, prodcom_data[product], 0))</f>
        <v>0.93548794446506622</v>
      </c>
      <c r="I41" s="42" t="s">
        <v>2681</v>
      </c>
      <c r="J41" s="42" t="s">
        <v>2642</v>
      </c>
      <c r="K41" s="67" t="s">
        <v>2899</v>
      </c>
      <c r="L41" s="67">
        <v>62.5</v>
      </c>
      <c r="M41" s="68" t="s">
        <v>2886</v>
      </c>
      <c r="N41" s="62">
        <f>M41*'Split Polyamides &amp; Isocyanates'!$C$37/L41</f>
        <v>0.38435199999999997</v>
      </c>
      <c r="O41" s="69" t="s">
        <v>2900</v>
      </c>
      <c r="P41" s="52" t="s">
        <v>3024</v>
      </c>
      <c r="Q41" s="51">
        <v>0.98</v>
      </c>
      <c r="R41" s="52" t="s">
        <v>3031</v>
      </c>
      <c r="S41" s="54" cm="1">
        <f t="array" ref="S41">1-SUM(IF(ISNUMBER(P41:Q41), P41:Q41, 0))</f>
        <v>2.0000000000000018E-2</v>
      </c>
      <c r="T41" s="52"/>
      <c r="U41" s="56"/>
      <c r="V41" s="52" t="s">
        <v>3024</v>
      </c>
      <c r="W41" s="51">
        <v>0.98</v>
      </c>
      <c r="X41" s="52" t="s">
        <v>3031</v>
      </c>
      <c r="Y41" s="54" cm="1">
        <f t="array" ref="Y41">1-SUM(IF(ISNUMBER(V41:W41), V41:W41, 0))</f>
        <v>2.0000000000000018E-2</v>
      </c>
      <c r="Z41" s="52"/>
      <c r="AA41" s="53"/>
      <c r="AB41" s="52"/>
      <c r="AC41" s="53"/>
      <c r="AD41" s="52"/>
      <c r="AE41" s="53"/>
    </row>
    <row r="42" spans="1:31" x14ac:dyDescent="0.3">
      <c r="A42" s="57">
        <v>34</v>
      </c>
      <c r="B42" t="s">
        <v>55</v>
      </c>
      <c r="C42" s="57" t="s">
        <v>2829</v>
      </c>
      <c r="D42" t="s">
        <v>56</v>
      </c>
      <c r="E42" s="41" t="s">
        <v>56</v>
      </c>
      <c r="F42" s="49">
        <f>INDEX(prodcom_data[PRODQNT + IMPQNT - EU27 - 2022], MATCH(B42, prodcom_data[product], 0))</f>
        <v>778495527</v>
      </c>
      <c r="G42" s="47">
        <f t="shared" si="0"/>
        <v>0.77849552700000002</v>
      </c>
      <c r="H42" s="83">
        <f>INDEX(prodcom_data[Local production share of available quantity (PRODQNT + IMPQNT) - EU27 - 2022], MATCH(B42, prodcom_data[product], 0))</f>
        <v>0.9345821199560983</v>
      </c>
      <c r="I42" s="42" t="s">
        <v>2682</v>
      </c>
      <c r="J42" s="42" t="s">
        <v>2642</v>
      </c>
      <c r="K42" s="67" t="s">
        <v>2961</v>
      </c>
      <c r="L42" s="67">
        <v>120.19</v>
      </c>
      <c r="M42" s="68" t="s">
        <v>2962</v>
      </c>
      <c r="N42" s="62">
        <f>M42*'Split Polyamides &amp; Isocyanates'!$C$37/L42</f>
        <v>0.89940094849821106</v>
      </c>
      <c r="O42" s="69" t="s">
        <v>2963</v>
      </c>
      <c r="P42" s="52" t="s">
        <v>3024</v>
      </c>
      <c r="Q42" s="51">
        <v>0.94</v>
      </c>
      <c r="R42" s="52" t="s">
        <v>3031</v>
      </c>
      <c r="S42" s="54" cm="1">
        <f t="array" ref="S42">1-SUM(IF(ISNUMBER(P42:Q42), P42:Q42, 0))</f>
        <v>6.0000000000000053E-2</v>
      </c>
      <c r="T42" s="52"/>
      <c r="U42" s="56"/>
      <c r="V42" s="52" t="s">
        <v>3024</v>
      </c>
      <c r="W42" s="51">
        <v>0.94</v>
      </c>
      <c r="X42" s="52" t="s">
        <v>3031</v>
      </c>
      <c r="Y42" s="54" cm="1">
        <f t="array" ref="Y42">1-SUM(IF(ISNUMBER(V42:W42), V42:W42, 0))</f>
        <v>6.0000000000000053E-2</v>
      </c>
      <c r="Z42" s="52"/>
      <c r="AA42" s="53"/>
      <c r="AB42" s="52"/>
      <c r="AC42" s="53"/>
      <c r="AD42" s="52"/>
      <c r="AE42" s="53"/>
    </row>
    <row r="43" spans="1:31" x14ac:dyDescent="0.3">
      <c r="A43" s="57">
        <v>35</v>
      </c>
      <c r="B43" t="s">
        <v>332</v>
      </c>
      <c r="C43" s="57" t="s">
        <v>2830</v>
      </c>
      <c r="D43" t="s">
        <v>333</v>
      </c>
      <c r="E43" s="41" t="s">
        <v>333</v>
      </c>
      <c r="F43" s="49">
        <f>INDEX(prodcom_data[PRODQNT + IMPQNT - EU27 - 2022], MATCH(B43, prodcom_data[product], 0))</f>
        <v>705069102</v>
      </c>
      <c r="G43" s="47">
        <f t="shared" si="0"/>
        <v>0.70506910199999995</v>
      </c>
      <c r="H43" s="83">
        <f>INDEX(prodcom_data[Local production share of available quantity (PRODQNT + IMPQNT) - EU27 - 2022], MATCH(B43, prodcom_data[product], 0))</f>
        <v>0.85098041922137724</v>
      </c>
      <c r="I43" s="42" t="s">
        <v>2683</v>
      </c>
      <c r="J43" s="42" t="s">
        <v>2642</v>
      </c>
      <c r="K43" s="67" t="s">
        <v>2986</v>
      </c>
      <c r="L43" s="67">
        <v>53.06</v>
      </c>
      <c r="M43" s="68" t="s">
        <v>2880</v>
      </c>
      <c r="N43" s="62">
        <f>M43*'Split Polyamides &amp; Isocyanates'!$C$37/L43</f>
        <v>0.67909913305691672</v>
      </c>
      <c r="O43" s="69" t="s">
        <v>2987</v>
      </c>
      <c r="P43" s="52" t="s">
        <v>3030</v>
      </c>
      <c r="Q43" s="51">
        <v>1</v>
      </c>
      <c r="R43" s="52"/>
      <c r="S43" s="53"/>
      <c r="T43" s="52"/>
      <c r="U43" s="56"/>
      <c r="V43" s="52" t="s">
        <v>3030</v>
      </c>
      <c r="W43" s="51">
        <v>1</v>
      </c>
      <c r="X43" s="52"/>
      <c r="Y43" s="53"/>
      <c r="Z43" s="52"/>
      <c r="AA43" s="53"/>
      <c r="AB43" s="52"/>
      <c r="AC43" s="53"/>
      <c r="AD43" s="52"/>
      <c r="AE43" s="53"/>
    </row>
    <row r="44" spans="1:31" x14ac:dyDescent="0.3">
      <c r="A44" s="57">
        <v>36</v>
      </c>
      <c r="B44" t="s">
        <v>28</v>
      </c>
      <c r="C44" s="57" t="s">
        <v>2831</v>
      </c>
      <c r="D44" t="s">
        <v>29</v>
      </c>
      <c r="E44" s="41" t="s">
        <v>29</v>
      </c>
      <c r="F44" s="49">
        <f>INDEX(prodcom_data[PRODQNT + IMPQNT - EU27 - 2022], MATCH(B44, prodcom_data[product], 0))</f>
        <v>683315016</v>
      </c>
      <c r="G44" s="47">
        <f t="shared" si="0"/>
        <v>0.683315016</v>
      </c>
      <c r="H44" s="83">
        <f>INDEX(prodcom_data[Local production share of available quantity (PRODQNT + IMPQNT) - EU27 - 2022], MATCH(B44, prodcom_data[product], 0))</f>
        <v>0.35122892718634474</v>
      </c>
      <c r="I44" s="42" t="s">
        <v>2684</v>
      </c>
      <c r="J44" s="42" t="s">
        <v>2642</v>
      </c>
      <c r="K44" s="67" t="s">
        <v>2964</v>
      </c>
      <c r="L44" s="67">
        <v>84.16</v>
      </c>
      <c r="M44" s="68" t="s">
        <v>2896</v>
      </c>
      <c r="N44" s="62">
        <f>M44*'Split Polyamides &amp; Isocyanates'!$C$37/L44</f>
        <v>0.85629752851711038</v>
      </c>
      <c r="O44" s="69" t="s">
        <v>2965</v>
      </c>
      <c r="P44" s="52" t="s">
        <v>3030</v>
      </c>
      <c r="Q44" s="51">
        <v>1</v>
      </c>
      <c r="R44" s="52"/>
      <c r="S44" s="53"/>
      <c r="T44" s="52"/>
      <c r="U44" s="56"/>
      <c r="V44" s="52" t="s">
        <v>3030</v>
      </c>
      <c r="W44" s="51">
        <v>1</v>
      </c>
      <c r="X44" s="52"/>
      <c r="Y44" s="53"/>
      <c r="Z44" s="52"/>
      <c r="AA44" s="53"/>
      <c r="AB44" s="52"/>
      <c r="AC44" s="53"/>
      <c r="AD44" s="52"/>
      <c r="AE44" s="53"/>
    </row>
    <row r="45" spans="1:31" x14ac:dyDescent="0.3">
      <c r="A45" s="57">
        <v>37</v>
      </c>
      <c r="B45" t="s">
        <v>252</v>
      </c>
      <c r="C45" s="57" t="s">
        <v>2832</v>
      </c>
      <c r="D45" t="s">
        <v>253</v>
      </c>
      <c r="E45" s="41" t="s">
        <v>2855</v>
      </c>
      <c r="F45" s="49">
        <f>INDEX(prodcom_data[PRODQNT + IMPQNT - EU27 - 2022], MATCH(B45, prodcom_data[product], 0))</f>
        <v>667655569</v>
      </c>
      <c r="G45" s="47">
        <f t="shared" si="0"/>
        <v>0.667655569</v>
      </c>
      <c r="H45" s="83">
        <f>INDEX(prodcom_data[Local production share of available quantity (PRODQNT + IMPQNT) - EU27 - 2022], MATCH(B45, prodcom_data[product], 0))</f>
        <v>0.85514301162071182</v>
      </c>
      <c r="I45" s="42" t="s">
        <v>2685</v>
      </c>
      <c r="J45" s="42" t="s">
        <v>2642</v>
      </c>
      <c r="K45" s="67" t="s">
        <v>2966</v>
      </c>
      <c r="L45" s="67">
        <v>146.13999999999999</v>
      </c>
      <c r="M45" s="68" t="s">
        <v>2896</v>
      </c>
      <c r="N45" s="62">
        <f>M45*'Split Polyamides &amp; Isocyanates'!$C$37/L45</f>
        <v>0.49312987546188591</v>
      </c>
      <c r="O45" s="69" t="s">
        <v>2967</v>
      </c>
      <c r="P45" s="52" t="s">
        <v>3030</v>
      </c>
      <c r="Q45" s="51">
        <v>1</v>
      </c>
      <c r="R45" s="52"/>
      <c r="S45" s="53"/>
      <c r="T45" s="52"/>
      <c r="U45" s="56"/>
      <c r="V45" s="52" t="s">
        <v>3030</v>
      </c>
      <c r="W45" s="51">
        <v>1</v>
      </c>
      <c r="X45" s="52"/>
      <c r="Y45" s="53"/>
      <c r="Z45" s="52"/>
      <c r="AA45" s="53"/>
      <c r="AB45" s="52"/>
      <c r="AC45" s="53"/>
      <c r="AD45" s="52"/>
      <c r="AE45" s="53"/>
    </row>
    <row r="46" spans="1:31" x14ac:dyDescent="0.3">
      <c r="A46" s="57">
        <v>38</v>
      </c>
      <c r="B46" t="s">
        <v>114</v>
      </c>
      <c r="C46" s="57" t="s">
        <v>2833</v>
      </c>
      <c r="D46" t="s">
        <v>115</v>
      </c>
      <c r="E46" s="41" t="s">
        <v>2958</v>
      </c>
      <c r="F46" s="49">
        <f>INDEX(prodcom_data[PRODQNT + IMPQNT - EU27 - 2022], MATCH(B46, prodcom_data[product], 0))</f>
        <v>667347651</v>
      </c>
      <c r="G46" s="47">
        <f t="shared" si="0"/>
        <v>0.66734765100000004</v>
      </c>
      <c r="H46" s="83">
        <f>INDEX(prodcom_data[Local production share of available quantity (PRODQNT + IMPQNT) - EU27 - 2022], MATCH(B46, prodcom_data[product], 0))</f>
        <v>0.80917344833809868</v>
      </c>
      <c r="I46" s="42" t="s">
        <v>2686</v>
      </c>
      <c r="J46" s="42" t="s">
        <v>2687</v>
      </c>
      <c r="K46" s="67" t="s">
        <v>2959</v>
      </c>
      <c r="L46" s="67">
        <v>60.1</v>
      </c>
      <c r="M46" s="68" t="s">
        <v>2880</v>
      </c>
      <c r="N46" s="62">
        <f>M46*'Split Polyamides &amp; Isocyanates'!$C$37/L46</f>
        <v>0.59955074875207992</v>
      </c>
      <c r="O46" s="69" t="s">
        <v>2960</v>
      </c>
      <c r="P46" s="52" t="s">
        <v>3024</v>
      </c>
      <c r="Q46" s="51">
        <v>0.82</v>
      </c>
      <c r="R46" s="52" t="s">
        <v>3031</v>
      </c>
      <c r="S46" s="54" cm="1">
        <f t="array" ref="S46">1-SUM(IF(ISNUMBER(P46:Q46), P46:Q46, 0))</f>
        <v>0.18000000000000005</v>
      </c>
      <c r="T46" s="52"/>
      <c r="U46" s="56"/>
      <c r="V46" s="52" t="s">
        <v>3024</v>
      </c>
      <c r="W46" s="51">
        <v>0.82</v>
      </c>
      <c r="X46" s="52" t="s">
        <v>3031</v>
      </c>
      <c r="Y46" s="54" cm="1">
        <f t="array" ref="Y46">1-SUM(IF(ISNUMBER(V46:W46), V46:W46, 0))</f>
        <v>0.18000000000000005</v>
      </c>
      <c r="Z46" s="52"/>
      <c r="AA46" s="53"/>
      <c r="AB46" s="52"/>
      <c r="AC46" s="53"/>
      <c r="AD46" s="52"/>
      <c r="AE46" s="53"/>
    </row>
    <row r="47" spans="1:31" x14ac:dyDescent="0.3">
      <c r="A47" s="57">
        <v>39</v>
      </c>
      <c r="B47" t="s">
        <v>52</v>
      </c>
      <c r="C47" s="57" t="s">
        <v>2834</v>
      </c>
      <c r="D47" t="s">
        <v>53</v>
      </c>
      <c r="E47" s="41" t="s">
        <v>53</v>
      </c>
      <c r="F47" s="49">
        <f>INDEX(prodcom_data[PRODQNT + IMPQNT - EU27 - 2022], MATCH(B47, prodcom_data[product], 0))</f>
        <v>642497260</v>
      </c>
      <c r="G47" s="47">
        <f t="shared" si="0"/>
        <v>0.64249725999999996</v>
      </c>
      <c r="H47" s="83">
        <f>INDEX(prodcom_data[Local production share of available quantity (PRODQNT + IMPQNT) - EU27 - 2022], MATCH(B47, prodcom_data[product], 0))</f>
        <v>0.93385612259264728</v>
      </c>
      <c r="I47" s="42" t="s">
        <v>2688</v>
      </c>
      <c r="J47" s="42" t="s">
        <v>2642</v>
      </c>
      <c r="K47" s="67" t="s">
        <v>2968</v>
      </c>
      <c r="L47" s="67">
        <v>106.16</v>
      </c>
      <c r="M47" s="68" t="s">
        <v>2903</v>
      </c>
      <c r="N47" s="62">
        <f>M47*'Split Polyamides &amp; Isocyanates'!$C$37/L47</f>
        <v>0.90512434061793512</v>
      </c>
      <c r="O47" s="69" t="s">
        <v>2970</v>
      </c>
      <c r="P47" s="52" t="s">
        <v>3024</v>
      </c>
      <c r="Q47" s="51">
        <v>0.99</v>
      </c>
      <c r="R47" s="52" t="s">
        <v>3031</v>
      </c>
      <c r="S47" s="54" cm="1">
        <f t="array" ref="S47">1-SUM(IF(ISNUMBER(P47:Q47), P47:Q47, 0))</f>
        <v>1.0000000000000009E-2</v>
      </c>
      <c r="T47" s="52"/>
      <c r="U47" s="56"/>
      <c r="V47" s="52" t="s">
        <v>3024</v>
      </c>
      <c r="W47" s="51">
        <v>0.99</v>
      </c>
      <c r="X47" s="52" t="s">
        <v>3034</v>
      </c>
      <c r="Y47" s="53">
        <v>0.01</v>
      </c>
      <c r="Z47" s="52"/>
      <c r="AA47" s="53"/>
      <c r="AB47" s="52"/>
      <c r="AC47" s="53"/>
      <c r="AD47" s="52"/>
      <c r="AE47" s="53"/>
    </row>
    <row r="48" spans="1:31" x14ac:dyDescent="0.3">
      <c r="A48" s="57">
        <v>40</v>
      </c>
      <c r="B48" t="s">
        <v>220</v>
      </c>
      <c r="C48" s="57" t="s">
        <v>2835</v>
      </c>
      <c r="D48" t="s">
        <v>221</v>
      </c>
      <c r="E48" s="41" t="s">
        <v>221</v>
      </c>
      <c r="F48" s="49">
        <f>INDEX(prodcom_data[PRODQNT + IMPQNT - EU27 - 2022], MATCH(B48, prodcom_data[product], 0))</f>
        <v>604861873</v>
      </c>
      <c r="G48" s="47">
        <f t="shared" si="0"/>
        <v>0.60486187300000005</v>
      </c>
      <c r="H48" s="83">
        <f>INDEX(prodcom_data[Local production share of available quantity (PRODQNT + IMPQNT) - EU27 - 2022], MATCH(B48, prodcom_data[product], 0))</f>
        <v>0.66130800742337414</v>
      </c>
      <c r="I48" s="42" t="s">
        <v>2652</v>
      </c>
      <c r="J48" s="42" t="s">
        <v>2689</v>
      </c>
      <c r="K48" s="67" t="s">
        <v>2956</v>
      </c>
      <c r="L48" s="67">
        <v>128.16900000000001</v>
      </c>
      <c r="M48" s="68" t="s">
        <v>2935</v>
      </c>
      <c r="N48" s="62">
        <f>M48*'Split Polyamides &amp; Isocyanates'!$C$37/L48</f>
        <v>0.6559854567016985</v>
      </c>
      <c r="O48" s="69" t="s">
        <v>2957</v>
      </c>
      <c r="P48" s="52" t="s">
        <v>3024</v>
      </c>
      <c r="Q48" s="51">
        <v>0.72</v>
      </c>
      <c r="R48" s="52" t="s">
        <v>3031</v>
      </c>
      <c r="S48" s="54" cm="1">
        <f t="array" ref="S48">1-SUM(IF(ISNUMBER(P48:Q48), P48:Q48, 0))</f>
        <v>0.28000000000000003</v>
      </c>
      <c r="T48" s="52"/>
      <c r="U48" s="56"/>
      <c r="V48" s="52" t="s">
        <v>3024</v>
      </c>
      <c r="W48" s="51">
        <v>0.72</v>
      </c>
      <c r="X48" s="52" t="s">
        <v>3031</v>
      </c>
      <c r="Y48" s="54" cm="1">
        <f t="array" ref="Y48">1-SUM(IF(ISNUMBER(V48:W48), V48:W48, 0))</f>
        <v>0.28000000000000003</v>
      </c>
      <c r="Z48" s="52"/>
      <c r="AA48" s="53"/>
      <c r="AB48" s="52"/>
      <c r="AC48" s="53"/>
      <c r="AD48" s="52"/>
      <c r="AE48" s="53"/>
    </row>
    <row r="49" spans="1:32" x14ac:dyDescent="0.3">
      <c r="A49" s="57">
        <v>41</v>
      </c>
      <c r="B49" t="s">
        <v>542</v>
      </c>
      <c r="C49" s="57" t="s">
        <v>2836</v>
      </c>
      <c r="D49" t="s">
        <v>543</v>
      </c>
      <c r="E49" s="41" t="s">
        <v>2953</v>
      </c>
      <c r="F49" s="49">
        <f>INDEX(prodcom_data[PRODQNT + IMPQNT - EU27 - 2022], MATCH(B49, prodcom_data[product], 0))</f>
        <v>593659673</v>
      </c>
      <c r="G49" s="47">
        <f t="shared" si="0"/>
        <v>0.593659673</v>
      </c>
      <c r="H49" s="83">
        <f>INDEX(prodcom_data[Local production share of available quantity (PRODQNT + IMPQNT) - EU27 - 2022], MATCH(B49, prodcom_data[product], 0))</f>
        <v>0.84223339185782964</v>
      </c>
      <c r="I49" s="42" t="s">
        <v>2690</v>
      </c>
      <c r="J49" s="42" t="s">
        <v>2642</v>
      </c>
      <c r="K49" s="67" t="s">
        <v>2954</v>
      </c>
      <c r="L49" s="67">
        <v>114.14</v>
      </c>
      <c r="M49" s="68" t="s">
        <v>2896</v>
      </c>
      <c r="N49" s="62">
        <f>M49*'Split Polyamides &amp; Isocyanates'!$C$37/L49</f>
        <v>0.63138251270369727</v>
      </c>
      <c r="O49" s="69" t="s">
        <v>2955</v>
      </c>
      <c r="P49" s="52" t="s">
        <v>3024</v>
      </c>
      <c r="Q49" s="51">
        <v>0.87</v>
      </c>
      <c r="R49" s="52" t="s">
        <v>3031</v>
      </c>
      <c r="S49" s="54" cm="1">
        <f t="array" ref="S49">1-SUM(IF(ISNUMBER(P49:Q49), P49:Q49, 0))</f>
        <v>0.13</v>
      </c>
      <c r="T49" s="52"/>
      <c r="U49" s="56"/>
      <c r="V49" s="52" t="s">
        <v>3024</v>
      </c>
      <c r="W49" s="51">
        <v>0.87</v>
      </c>
      <c r="X49" s="52" t="s">
        <v>3031</v>
      </c>
      <c r="Y49" s="54" cm="1">
        <f t="array" ref="Y49">1-SUM(IF(ISNUMBER(V49:W49), V49:W49, 0))</f>
        <v>0.13</v>
      </c>
      <c r="Z49" s="52"/>
      <c r="AA49" s="53"/>
      <c r="AB49" s="52"/>
      <c r="AC49" s="53"/>
      <c r="AD49" s="52"/>
      <c r="AE49" s="53"/>
    </row>
    <row r="50" spans="1:32" x14ac:dyDescent="0.3">
      <c r="A50" s="57">
        <v>42</v>
      </c>
      <c r="B50" t="s">
        <v>117</v>
      </c>
      <c r="C50" s="57" t="s">
        <v>2837</v>
      </c>
      <c r="D50" t="s">
        <v>118</v>
      </c>
      <c r="E50" s="41" t="s">
        <v>2974</v>
      </c>
      <c r="F50" s="49">
        <f>INDEX(prodcom_data[PRODQNT + IMPQNT - EU27 - 2022], MATCH(B50, prodcom_data[product], 0))</f>
        <v>507331541</v>
      </c>
      <c r="G50" s="47">
        <f t="shared" si="0"/>
        <v>0.507331541</v>
      </c>
      <c r="H50" s="83">
        <f>INDEX(prodcom_data[Local production share of available quantity (PRODQNT + IMPQNT) - EU27 - 2022], MATCH(B50, prodcom_data[product], 0))</f>
        <v>0.78843905350643284</v>
      </c>
      <c r="I50" s="42" t="s">
        <v>2691</v>
      </c>
      <c r="J50" s="42" t="s">
        <v>2642</v>
      </c>
      <c r="K50" s="67" t="s">
        <v>2975</v>
      </c>
      <c r="L50" s="67">
        <v>74.12</v>
      </c>
      <c r="M50" s="68" t="s">
        <v>2913</v>
      </c>
      <c r="N50" s="62">
        <f>M50*'Split Polyamides &amp; Isocyanates'!$C$37/L50</f>
        <v>0.64819212088505118</v>
      </c>
      <c r="O50" s="69" t="s">
        <v>2976</v>
      </c>
      <c r="P50" s="52" t="s">
        <v>3030</v>
      </c>
      <c r="Q50" s="51">
        <v>1</v>
      </c>
      <c r="R50" s="52"/>
      <c r="S50" s="53"/>
      <c r="T50" s="52"/>
      <c r="U50" s="56"/>
      <c r="V50" s="52" t="s">
        <v>3030</v>
      </c>
      <c r="W50" s="51">
        <v>1</v>
      </c>
      <c r="X50" s="52"/>
      <c r="Y50" s="53"/>
      <c r="Z50" s="52"/>
      <c r="AA50" s="53"/>
      <c r="AB50" s="52"/>
      <c r="AC50" s="53"/>
      <c r="AD50" s="52"/>
      <c r="AE50" s="53"/>
    </row>
    <row r="51" spans="1:32" x14ac:dyDescent="0.3">
      <c r="A51" s="57">
        <v>43</v>
      </c>
      <c r="B51" t="s">
        <v>284</v>
      </c>
      <c r="C51" s="57" t="s">
        <v>2838</v>
      </c>
      <c r="D51" t="s">
        <v>285</v>
      </c>
      <c r="E51" s="41" t="s">
        <v>2977</v>
      </c>
      <c r="F51" s="49">
        <f>INDEX(prodcom_data[PRODQNT + IMPQNT - EU27 - 2022], MATCH(B51, prodcom_data[product], 0))</f>
        <v>443739559</v>
      </c>
      <c r="G51" s="47">
        <f t="shared" si="0"/>
        <v>0.44373955900000001</v>
      </c>
      <c r="H51" s="83">
        <f>INDEX(prodcom_data[Local production share of available quantity (PRODQNT + IMPQNT) - EU27 - 2022], MATCH(B51, prodcom_data[product], 0))</f>
        <v>0.9014296604554024</v>
      </c>
      <c r="I51" s="42" t="s">
        <v>2692</v>
      </c>
      <c r="J51" s="42" t="s">
        <v>2693</v>
      </c>
      <c r="K51" s="67" t="s">
        <v>2978</v>
      </c>
      <c r="L51" s="67">
        <v>116.2</v>
      </c>
      <c r="M51" s="68" t="s">
        <v>2896</v>
      </c>
      <c r="N51" s="62">
        <f>M51*'Split Polyamides &amp; Isocyanates'!$C$37/L51</f>
        <v>0.6201893287435456</v>
      </c>
      <c r="O51" s="69" t="s">
        <v>2979</v>
      </c>
      <c r="P51" s="52" t="s">
        <v>3024</v>
      </c>
      <c r="Q51" s="51">
        <v>0.91</v>
      </c>
      <c r="R51" s="52" t="s">
        <v>3031</v>
      </c>
      <c r="S51" s="54" cm="1">
        <f t="array" ref="S51">1-SUM(IF(ISNUMBER(P51:Q51), P51:Q51, 0))</f>
        <v>8.9999999999999969E-2</v>
      </c>
      <c r="T51" s="52"/>
      <c r="U51" s="56"/>
      <c r="V51" s="52" t="s">
        <v>3024</v>
      </c>
      <c r="W51" s="51">
        <v>0.91</v>
      </c>
      <c r="X51" s="52" t="s">
        <v>3031</v>
      </c>
      <c r="Y51" s="54" cm="1">
        <f t="array" ref="Y51">1-SUM(IF(ISNUMBER(V51:W51), V51:W51, 0))</f>
        <v>8.9999999999999969E-2</v>
      </c>
      <c r="Z51" s="52"/>
      <c r="AA51" s="53"/>
      <c r="AB51" s="52"/>
      <c r="AC51" s="53"/>
      <c r="AD51" s="52"/>
      <c r="AE51" s="53"/>
    </row>
    <row r="52" spans="1:32" x14ac:dyDescent="0.3">
      <c r="A52" s="57">
        <v>44</v>
      </c>
      <c r="B52" t="s">
        <v>186</v>
      </c>
      <c r="C52" s="57" t="s">
        <v>2839</v>
      </c>
      <c r="D52" t="s">
        <v>187</v>
      </c>
      <c r="E52" s="41" t="s">
        <v>187</v>
      </c>
      <c r="F52" s="49">
        <f>INDEX(prodcom_data[PRODQNT + IMPQNT - EU27 - 2022], MATCH(B52, prodcom_data[product], 0))</f>
        <v>377601386</v>
      </c>
      <c r="G52" s="47">
        <f t="shared" si="0"/>
        <v>0.37760138599999998</v>
      </c>
      <c r="H52" s="83">
        <f>INDEX(prodcom_data[Local production share of available quantity (PRODQNT + IMPQNT) - EU27 - 2022], MATCH(B52, prodcom_data[product], 0))</f>
        <v>0.11917329138193365</v>
      </c>
      <c r="I52" s="42" t="s">
        <v>2694</v>
      </c>
      <c r="J52" s="42" t="s">
        <v>2642</v>
      </c>
      <c r="K52" s="67" t="s">
        <v>2992</v>
      </c>
      <c r="L52" s="67">
        <v>88.11</v>
      </c>
      <c r="M52" s="68" t="s">
        <v>2913</v>
      </c>
      <c r="N52" s="62">
        <f>M52*'Split Polyamides &amp; Isocyanates'!$C$37/L52</f>
        <v>0.54527295426171829</v>
      </c>
      <c r="O52" s="69" t="s">
        <v>2993</v>
      </c>
      <c r="P52" s="52" t="s">
        <v>3030</v>
      </c>
      <c r="Q52" s="51">
        <v>1</v>
      </c>
      <c r="R52" s="52"/>
      <c r="S52" s="53"/>
      <c r="T52" s="52"/>
      <c r="U52" s="56"/>
      <c r="V52" s="52" t="s">
        <v>3030</v>
      </c>
      <c r="W52" s="51">
        <v>1</v>
      </c>
      <c r="X52" s="52"/>
      <c r="Y52" s="53"/>
      <c r="Z52" s="52"/>
      <c r="AA52" s="53"/>
      <c r="AB52" s="52"/>
      <c r="AC52" s="53"/>
      <c r="AD52" s="52"/>
      <c r="AE52" s="53"/>
    </row>
    <row r="53" spans="1:32" x14ac:dyDescent="0.3">
      <c r="A53" s="57">
        <v>45</v>
      </c>
      <c r="B53" t="s">
        <v>581</v>
      </c>
      <c r="C53" s="57" t="s">
        <v>2840</v>
      </c>
      <c r="D53" t="s">
        <v>582</v>
      </c>
      <c r="E53" s="41" t="s">
        <v>2988</v>
      </c>
      <c r="F53" s="49">
        <f>INDEX(prodcom_data[PRODQNT + IMPQNT - EU27 - 2022], MATCH(B53, prodcom_data[product], 0))</f>
        <v>334412816</v>
      </c>
      <c r="G53" s="47">
        <f t="shared" si="0"/>
        <v>0.334412816</v>
      </c>
      <c r="H53" s="83">
        <f>INDEX(prodcom_data[Local production share of available quantity (PRODQNT + IMPQNT) - EU27 - 2022], MATCH(B53, prodcom_data[product], 0))</f>
        <v>0.59226283959165005</v>
      </c>
      <c r="I53" s="44" t="s">
        <v>2989</v>
      </c>
      <c r="J53" s="42" t="s">
        <v>2695</v>
      </c>
      <c r="K53" s="67" t="s">
        <v>2990</v>
      </c>
      <c r="L53" s="67">
        <v>30.026</v>
      </c>
      <c r="M53" s="68" t="s">
        <v>2893</v>
      </c>
      <c r="N53" s="62">
        <f>M53*'Split Polyamides &amp; Isocyanates'!$C$37/L53</f>
        <v>0.40001998268167588</v>
      </c>
      <c r="O53" s="69" t="s">
        <v>2991</v>
      </c>
      <c r="P53" s="52"/>
      <c r="Q53" s="53"/>
      <c r="R53" s="52"/>
      <c r="S53" s="53"/>
      <c r="T53" s="52"/>
      <c r="U53" s="56"/>
      <c r="V53" s="52"/>
      <c r="W53" s="53"/>
      <c r="X53" s="52"/>
      <c r="Y53" s="53"/>
      <c r="Z53" s="52"/>
      <c r="AA53" s="53"/>
      <c r="AB53" s="52"/>
      <c r="AC53" s="53"/>
      <c r="AD53" s="52"/>
      <c r="AE53" s="53"/>
    </row>
    <row r="54" spans="1:32" x14ac:dyDescent="0.3">
      <c r="A54" s="57">
        <v>46</v>
      </c>
      <c r="B54" t="s">
        <v>459</v>
      </c>
      <c r="C54" s="57" t="s">
        <v>2841</v>
      </c>
      <c r="D54" t="s">
        <v>460</v>
      </c>
      <c r="E54" s="41" t="s">
        <v>2994</v>
      </c>
      <c r="F54" s="49">
        <f>INDEX(prodcom_data[PRODQNT + IMPQNT - EU27 - 2022], MATCH(B54, prodcom_data[product], 0))</f>
        <v>321846701</v>
      </c>
      <c r="G54" s="47">
        <f t="shared" si="0"/>
        <v>0.32184670100000001</v>
      </c>
      <c r="H54" s="83">
        <f>INDEX(prodcom_data[Local production share of available quantity (PRODQNT + IMPQNT) - EU27 - 2022], MATCH(B54, prodcom_data[product], 0))</f>
        <v>0.18642415725740188</v>
      </c>
      <c r="I54" s="42" t="s">
        <v>2696</v>
      </c>
      <c r="J54" s="42" t="s">
        <v>2642</v>
      </c>
      <c r="K54" s="67" t="s">
        <v>2995</v>
      </c>
      <c r="L54" s="67">
        <v>106.12</v>
      </c>
      <c r="M54" s="68" t="s">
        <v>2913</v>
      </c>
      <c r="N54" s="62">
        <f>M54*'Split Polyamides &amp; Isocyanates'!$C$37/L54</f>
        <v>0.45273275537127777</v>
      </c>
      <c r="O54" s="69" t="s">
        <v>2996</v>
      </c>
      <c r="P54" s="52" t="s">
        <v>3024</v>
      </c>
      <c r="Q54" s="51">
        <v>0.21</v>
      </c>
      <c r="R54" s="52" t="s">
        <v>3031</v>
      </c>
      <c r="S54" s="54" cm="1">
        <f t="array" ref="S54">1-SUM(IF(ISNUMBER(P54:Q54), P54:Q54, 0))</f>
        <v>0.79</v>
      </c>
      <c r="T54" s="52"/>
      <c r="U54" s="56"/>
      <c r="V54" s="52" t="s">
        <v>3024</v>
      </c>
      <c r="W54" s="51">
        <v>0.21</v>
      </c>
      <c r="X54" s="52" t="s">
        <v>3031</v>
      </c>
      <c r="Y54" s="54" cm="1">
        <f t="array" ref="Y54">1-SUM(IF(ISNUMBER(V54:W54), V54:W54, 0))</f>
        <v>0.79</v>
      </c>
      <c r="Z54" s="52"/>
      <c r="AA54" s="53"/>
      <c r="AB54" s="52"/>
      <c r="AC54" s="53"/>
      <c r="AD54" s="52"/>
      <c r="AE54" s="53"/>
    </row>
    <row r="55" spans="1:32" x14ac:dyDescent="0.3">
      <c r="A55" s="57">
        <v>47</v>
      </c>
      <c r="B55" t="s">
        <v>226</v>
      </c>
      <c r="C55" s="57" t="s">
        <v>2842</v>
      </c>
      <c r="D55" t="s">
        <v>227</v>
      </c>
      <c r="E55" s="41" t="s">
        <v>2982</v>
      </c>
      <c r="F55" s="49">
        <f>INDEX(prodcom_data[PRODQNT + IMPQNT - EU27 - 2022], MATCH(B55, prodcom_data[product], 0))</f>
        <v>321638245</v>
      </c>
      <c r="G55" s="47">
        <f t="shared" si="0"/>
        <v>0.32163824499999999</v>
      </c>
      <c r="H55" s="83">
        <f>INDEX(prodcom_data[Local production share of available quantity (PRODQNT + IMPQNT) - EU27 - 2022], MATCH(B55, prodcom_data[product], 0))</f>
        <v>0.27981747008972768</v>
      </c>
      <c r="I55" s="42" t="s">
        <v>2697</v>
      </c>
      <c r="J55" s="42" t="s">
        <v>2698</v>
      </c>
      <c r="K55" s="67" t="s">
        <v>2983</v>
      </c>
      <c r="L55" s="67">
        <v>100.12</v>
      </c>
      <c r="M55" s="68" t="s">
        <v>2984</v>
      </c>
      <c r="N55" s="62">
        <f>M55*'Split Polyamides &amp; Isocyanates'!$C$37/L55</f>
        <v>0.59983020375549334</v>
      </c>
      <c r="O55" s="69" t="s">
        <v>2985</v>
      </c>
      <c r="P55" s="52" t="s">
        <v>3024</v>
      </c>
      <c r="Q55" s="51">
        <v>0.35</v>
      </c>
      <c r="R55" s="52" t="s">
        <v>3031</v>
      </c>
      <c r="S55" s="54" cm="1">
        <f t="array" ref="S55">1-SUM(IF(ISNUMBER(P55:Q55), P55:Q55, 0))</f>
        <v>0.65</v>
      </c>
      <c r="T55" s="52"/>
      <c r="U55" s="56"/>
      <c r="V55" s="52" t="s">
        <v>3024</v>
      </c>
      <c r="W55" s="51">
        <v>0.35</v>
      </c>
      <c r="X55" s="52" t="s">
        <v>3031</v>
      </c>
      <c r="Y55" s="54" cm="1">
        <f t="array" ref="Y55">1-SUM(IF(ISNUMBER(V55:W55), V55:W55, 0))</f>
        <v>0.65</v>
      </c>
      <c r="Z55" s="52"/>
      <c r="AA55" s="53"/>
      <c r="AB55" s="52"/>
      <c r="AC55" s="53"/>
      <c r="AD55" s="52"/>
      <c r="AE55" s="53"/>
    </row>
    <row r="56" spans="1:32" x14ac:dyDescent="0.3">
      <c r="A56" s="57">
        <v>48</v>
      </c>
      <c r="B56" t="s">
        <v>40</v>
      </c>
      <c r="C56" s="57" t="s">
        <v>2843</v>
      </c>
      <c r="D56" t="s">
        <v>41</v>
      </c>
      <c r="E56" s="41" t="s">
        <v>41</v>
      </c>
      <c r="F56" s="49">
        <f>INDEX(prodcom_data[PRODQNT + IMPQNT - EU27 - 2022], MATCH(B56, prodcom_data[product], 0))</f>
        <v>318208407</v>
      </c>
      <c r="G56" s="47">
        <f t="shared" si="0"/>
        <v>0.31820840700000003</v>
      </c>
      <c r="H56" s="83">
        <f>INDEX(prodcom_data[Local production share of available quantity (PRODQNT + IMPQNT) - EU27 - 2022], MATCH(B56, prodcom_data[product], 0))</f>
        <v>0.44804616680036363</v>
      </c>
      <c r="I56" s="42" t="s">
        <v>2699</v>
      </c>
      <c r="J56" s="42" t="s">
        <v>2642</v>
      </c>
      <c r="K56" s="67" t="s">
        <v>2968</v>
      </c>
      <c r="L56" s="67">
        <v>106.16</v>
      </c>
      <c r="M56" s="68" t="s">
        <v>2903</v>
      </c>
      <c r="N56" s="62">
        <f>M56*'Split Polyamides &amp; Isocyanates'!$C$37/L56</f>
        <v>0.90512434061793512</v>
      </c>
      <c r="O56" s="69" t="s">
        <v>2997</v>
      </c>
      <c r="P56" s="52" t="s">
        <v>3024</v>
      </c>
      <c r="Q56" s="51">
        <v>0.51</v>
      </c>
      <c r="R56" s="52" t="s">
        <v>3031</v>
      </c>
      <c r="S56" s="54" cm="1">
        <f t="array" ref="S56">1-SUM(IF(ISNUMBER(P56:Q56), P56:Q56, 0))</f>
        <v>0.49</v>
      </c>
      <c r="T56" s="52"/>
      <c r="U56" s="56"/>
      <c r="V56" s="52" t="s">
        <v>3024</v>
      </c>
      <c r="W56" s="51">
        <v>0.51</v>
      </c>
      <c r="X56" s="52" t="s">
        <v>3031</v>
      </c>
      <c r="Y56" s="54" cm="1">
        <f t="array" ref="Y56">1-SUM(IF(ISNUMBER(V56:W56), V56:W56, 0))</f>
        <v>0.49</v>
      </c>
      <c r="Z56" s="52"/>
      <c r="AA56" s="53"/>
      <c r="AB56" s="52"/>
      <c r="AC56" s="53"/>
      <c r="AD56" s="52"/>
      <c r="AE56" s="53"/>
    </row>
    <row r="57" spans="1:32" s="43" customFormat="1" x14ac:dyDescent="0.3">
      <c r="A57" s="57">
        <v>49</v>
      </c>
      <c r="B57" s="43" t="s">
        <v>61</v>
      </c>
      <c r="C57" s="57">
        <v>290311</v>
      </c>
      <c r="D57" s="43" t="s">
        <v>62</v>
      </c>
      <c r="E57" s="41" t="s">
        <v>3063</v>
      </c>
      <c r="F57" s="49">
        <f>INDEX(prodcom_data[PRODQNT + IMPQNT - EU27 - 2022], MATCH(B57, prodcom_data[product], 0))</f>
        <v>300894106</v>
      </c>
      <c r="G57" s="47">
        <f t="shared" si="0"/>
        <v>0.30089410599999999</v>
      </c>
      <c r="H57" s="83">
        <f>INDEX(prodcom_data[Local production share of available quantity (PRODQNT + IMPQNT) - EU27 - 2022], MATCH(B57, prodcom_data[product], 0))</f>
        <v>0.99702850277831634</v>
      </c>
      <c r="I57" s="42" t="s">
        <v>3068</v>
      </c>
      <c r="J57" s="42" t="s">
        <v>3069</v>
      </c>
      <c r="K57" s="67" t="s">
        <v>3070</v>
      </c>
      <c r="L57" s="67">
        <v>50.49</v>
      </c>
      <c r="M57" s="84">
        <v>1</v>
      </c>
      <c r="N57" s="62">
        <f>M57*'Split Polyamides &amp; Isocyanates'!$C$37/L57</f>
        <v>0.23788869082986727</v>
      </c>
      <c r="O57" s="69" t="s">
        <v>3071</v>
      </c>
      <c r="P57" s="52" t="s">
        <v>3024</v>
      </c>
      <c r="Q57" s="51">
        <v>1</v>
      </c>
      <c r="R57" s="52"/>
      <c r="S57" s="52"/>
      <c r="T57" s="52"/>
      <c r="U57" s="56"/>
      <c r="V57" s="52" t="s">
        <v>3024</v>
      </c>
      <c r="W57" s="51">
        <v>1</v>
      </c>
      <c r="X57" s="52"/>
      <c r="Y57" s="52"/>
      <c r="Z57" s="52"/>
      <c r="AA57" s="53"/>
      <c r="AB57" s="52"/>
      <c r="AC57" s="53"/>
      <c r="AD57" s="52"/>
      <c r="AE57" s="53"/>
      <c r="AF57"/>
    </row>
    <row r="58" spans="1:32" s="43" customFormat="1" x14ac:dyDescent="0.3">
      <c r="A58" s="57">
        <v>50</v>
      </c>
      <c r="B58" s="43" t="s">
        <v>393</v>
      </c>
      <c r="C58" s="57">
        <v>291219</v>
      </c>
      <c r="D58" s="43" t="s">
        <v>394</v>
      </c>
      <c r="E58" s="41" t="s">
        <v>3064</v>
      </c>
      <c r="F58" s="49">
        <f>INDEX(prodcom_data[PRODQNT + IMPQNT - EU27 - 2022], MATCH(B58, prodcom_data[product], 0))</f>
        <v>300000000</v>
      </c>
      <c r="G58" s="47">
        <f t="shared" si="0"/>
        <v>0.3</v>
      </c>
      <c r="H58" s="83">
        <f>INDEX(prodcom_data[Local production share of available quantity (PRODQNT + IMPQNT) - EU27 - 2022], MATCH(B58, prodcom_data[product], 0))</f>
        <v>1</v>
      </c>
      <c r="I58" s="42" t="s">
        <v>2691</v>
      </c>
      <c r="J58" s="42"/>
      <c r="K58" s="67" t="s">
        <v>3076</v>
      </c>
      <c r="L58" s="67">
        <v>72.11</v>
      </c>
      <c r="M58" s="68" t="s">
        <v>2913</v>
      </c>
      <c r="N58" s="62">
        <f>M58*'Split Polyamides &amp; Isocyanates'!$C$37/L58</f>
        <v>0.66625988073776177</v>
      </c>
      <c r="O58" s="69" t="s">
        <v>3077</v>
      </c>
      <c r="P58" s="52" t="s">
        <v>3030</v>
      </c>
      <c r="Q58" s="51">
        <v>1</v>
      </c>
      <c r="R58" s="52"/>
      <c r="S58" s="52"/>
      <c r="T58" s="52"/>
      <c r="U58" s="56"/>
      <c r="V58" s="52" t="s">
        <v>3030</v>
      </c>
      <c r="W58" s="51">
        <v>1</v>
      </c>
      <c r="X58" s="52"/>
      <c r="Y58" s="52"/>
      <c r="Z58" s="52"/>
      <c r="AA58" s="53"/>
      <c r="AB58" s="52"/>
      <c r="AC58" s="53"/>
      <c r="AD58" s="52"/>
      <c r="AE58" s="53"/>
      <c r="AF58"/>
    </row>
    <row r="59" spans="1:32" s="43" customFormat="1" x14ac:dyDescent="0.3">
      <c r="A59" s="57">
        <v>51</v>
      </c>
      <c r="B59" s="43" t="s">
        <v>164</v>
      </c>
      <c r="C59" s="57">
        <v>290723</v>
      </c>
      <c r="D59" s="43" t="s">
        <v>165</v>
      </c>
      <c r="E59" s="41" t="s">
        <v>3065</v>
      </c>
      <c r="F59" s="49">
        <f>INDEX(prodcom_data[PRODQNT + IMPQNT - EU27 - 2022], MATCH(B59, prodcom_data[product], 0))</f>
        <v>258032226</v>
      </c>
      <c r="G59" s="47">
        <f t="shared" si="0"/>
        <v>0.25803222599999998</v>
      </c>
      <c r="H59" s="83">
        <f>INDEX(prodcom_data[Local production share of available quantity (PRODQNT + IMPQNT) - EU27 - 2022], MATCH(B59, prodcom_data[product], 0))</f>
        <v>0.77509698342872879</v>
      </c>
      <c r="I59" s="42" t="s">
        <v>3066</v>
      </c>
      <c r="J59" s="42"/>
      <c r="K59" s="67" t="s">
        <v>3074</v>
      </c>
      <c r="L59" s="67">
        <v>228.29</v>
      </c>
      <c r="M59" s="68" t="s">
        <v>2947</v>
      </c>
      <c r="N59" s="62">
        <f>M59*'Split Polyamides &amp; Isocyanates'!$C$37/L59</f>
        <v>0.78919356958254849</v>
      </c>
      <c r="O59" s="69" t="s">
        <v>3075</v>
      </c>
      <c r="P59" s="52" t="s">
        <v>3024</v>
      </c>
      <c r="Q59" s="51">
        <v>0.78</v>
      </c>
      <c r="R59" s="52" t="s">
        <v>3031</v>
      </c>
      <c r="S59" s="54" cm="1">
        <f t="array" ref="S59">1-SUM(IF(ISNUMBER(P59:Q59), P59:Q59, 0))</f>
        <v>0.21999999999999997</v>
      </c>
      <c r="T59" s="52"/>
      <c r="U59" s="56"/>
      <c r="V59" s="52" t="s">
        <v>3024</v>
      </c>
      <c r="W59" s="51">
        <v>0.78</v>
      </c>
      <c r="X59" s="52" t="s">
        <v>3031</v>
      </c>
      <c r="Y59" s="54" cm="1">
        <f t="array" ref="Y59">1-SUM(IF(ISNUMBER(V59:W59), V59:W59, 0))</f>
        <v>0.21999999999999997</v>
      </c>
      <c r="Z59" s="52"/>
      <c r="AA59" s="53"/>
      <c r="AB59" s="52"/>
      <c r="AC59" s="53"/>
      <c r="AD59" s="52"/>
      <c r="AE59" s="53"/>
      <c r="AF59"/>
    </row>
    <row r="60" spans="1:32" s="43" customFormat="1" x14ac:dyDescent="0.3">
      <c r="A60" s="57">
        <v>52</v>
      </c>
      <c r="B60" s="43" t="s">
        <v>623</v>
      </c>
      <c r="C60" s="57">
        <v>390519</v>
      </c>
      <c r="D60" s="43" t="s">
        <v>624</v>
      </c>
      <c r="E60" s="41" t="s">
        <v>2927</v>
      </c>
      <c r="F60" s="49">
        <f>INDEX(prodcom_data[PRODQNT + IMPQNT - EU27 - 2022], MATCH(B60, prodcom_data[product], 0))</f>
        <v>250743096</v>
      </c>
      <c r="G60" s="47">
        <f t="shared" si="0"/>
        <v>0.250743096</v>
      </c>
      <c r="H60" s="83">
        <f>INDEX(prodcom_data[Local production share of available quantity (PRODQNT + IMPQNT) - EU27 - 2022], MATCH(B60, prodcom_data[product], 0))</f>
        <v>0.79762913990660789</v>
      </c>
      <c r="I60" s="42" t="s">
        <v>2673</v>
      </c>
      <c r="J60" s="42"/>
      <c r="K60" s="67" t="s">
        <v>2928</v>
      </c>
      <c r="L60" s="67">
        <v>86.08905</v>
      </c>
      <c r="M60" s="68" t="s">
        <v>2913</v>
      </c>
      <c r="N60" s="62">
        <f>M60*'Split Polyamides &amp; Isocyanates'!$C$37/L60</f>
        <v>0.55807329735895561</v>
      </c>
      <c r="O60" s="69" t="s">
        <v>2929</v>
      </c>
      <c r="P60" s="52" t="s">
        <v>3024</v>
      </c>
      <c r="Q60" s="51">
        <v>0.87</v>
      </c>
      <c r="R60" s="52" t="s">
        <v>3031</v>
      </c>
      <c r="S60" s="54" cm="1">
        <f t="array" ref="S60">1-SUM(IF(ISNUMBER(P60:Q60), P60:Q60, 0))</f>
        <v>0.13</v>
      </c>
      <c r="T60" s="52"/>
      <c r="U60" s="56"/>
      <c r="V60" s="52" t="s">
        <v>3024</v>
      </c>
      <c r="W60" s="51">
        <v>0.87</v>
      </c>
      <c r="X60" s="52" t="s">
        <v>3031</v>
      </c>
      <c r="Y60" s="54" cm="1">
        <f t="array" ref="Y60">1-SUM(IF(ISNUMBER(V60:W60), V60:W60, 0))</f>
        <v>0.13</v>
      </c>
      <c r="Z60" s="52"/>
      <c r="AA60" s="53"/>
      <c r="AB60" s="52"/>
      <c r="AC60" s="53"/>
      <c r="AD60" s="52"/>
      <c r="AE60" s="53"/>
      <c r="AF60"/>
    </row>
    <row r="61" spans="1:32" s="43" customFormat="1" x14ac:dyDescent="0.3">
      <c r="A61" s="57">
        <v>53</v>
      </c>
      <c r="B61" s="43" t="s">
        <v>208</v>
      </c>
      <c r="C61" s="57">
        <v>291524</v>
      </c>
      <c r="D61" s="43" t="s">
        <v>209</v>
      </c>
      <c r="E61" s="41" t="s">
        <v>209</v>
      </c>
      <c r="F61" s="49">
        <f>INDEX(prodcom_data[PRODQNT + IMPQNT - EU27 - 2022], MATCH(B61, prodcom_data[product], 0))</f>
        <v>215273632</v>
      </c>
      <c r="G61" s="47">
        <f t="shared" si="0"/>
        <v>0.21527363199999999</v>
      </c>
      <c r="H61" s="83">
        <f>INDEX(prodcom_data[Local production share of available quantity (PRODQNT + IMPQNT) - EU27 - 2022], MATCH(B61, prodcom_data[product], 0))</f>
        <v>1.1148601794389756E-2</v>
      </c>
      <c r="I61" s="42" t="s">
        <v>3067</v>
      </c>
      <c r="J61" s="42"/>
      <c r="K61" s="67" t="s">
        <v>3072</v>
      </c>
      <c r="L61" s="67">
        <v>102.09</v>
      </c>
      <c r="M61" s="68" t="s">
        <v>2913</v>
      </c>
      <c r="N61" s="62">
        <f>M61*'Split Polyamides &amp; Isocyanates'!$C$37/L61</f>
        <v>0.47060436869428929</v>
      </c>
      <c r="O61" s="69" t="s">
        <v>3073</v>
      </c>
      <c r="P61" s="52" t="s">
        <v>3030</v>
      </c>
      <c r="Q61" s="51">
        <v>1</v>
      </c>
      <c r="R61" s="52"/>
      <c r="S61" s="52"/>
      <c r="T61" s="52"/>
      <c r="U61" s="56"/>
      <c r="V61" s="52" t="s">
        <v>3030</v>
      </c>
      <c r="W61" s="51">
        <v>1</v>
      </c>
      <c r="X61" s="52"/>
      <c r="Y61" s="52"/>
      <c r="Z61" s="52"/>
      <c r="AA61" s="53"/>
      <c r="AB61" s="52"/>
      <c r="AC61" s="53"/>
      <c r="AD61" s="52"/>
      <c r="AE61" s="53"/>
      <c r="AF61"/>
    </row>
    <row r="62" spans="1:32" x14ac:dyDescent="0.3">
      <c r="A62" s="57">
        <v>54</v>
      </c>
      <c r="B62" s="58" t="s">
        <v>345</v>
      </c>
      <c r="C62" s="57" t="s">
        <v>2817</v>
      </c>
      <c r="D62" s="45" t="s">
        <v>2998</v>
      </c>
      <c r="E62" s="41" t="s">
        <v>2999</v>
      </c>
      <c r="F62" s="49">
        <f>'Split Polyamides &amp; Isocyanates'!C32*('Split Polyamides &amp; Isocyanates'!C29/SUM('Split Polyamides &amp; Isocyanates'!$C$28:$C$29))</f>
        <v>242141968.15384617</v>
      </c>
      <c r="G62" s="47">
        <f t="shared" si="0"/>
        <v>0.24214196815384617</v>
      </c>
      <c r="H62" s="83">
        <f>INDEX(prodcom_data[Local production share of available quantity (PRODQNT + IMPQNT) - EU27 - 2022], MATCH(B62, prodcom_data[product], 0))</f>
        <v>0.88632047658515611</v>
      </c>
      <c r="I62" s="41" t="s">
        <v>3000</v>
      </c>
      <c r="J62" s="42" t="s">
        <v>2671</v>
      </c>
      <c r="K62" s="67" t="s">
        <v>3001</v>
      </c>
      <c r="L62" s="67">
        <v>174.16</v>
      </c>
      <c r="M62" s="68" t="s">
        <v>2962</v>
      </c>
      <c r="N62" s="62">
        <f>M62*'Split Polyamides &amp; Isocyanates'!$C$37/L62</f>
        <v>0.6206878732200275</v>
      </c>
      <c r="O62" s="69" t="s">
        <v>3002</v>
      </c>
      <c r="P62" s="52" t="s">
        <v>3024</v>
      </c>
      <c r="Q62" s="51">
        <v>0.88</v>
      </c>
      <c r="R62" s="52" t="s">
        <v>3031</v>
      </c>
      <c r="S62" s="54" cm="1">
        <f t="array" ref="S62">1-SUM(IF(ISNUMBER(P62:Q62), P62:Q62, 0))</f>
        <v>0.12</v>
      </c>
      <c r="T62" s="52"/>
      <c r="U62" s="56"/>
      <c r="V62" s="52" t="s">
        <v>3024</v>
      </c>
      <c r="W62" s="51">
        <v>0.88</v>
      </c>
      <c r="X62" s="52" t="s">
        <v>3031</v>
      </c>
      <c r="Y62" s="54" cm="1">
        <f t="array" ref="Y62">1-SUM(IF(ISNUMBER(V62:W62), V62:W62, 0))</f>
        <v>0.12</v>
      </c>
      <c r="Z62" s="52"/>
      <c r="AA62" s="53"/>
      <c r="AB62" s="52"/>
      <c r="AC62" s="53"/>
      <c r="AD62" s="52"/>
      <c r="AE62" s="53"/>
    </row>
    <row r="63" spans="1:32" x14ac:dyDescent="0.3">
      <c r="A63" s="57">
        <v>55</v>
      </c>
      <c r="B63" s="58" t="s">
        <v>345</v>
      </c>
      <c r="C63" s="57" t="s">
        <v>2817</v>
      </c>
      <c r="D63" s="45" t="s">
        <v>3003</v>
      </c>
      <c r="E63" s="41" t="s">
        <v>3004</v>
      </c>
      <c r="F63" s="49">
        <f>'Split Polyamides &amp; Isocyanates'!C32*('Split Polyamides &amp; Isocyanates'!C28/SUM('Split Polyamides &amp; Isocyanates'!$C$28:$C$29))</f>
        <v>807139893.84615386</v>
      </c>
      <c r="G63" s="47">
        <f t="shared" si="0"/>
        <v>0.80713989384615381</v>
      </c>
      <c r="H63" s="83">
        <f>INDEX(prodcom_data[Local production share of available quantity (PRODQNT + IMPQNT) - EU27 - 2022], MATCH(B63, prodcom_data[product], 0))</f>
        <v>0.88632047658515611</v>
      </c>
      <c r="I63" s="41" t="s">
        <v>3005</v>
      </c>
      <c r="J63" s="42" t="s">
        <v>2671</v>
      </c>
      <c r="K63" s="67" t="s">
        <v>3006</v>
      </c>
      <c r="L63" s="67">
        <v>250.25</v>
      </c>
      <c r="M63" s="68" t="s">
        <v>2947</v>
      </c>
      <c r="N63" s="62">
        <f>M63*'Split Polyamides &amp; Isocyanates'!$C$37/L63</f>
        <v>0.71994005994005994</v>
      </c>
      <c r="O63" s="69" t="s">
        <v>3007</v>
      </c>
      <c r="P63" s="52" t="s">
        <v>3024</v>
      </c>
      <c r="Q63" s="51">
        <v>0.88</v>
      </c>
      <c r="R63" s="52" t="s">
        <v>3031</v>
      </c>
      <c r="S63" s="54" cm="1">
        <f t="array" ref="S63">1-SUM(IF(ISNUMBER(P63:Q63), P63:Q63, 0))</f>
        <v>0.12</v>
      </c>
      <c r="T63" s="52"/>
      <c r="U63" s="56"/>
      <c r="V63" s="52" t="s">
        <v>3024</v>
      </c>
      <c r="W63" s="51">
        <v>0.88</v>
      </c>
      <c r="X63" s="52" t="s">
        <v>3031</v>
      </c>
      <c r="Y63" s="54" cm="1">
        <f t="array" ref="Y63">1-SUM(IF(ISNUMBER(V63:W63), V63:W63, 0))</f>
        <v>0.12</v>
      </c>
      <c r="Z63" s="52"/>
      <c r="AA63" s="53"/>
      <c r="AB63" s="52"/>
      <c r="AC63" s="53"/>
      <c r="AD63" s="52"/>
      <c r="AE63" s="53"/>
    </row>
    <row r="64" spans="1:32" x14ac:dyDescent="0.3">
      <c r="A64" s="57">
        <v>56</v>
      </c>
      <c r="B64" s="58" t="s">
        <v>634</v>
      </c>
      <c r="C64" s="57" t="s">
        <v>2807</v>
      </c>
      <c r="D64" s="45" t="s">
        <v>3008</v>
      </c>
      <c r="E64" s="41" t="s">
        <v>3009</v>
      </c>
      <c r="F64" s="49">
        <f>'Split Polyamides &amp; Isocyanates'!C6*('Split Polyamides &amp; Isocyanates'!C24/('Split Polyamides &amp; Isocyanates'!C15+'Split Polyamides &amp; Isocyanates'!C24))</f>
        <v>1089108418.3783784</v>
      </c>
      <c r="G64" s="47">
        <f t="shared" si="0"/>
        <v>1.0891084183783784</v>
      </c>
      <c r="H64" s="83">
        <f>INDEX(prodcom_data[Local production share of available quantity (PRODQNT + IMPQNT) - EU27 - 2022], MATCH(B64, prodcom_data[product], 0))</f>
        <v>0.87748442629671652</v>
      </c>
      <c r="I64" s="41" t="s">
        <v>3010</v>
      </c>
      <c r="J64" s="42" t="s">
        <v>2661</v>
      </c>
      <c r="K64" s="67" t="s">
        <v>3011</v>
      </c>
      <c r="L64" s="67">
        <v>224.3</v>
      </c>
      <c r="M64" s="68" t="s">
        <v>2907</v>
      </c>
      <c r="N64" s="62">
        <f>M64*'Split Polyamides &amp; Isocyanates'!$C$37/L64</f>
        <v>0.64258582255907271</v>
      </c>
      <c r="O64" s="69" t="s">
        <v>3012</v>
      </c>
      <c r="P64" s="52" t="s">
        <v>3024</v>
      </c>
      <c r="Q64" s="51">
        <v>0.91</v>
      </c>
      <c r="R64" s="52" t="s">
        <v>3031</v>
      </c>
      <c r="S64" s="54" cm="1">
        <f t="array" ref="S64">1-SUM(IF(ISNUMBER(P64:Q64), P64:Q64, 0))</f>
        <v>8.9999999999999969E-2</v>
      </c>
      <c r="T64" s="52"/>
      <c r="U64" s="56"/>
      <c r="V64" s="52" t="s">
        <v>3024</v>
      </c>
      <c r="W64" s="51">
        <v>0.91</v>
      </c>
      <c r="X64" s="52" t="s">
        <v>3031</v>
      </c>
      <c r="Y64" s="54" cm="1">
        <f t="array" ref="Y64">1-SUM(IF(ISNUMBER(V64:W64), V64:W64, 0))</f>
        <v>8.9999999999999969E-2</v>
      </c>
      <c r="Z64" s="52"/>
      <c r="AA64" s="53"/>
      <c r="AB64" s="52"/>
      <c r="AC64" s="53"/>
      <c r="AD64" s="52"/>
      <c r="AE64" s="53"/>
    </row>
    <row r="65" spans="1:31" x14ac:dyDescent="0.3">
      <c r="A65" s="57">
        <v>57</v>
      </c>
      <c r="B65" s="58" t="s">
        <v>634</v>
      </c>
      <c r="C65" s="57" t="s">
        <v>2807</v>
      </c>
      <c r="D65" s="45" t="s">
        <v>3013</v>
      </c>
      <c r="E65" s="41" t="s">
        <v>3014</v>
      </c>
      <c r="F65" s="49">
        <f>'Split Polyamides &amp; Isocyanates'!C6*('Split Polyamides &amp; Isocyanates'!C15/('Split Polyamides &amp; Isocyanates'!C15+'Split Polyamides &amp; Isocyanates'!C24))</f>
        <v>1281304021.6216214</v>
      </c>
      <c r="G65" s="47">
        <f t="shared" si="0"/>
        <v>1.2813040216216214</v>
      </c>
      <c r="H65" s="83">
        <f>INDEX(prodcom_data[Local production share of available quantity (PRODQNT + IMPQNT) - EU27 - 2022], MATCH(B65, prodcom_data[product], 0))</f>
        <v>0.87748442629671652</v>
      </c>
      <c r="I65" s="41" t="s">
        <v>3015</v>
      </c>
      <c r="J65" s="42" t="s">
        <v>2661</v>
      </c>
      <c r="K65" s="67" t="s">
        <v>3016</v>
      </c>
      <c r="L65" s="67">
        <v>582.79999999999995</v>
      </c>
      <c r="M65" s="68" t="s">
        <v>3017</v>
      </c>
      <c r="N65" s="62">
        <f>M65*'Split Polyamides &amp; Isocyanates'!$C$37/L65</f>
        <v>0.61827385037748805</v>
      </c>
      <c r="O65" s="69" t="s">
        <v>3018</v>
      </c>
      <c r="P65" s="52" t="s">
        <v>3024</v>
      </c>
      <c r="Q65" s="51">
        <v>0.91</v>
      </c>
      <c r="R65" s="52" t="s">
        <v>3031</v>
      </c>
      <c r="S65" s="54" cm="1">
        <f t="array" ref="S65">1-SUM(IF(ISNUMBER(P65:Q65), P65:Q65, 0))</f>
        <v>8.9999999999999969E-2</v>
      </c>
      <c r="T65" s="52"/>
      <c r="U65" s="56"/>
      <c r="V65" s="52" t="s">
        <v>3024</v>
      </c>
      <c r="W65" s="51">
        <v>0.91</v>
      </c>
      <c r="X65" s="52" t="s">
        <v>3031</v>
      </c>
      <c r="Y65" s="54" cm="1">
        <f t="array" ref="Y65">1-SUM(IF(ISNUMBER(V65:W65), V65:W65, 0))</f>
        <v>8.9999999999999969E-2</v>
      </c>
      <c r="Z65" s="52"/>
      <c r="AA65" s="53"/>
      <c r="AB65" s="52"/>
      <c r="AC65" s="53"/>
      <c r="AD65" s="52"/>
      <c r="AE65" s="53"/>
    </row>
    <row r="115" spans="32:32" x14ac:dyDescent="0.3">
      <c r="AF115" t="s">
        <v>2658</v>
      </c>
    </row>
  </sheetData>
  <mergeCells count="1">
    <mergeCell ref="F7:G7"/>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DADF-14EE-46ED-AB80-15A77CD37A67}">
  <sheetPr codeName="Sheet7"/>
  <dimension ref="A1:I149"/>
  <sheetViews>
    <sheetView zoomScaleNormal="100" workbookViewId="0">
      <selection activeCell="B2" sqref="B2"/>
    </sheetView>
  </sheetViews>
  <sheetFormatPr defaultRowHeight="14.4" x14ac:dyDescent="0.3"/>
  <cols>
    <col min="1" max="1" width="25.5546875" style="43" customWidth="1"/>
    <col min="2" max="2" width="41.21875" style="43" customWidth="1"/>
    <col min="3" max="4" width="33.6640625" style="43" customWidth="1"/>
    <col min="5" max="6" width="14.88671875" style="43" customWidth="1"/>
    <col min="7" max="7" width="12" style="43" bestFit="1" customWidth="1"/>
    <col min="8" max="8" width="34.6640625" style="43" customWidth="1"/>
    <col min="9" max="16384" width="8.88671875" style="43"/>
  </cols>
  <sheetData>
    <row r="1" spans="1:9" ht="24" thickBot="1" x14ac:dyDescent="0.5">
      <c r="A1" s="11" t="s">
        <v>3046</v>
      </c>
      <c r="B1" s="94" t="s">
        <v>3129</v>
      </c>
    </row>
    <row r="2" spans="1:9" ht="21" thickTop="1" thickBot="1" x14ac:dyDescent="0.45">
      <c r="A2" s="11" t="s">
        <v>3048</v>
      </c>
      <c r="B2" s="43" t="s">
        <v>3128</v>
      </c>
    </row>
    <row r="3" spans="1:9" ht="15" thickTop="1" x14ac:dyDescent="0.3"/>
    <row r="4" spans="1:9" ht="43.2" x14ac:dyDescent="0.3">
      <c r="A4" s="86" t="s">
        <v>1</v>
      </c>
      <c r="B4" s="86" t="s">
        <v>2</v>
      </c>
      <c r="C4" s="86" t="s">
        <v>704</v>
      </c>
      <c r="D4" s="86" t="s">
        <v>705</v>
      </c>
      <c r="E4" s="86" t="s">
        <v>3086</v>
      </c>
      <c r="F4" s="86" t="s">
        <v>3087</v>
      </c>
    </row>
    <row r="5" spans="1:9" x14ac:dyDescent="0.3">
      <c r="A5" s="87" t="s">
        <v>614</v>
      </c>
      <c r="B5" s="87" t="s">
        <v>615</v>
      </c>
      <c r="C5" s="89" cm="1">
        <f t="array" aca="1" ref="C5:C147" ca="1">_xlfn.LET(_xlpm.x, 'Filtered PRODCOM data'!AB6:AB237, _xlfn._xlws.FILTER(_xlpm.x,SUBTOTAL(103,OFFSET(_xlpm.x,_xlfn.SEQUENCE(ROWS(_xlpm.x))-1,0,1))))</f>
        <v>11040770827</v>
      </c>
      <c r="D5" s="89" cm="1">
        <f t="array" aca="1" ref="D5:D147" ca="1">_xlfn.LET(_xlpm.x, 'Filtered PRODCOM data'!AD6:AD237, _xlfn._xlws.FILTER(_xlpm.x,SUBTOTAL(103,OFFSET(_xlpm.x,_xlfn.SEQUENCE(ROWS(_xlpm.x))-1,0,1))))</f>
        <v>11059816493</v>
      </c>
      <c r="E5" s="90">
        <f ca="1">C5/C$149</f>
        <v>8.7364534475533703E-2</v>
      </c>
      <c r="F5" s="90">
        <f ca="1">D5/D$149</f>
        <v>9.2101148380531989E-2</v>
      </c>
      <c r="G5"/>
      <c r="H5" s="43" t="s">
        <v>3088</v>
      </c>
      <c r="I5" s="91">
        <f ca="1">PEARSON(E5:E147, F5:F147)</f>
        <v>0.99350674883878221</v>
      </c>
    </row>
    <row r="6" spans="1:9" x14ac:dyDescent="0.3">
      <c r="A6" s="88" t="s">
        <v>8</v>
      </c>
      <c r="B6" s="88" t="s">
        <v>9</v>
      </c>
      <c r="C6" s="89">
        <f ca="1"/>
        <v>11236268617</v>
      </c>
      <c r="D6" s="89">
        <f ca="1"/>
        <v>10337493766</v>
      </c>
      <c r="E6" s="90">
        <f t="shared" ref="E6:F69" ca="1" si="0">C6/C$149</f>
        <v>8.891148927443035E-2</v>
      </c>
      <c r="F6" s="90">
        <f t="shared" ca="1" si="0"/>
        <v>8.6085971483142801E-2</v>
      </c>
    </row>
    <row r="7" spans="1:9" x14ac:dyDescent="0.3">
      <c r="A7" s="87" t="s">
        <v>11</v>
      </c>
      <c r="B7" s="87" t="s">
        <v>12</v>
      </c>
      <c r="C7" s="89">
        <f ca="1"/>
        <v>10638016027</v>
      </c>
      <c r="D7" s="89">
        <f ca="1"/>
        <v>9081741202</v>
      </c>
      <c r="E7" s="90">
        <f t="shared" ca="1" si="0"/>
        <v>8.4177575325567577E-2</v>
      </c>
      <c r="F7" s="90">
        <f t="shared" ca="1" si="0"/>
        <v>7.5628632222640713E-2</v>
      </c>
    </row>
    <row r="8" spans="1:9" x14ac:dyDescent="0.3">
      <c r="A8" s="88" t="s">
        <v>539</v>
      </c>
      <c r="B8" s="88" t="s">
        <v>540</v>
      </c>
      <c r="C8" s="89">
        <f ca="1"/>
        <v>7504219963</v>
      </c>
      <c r="D8" s="89">
        <f ca="1"/>
        <v>7628879471</v>
      </c>
      <c r="E8" s="90">
        <f t="shared" ca="1" si="0"/>
        <v>5.9380155058217275E-2</v>
      </c>
      <c r="F8" s="90">
        <f t="shared" ca="1" si="0"/>
        <v>6.3529856989984812E-2</v>
      </c>
    </row>
    <row r="9" spans="1:9" x14ac:dyDescent="0.3">
      <c r="A9" s="87" t="s">
        <v>111</v>
      </c>
      <c r="B9" s="87" t="s">
        <v>112</v>
      </c>
      <c r="C9" s="89">
        <f ca="1"/>
        <v>7704716635</v>
      </c>
      <c r="D9" s="89">
        <f ca="1"/>
        <v>6904732058</v>
      </c>
      <c r="E9" s="90">
        <f t="shared" ca="1" si="0"/>
        <v>6.0966665519093612E-2</v>
      </c>
      <c r="F9" s="90">
        <f t="shared" ca="1" si="0"/>
        <v>5.749948493306109E-2</v>
      </c>
    </row>
    <row r="10" spans="1:9" x14ac:dyDescent="0.3">
      <c r="A10" s="88" t="s">
        <v>34</v>
      </c>
      <c r="B10" s="88" t="s">
        <v>35</v>
      </c>
      <c r="C10" s="89">
        <f ca="1"/>
        <v>6436740843</v>
      </c>
      <c r="D10" s="89">
        <f ca="1"/>
        <v>6234476067</v>
      </c>
      <c r="E10" s="90">
        <f t="shared" ca="1" si="0"/>
        <v>5.0933297692689207E-2</v>
      </c>
      <c r="F10" s="90">
        <f t="shared" ca="1" si="0"/>
        <v>5.1917896258501919E-2</v>
      </c>
    </row>
    <row r="11" spans="1:9" x14ac:dyDescent="0.3">
      <c r="A11" s="87" t="s">
        <v>563</v>
      </c>
      <c r="B11" s="87" t="s">
        <v>564</v>
      </c>
      <c r="C11" s="89">
        <f ca="1"/>
        <v>5458423542</v>
      </c>
      <c r="D11" s="89">
        <f ca="1"/>
        <v>5008047468</v>
      </c>
      <c r="E11" s="90">
        <f t="shared" ca="1" si="0"/>
        <v>4.3191969038152721E-2</v>
      </c>
      <c r="F11" s="90">
        <f t="shared" ca="1" si="0"/>
        <v>4.1704753712590879E-2</v>
      </c>
    </row>
    <row r="12" spans="1:9" x14ac:dyDescent="0.3">
      <c r="A12" s="88" t="s">
        <v>536</v>
      </c>
      <c r="B12" s="88" t="s">
        <v>537</v>
      </c>
      <c r="C12" s="89">
        <f ca="1"/>
        <v>4651264479</v>
      </c>
      <c r="D12" s="89">
        <f ca="1"/>
        <v>4474213876</v>
      </c>
      <c r="E12" s="90">
        <f t="shared" ca="1" si="0"/>
        <v>3.6804998699609438E-2</v>
      </c>
      <c r="F12" s="90">
        <f t="shared" ca="1" si="0"/>
        <v>3.7259229060493525E-2</v>
      </c>
    </row>
    <row r="13" spans="1:9" x14ac:dyDescent="0.3">
      <c r="A13" s="87" t="s">
        <v>533</v>
      </c>
      <c r="B13" s="87" t="s">
        <v>534</v>
      </c>
      <c r="C13" s="89">
        <f ca="1"/>
        <v>2630915453</v>
      </c>
      <c r="D13" s="89">
        <f ca="1"/>
        <v>4238710053</v>
      </c>
      <c r="E13" s="90">
        <f t="shared" ca="1" si="0"/>
        <v>2.0818175415229356E-2</v>
      </c>
      <c r="F13" s="90">
        <f t="shared" ca="1" si="0"/>
        <v>3.5298059762609267E-2</v>
      </c>
    </row>
    <row r="14" spans="1:9" x14ac:dyDescent="0.3">
      <c r="A14" s="88" t="s">
        <v>49</v>
      </c>
      <c r="B14" s="88" t="s">
        <v>50</v>
      </c>
      <c r="C14" s="89">
        <f ca="1"/>
        <v>3661349747</v>
      </c>
      <c r="D14" s="89">
        <f ca="1"/>
        <v>3627976392</v>
      </c>
      <c r="E14" s="90">
        <f t="shared" ca="1" si="0"/>
        <v>2.8971900713356608E-2</v>
      </c>
      <c r="F14" s="90">
        <f t="shared" ca="1" si="0"/>
        <v>3.0212146124860582E-2</v>
      </c>
    </row>
    <row r="15" spans="1:9" x14ac:dyDescent="0.3">
      <c r="A15" s="87" t="s">
        <v>263</v>
      </c>
      <c r="B15" s="87" t="s">
        <v>264</v>
      </c>
      <c r="C15" s="89">
        <f ca="1"/>
        <v>3991929739</v>
      </c>
      <c r="D15" s="89">
        <f ca="1"/>
        <v>3491283735</v>
      </c>
      <c r="E15" s="90">
        <f t="shared" ca="1" si="0"/>
        <v>3.1587747700903689E-2</v>
      </c>
      <c r="F15" s="90">
        <f t="shared" ca="1" si="0"/>
        <v>2.9073831516037339E-2</v>
      </c>
    </row>
    <row r="16" spans="1:9" x14ac:dyDescent="0.3">
      <c r="A16" s="88" t="s">
        <v>599</v>
      </c>
      <c r="B16" s="88" t="s">
        <v>600</v>
      </c>
      <c r="C16" s="89">
        <f ca="1"/>
        <v>3608586975</v>
      </c>
      <c r="D16" s="89">
        <f ca="1"/>
        <v>3349184970</v>
      </c>
      <c r="E16" s="90">
        <f t="shared" ca="1" si="0"/>
        <v>2.8554394084005508E-2</v>
      </c>
      <c r="F16" s="90">
        <f t="shared" ca="1" si="0"/>
        <v>2.7890497285470429E-2</v>
      </c>
    </row>
    <row r="17" spans="1:6" x14ac:dyDescent="0.3">
      <c r="A17" s="87" t="s">
        <v>17</v>
      </c>
      <c r="B17" s="87" t="s">
        <v>18</v>
      </c>
      <c r="C17" s="89">
        <f ca="1"/>
        <v>2770747674</v>
      </c>
      <c r="D17" s="89">
        <f ca="1"/>
        <v>2808940257</v>
      </c>
      <c r="E17" s="90">
        <f t="shared" ca="1" si="0"/>
        <v>2.1924654037398565E-2</v>
      </c>
      <c r="F17" s="90">
        <f t="shared" ca="1" si="0"/>
        <v>2.3391583718025317E-2</v>
      </c>
    </row>
    <row r="18" spans="1:6" x14ac:dyDescent="0.3">
      <c r="A18" s="88" t="s">
        <v>634</v>
      </c>
      <c r="B18" s="88" t="s">
        <v>635</v>
      </c>
      <c r="C18" s="89">
        <f ca="1"/>
        <v>2102028618</v>
      </c>
      <c r="D18" s="89">
        <f ca="1"/>
        <v>2370412440</v>
      </c>
      <c r="E18" s="90">
        <f t="shared" ca="1" si="0"/>
        <v>1.6633145868468216E-2</v>
      </c>
      <c r="F18" s="90">
        <f t="shared" ca="1" si="0"/>
        <v>1.9739722444552035E-2</v>
      </c>
    </row>
    <row r="19" spans="1:6" x14ac:dyDescent="0.3">
      <c r="A19" s="87" t="s">
        <v>14</v>
      </c>
      <c r="B19" s="87" t="s">
        <v>15</v>
      </c>
      <c r="C19" s="89">
        <f ca="1"/>
        <v>1674679674</v>
      </c>
      <c r="D19" s="89">
        <f ca="1"/>
        <v>2000046666</v>
      </c>
      <c r="E19" s="90">
        <f t="shared" ca="1" si="0"/>
        <v>1.3251575674123767E-2</v>
      </c>
      <c r="F19" s="90">
        <f t="shared" ca="1" si="0"/>
        <v>1.6655483829215674E-2</v>
      </c>
    </row>
    <row r="20" spans="1:6" x14ac:dyDescent="0.3">
      <c r="A20" s="88" t="s">
        <v>548</v>
      </c>
      <c r="B20" s="88" t="s">
        <v>549</v>
      </c>
      <c r="C20" s="89">
        <f ca="1"/>
        <v>1746705493</v>
      </c>
      <c r="D20" s="89">
        <f ca="1"/>
        <v>1864065177</v>
      </c>
      <c r="E20" s="90">
        <f t="shared" ca="1" si="0"/>
        <v>1.3821508901228333E-2</v>
      </c>
      <c r="F20" s="90">
        <f t="shared" ca="1" si="0"/>
        <v>1.5523091505769674E-2</v>
      </c>
    </row>
    <row r="21" spans="1:6" x14ac:dyDescent="0.3">
      <c r="A21" s="87" t="s">
        <v>132</v>
      </c>
      <c r="B21" s="87" t="s">
        <v>133</v>
      </c>
      <c r="C21" s="89">
        <f ca="1"/>
        <v>1922839638</v>
      </c>
      <c r="D21" s="89">
        <f ca="1"/>
        <v>1795747967</v>
      </c>
      <c r="E21" s="90">
        <f t="shared" ca="1" si="0"/>
        <v>1.5215241080284199E-2</v>
      </c>
      <c r="F21" s="90">
        <f t="shared" ca="1" si="0"/>
        <v>1.4954176687053072E-2</v>
      </c>
    </row>
    <row r="22" spans="1:6" x14ac:dyDescent="0.3">
      <c r="A22" s="88" t="s">
        <v>476</v>
      </c>
      <c r="B22" s="88" t="s">
        <v>477</v>
      </c>
      <c r="C22" s="89">
        <f ca="1"/>
        <v>1712772337</v>
      </c>
      <c r="D22" s="89">
        <f ca="1"/>
        <v>1650938177</v>
      </c>
      <c r="E22" s="90">
        <f t="shared" ca="1" si="0"/>
        <v>1.3552999172724966E-2</v>
      </c>
      <c r="F22" s="90">
        <f t="shared" ca="1" si="0"/>
        <v>1.3748266266732352E-2</v>
      </c>
    </row>
    <row r="23" spans="1:6" x14ac:dyDescent="0.3">
      <c r="A23" s="87" t="s">
        <v>551</v>
      </c>
      <c r="B23" s="87" t="s">
        <v>552</v>
      </c>
      <c r="C23" s="89">
        <f ca="1"/>
        <v>1937142969</v>
      </c>
      <c r="D23" s="89">
        <f ca="1"/>
        <v>1592476459</v>
      </c>
      <c r="E23" s="90">
        <f t="shared" ca="1" si="0"/>
        <v>1.5328421932766761E-2</v>
      </c>
      <c r="F23" s="90">
        <f t="shared" ca="1" si="0"/>
        <v>1.3261423526845418E-2</v>
      </c>
    </row>
    <row r="24" spans="1:6" x14ac:dyDescent="0.3">
      <c r="A24" s="88" t="s">
        <v>72</v>
      </c>
      <c r="B24" s="88" t="s">
        <v>73</v>
      </c>
      <c r="C24" s="89">
        <f ca="1"/>
        <v>1418388518</v>
      </c>
      <c r="D24" s="89">
        <f ca="1"/>
        <v>1202939382</v>
      </c>
      <c r="E24" s="90">
        <f t="shared" ca="1" si="0"/>
        <v>1.1223568944794669E-2</v>
      </c>
      <c r="F24" s="90">
        <f t="shared" ca="1" si="0"/>
        <v>1.0017534973070322E-2</v>
      </c>
    </row>
    <row r="25" spans="1:6" x14ac:dyDescent="0.3">
      <c r="A25" s="87" t="s">
        <v>43</v>
      </c>
      <c r="B25" s="87" t="s">
        <v>44</v>
      </c>
      <c r="C25" s="89">
        <f ca="1"/>
        <v>1361980725</v>
      </c>
      <c r="D25" s="89">
        <f ca="1"/>
        <v>1191905947</v>
      </c>
      <c r="E25" s="90">
        <f t="shared" ca="1" si="0"/>
        <v>1.0777219622500448E-2</v>
      </c>
      <c r="F25" s="90">
        <f t="shared" ca="1" si="0"/>
        <v>9.9256535178287152E-3</v>
      </c>
    </row>
    <row r="26" spans="1:6" x14ac:dyDescent="0.3">
      <c r="A26" s="88" t="s">
        <v>37</v>
      </c>
      <c r="B26" s="88" t="s">
        <v>38</v>
      </c>
      <c r="C26" s="89">
        <f ca="1"/>
        <v>1329892936</v>
      </c>
      <c r="D26" s="89">
        <f ca="1"/>
        <v>1120381615</v>
      </c>
      <c r="E26" s="90">
        <f t="shared" ca="1" si="0"/>
        <v>1.0523312101706822E-2</v>
      </c>
      <c r="F26" s="90">
        <f t="shared" ca="1" si="0"/>
        <v>9.3300312379726458E-3</v>
      </c>
    </row>
    <row r="27" spans="1:6" x14ac:dyDescent="0.3">
      <c r="A27" s="87" t="s">
        <v>420</v>
      </c>
      <c r="B27" s="87" t="s">
        <v>421</v>
      </c>
      <c r="C27" s="89">
        <f ca="1"/>
        <v>1391723012</v>
      </c>
      <c r="D27" s="89">
        <f ca="1"/>
        <v>1090852807</v>
      </c>
      <c r="E27" s="90">
        <f t="shared" ca="1" si="0"/>
        <v>1.1012567416482216E-2</v>
      </c>
      <c r="F27" s="90">
        <f t="shared" ca="1" si="0"/>
        <v>9.0841286835469399E-3</v>
      </c>
    </row>
    <row r="28" spans="1:6" x14ac:dyDescent="0.3">
      <c r="A28" s="88" t="s">
        <v>345</v>
      </c>
      <c r="B28" s="88" t="s">
        <v>346</v>
      </c>
      <c r="C28" s="89">
        <f ca="1"/>
        <v>1166925937</v>
      </c>
      <c r="D28" s="89">
        <f ca="1"/>
        <v>1049281862</v>
      </c>
      <c r="E28" s="90">
        <f t="shared" ca="1" si="0"/>
        <v>9.2337702548919119E-3</v>
      </c>
      <c r="F28" s="90">
        <f t="shared" ca="1" si="0"/>
        <v>8.7379446599524062E-3</v>
      </c>
    </row>
    <row r="29" spans="1:6" x14ac:dyDescent="0.3">
      <c r="A29" s="87" t="s">
        <v>387</v>
      </c>
      <c r="B29" s="87" t="s">
        <v>388</v>
      </c>
      <c r="C29" s="89">
        <f ca="1"/>
        <v>1011227633</v>
      </c>
      <c r="D29" s="89">
        <f ca="1"/>
        <v>931200527</v>
      </c>
      <c r="E29" s="90">
        <f t="shared" ca="1" si="0"/>
        <v>8.0017448772502133E-3</v>
      </c>
      <c r="F29" s="90">
        <f t="shared" ca="1" si="0"/>
        <v>7.7546167211308527E-3</v>
      </c>
    </row>
    <row r="30" spans="1:6" x14ac:dyDescent="0.3">
      <c r="A30" s="88" t="s">
        <v>620</v>
      </c>
      <c r="B30" s="88" t="s">
        <v>621</v>
      </c>
      <c r="C30" s="89">
        <f ca="1"/>
        <v>1083844066</v>
      </c>
      <c r="D30" s="89">
        <f ca="1"/>
        <v>914892768</v>
      </c>
      <c r="E30" s="90">
        <f t="shared" ca="1" si="0"/>
        <v>8.5763515748916858E-3</v>
      </c>
      <c r="F30" s="90">
        <f t="shared" ca="1" si="0"/>
        <v>7.6188130816795489E-3</v>
      </c>
    </row>
    <row r="31" spans="1:6" x14ac:dyDescent="0.3">
      <c r="A31" s="87" t="s">
        <v>205</v>
      </c>
      <c r="B31" s="87" t="s">
        <v>206</v>
      </c>
      <c r="C31" s="89">
        <f ca="1"/>
        <v>1257675114</v>
      </c>
      <c r="D31" s="89">
        <f ca="1"/>
        <v>888564975</v>
      </c>
      <c r="E31" s="90">
        <f t="shared" ca="1" si="0"/>
        <v>9.9518595737331655E-3</v>
      </c>
      <c r="F31" s="90">
        <f t="shared" ca="1" si="0"/>
        <v>7.3995671320600731E-3</v>
      </c>
    </row>
    <row r="32" spans="1:6" x14ac:dyDescent="0.3">
      <c r="A32" s="88" t="s">
        <v>473</v>
      </c>
      <c r="B32" s="88" t="s">
        <v>474</v>
      </c>
      <c r="C32" s="89">
        <f ca="1"/>
        <v>958122685</v>
      </c>
      <c r="D32" s="89">
        <f ca="1"/>
        <v>886759378</v>
      </c>
      <c r="E32" s="90">
        <f t="shared" ca="1" si="0"/>
        <v>7.5815306428399084E-3</v>
      </c>
      <c r="F32" s="90">
        <f t="shared" ca="1" si="0"/>
        <v>7.3845309370818204E-3</v>
      </c>
    </row>
    <row r="33" spans="1:6" x14ac:dyDescent="0.3">
      <c r="A33" s="87" t="s">
        <v>78</v>
      </c>
      <c r="B33" s="87" t="s">
        <v>79</v>
      </c>
      <c r="C33" s="89">
        <f ca="1"/>
        <v>914404936</v>
      </c>
      <c r="D33" s="89">
        <f ca="1"/>
        <v>882272543</v>
      </c>
      <c r="E33" s="90">
        <f t="shared" ca="1" si="0"/>
        <v>7.2355963915498624E-3</v>
      </c>
      <c r="F33" s="90">
        <f t="shared" ca="1" si="0"/>
        <v>7.3471666050103504E-3</v>
      </c>
    </row>
    <row r="34" spans="1:6" x14ac:dyDescent="0.3">
      <c r="A34" s="88" t="s">
        <v>293</v>
      </c>
      <c r="B34" s="88" t="s">
        <v>294</v>
      </c>
      <c r="C34" s="89">
        <f ca="1"/>
        <v>935192179</v>
      </c>
      <c r="D34" s="89">
        <f ca="1"/>
        <v>881884158</v>
      </c>
      <c r="E34" s="90">
        <f t="shared" ca="1" si="0"/>
        <v>7.40008380245451E-3</v>
      </c>
      <c r="F34" s="90">
        <f t="shared" ca="1" si="0"/>
        <v>7.3439323104326415E-3</v>
      </c>
    </row>
    <row r="35" spans="1:6" x14ac:dyDescent="0.3">
      <c r="A35" s="87" t="s">
        <v>602</v>
      </c>
      <c r="B35" s="87" t="s">
        <v>603</v>
      </c>
      <c r="C35" s="89">
        <f ca="1"/>
        <v>705247106</v>
      </c>
      <c r="D35" s="89">
        <f ca="1"/>
        <v>872335906</v>
      </c>
      <c r="E35" s="90">
        <f t="shared" ca="1" si="0"/>
        <v>5.5805510386315142E-3</v>
      </c>
      <c r="F35" s="90">
        <f t="shared" ca="1" si="0"/>
        <v>7.2644187873300379E-3</v>
      </c>
    </row>
    <row r="36" spans="1:6" x14ac:dyDescent="0.3">
      <c r="A36" s="88" t="s">
        <v>135</v>
      </c>
      <c r="B36" s="88" t="s">
        <v>136</v>
      </c>
      <c r="C36" s="89">
        <f ca="1"/>
        <v>718906452</v>
      </c>
      <c r="D36" s="89">
        <f ca="1"/>
        <v>848026699</v>
      </c>
      <c r="E36" s="90">
        <f t="shared" ca="1" si="0"/>
        <v>5.6886361010994304E-3</v>
      </c>
      <c r="F36" s="90">
        <f t="shared" ca="1" si="0"/>
        <v>7.0619827087262813E-3</v>
      </c>
    </row>
    <row r="37" spans="1:6" x14ac:dyDescent="0.3">
      <c r="A37" s="87" t="s">
        <v>557</v>
      </c>
      <c r="B37" s="87" t="s">
        <v>558</v>
      </c>
      <c r="C37" s="89">
        <f ca="1"/>
        <v>935915365</v>
      </c>
      <c r="D37" s="89">
        <f ca="1"/>
        <v>846217183</v>
      </c>
      <c r="E37" s="90">
        <f t="shared" ca="1" si="0"/>
        <v>7.4058063021983428E-3</v>
      </c>
      <c r="F37" s="90">
        <f t="shared" ca="1" si="0"/>
        <v>7.0469138780889532E-3</v>
      </c>
    </row>
    <row r="38" spans="1:6" x14ac:dyDescent="0.3">
      <c r="A38" s="88" t="s">
        <v>46</v>
      </c>
      <c r="B38" s="88" t="s">
        <v>47</v>
      </c>
      <c r="C38" s="89">
        <f ca="1"/>
        <v>969703945</v>
      </c>
      <c r="D38" s="89">
        <f ca="1"/>
        <v>821433537</v>
      </c>
      <c r="E38" s="90">
        <f t="shared" ca="1" si="0"/>
        <v>7.673172015022529E-3</v>
      </c>
      <c r="F38" s="90">
        <f t="shared" ca="1" si="0"/>
        <v>6.8405268861256342E-3</v>
      </c>
    </row>
    <row r="39" spans="1:6" x14ac:dyDescent="0.3">
      <c r="A39" s="87" t="s">
        <v>569</v>
      </c>
      <c r="B39" s="87" t="s">
        <v>570</v>
      </c>
      <c r="C39" s="89">
        <f ca="1"/>
        <v>796666774</v>
      </c>
      <c r="D39" s="89">
        <f ca="1"/>
        <v>790721030</v>
      </c>
      <c r="E39" s="90">
        <f t="shared" ca="1" si="0"/>
        <v>6.3039458868604245E-3</v>
      </c>
      <c r="F39" s="90">
        <f t="shared" ca="1" si="0"/>
        <v>6.5847670219239584E-3</v>
      </c>
    </row>
    <row r="40" spans="1:6" x14ac:dyDescent="0.3">
      <c r="A40" s="88" t="s">
        <v>55</v>
      </c>
      <c r="B40" s="88" t="s">
        <v>56</v>
      </c>
      <c r="C40" s="89">
        <f ca="1"/>
        <v>1358034437</v>
      </c>
      <c r="D40" s="89">
        <f ca="1"/>
        <v>778495527</v>
      </c>
      <c r="E40" s="90">
        <f t="shared" ca="1" si="0"/>
        <v>1.0745993033394616E-2</v>
      </c>
      <c r="F40" s="90">
        <f t="shared" ca="1" si="0"/>
        <v>6.4829585636604512E-3</v>
      </c>
    </row>
    <row r="41" spans="1:6" x14ac:dyDescent="0.3">
      <c r="A41" s="87" t="s">
        <v>332</v>
      </c>
      <c r="B41" s="87" t="s">
        <v>333</v>
      </c>
      <c r="C41" s="89">
        <f ca="1"/>
        <v>672193341</v>
      </c>
      <c r="D41" s="89">
        <f ca="1"/>
        <v>705069102</v>
      </c>
      <c r="E41" s="90">
        <f t="shared" ca="1" si="0"/>
        <v>5.3189998446852719E-3</v>
      </c>
      <c r="F41" s="90">
        <f t="shared" ca="1" si="0"/>
        <v>5.8714965137921524E-3</v>
      </c>
    </row>
    <row r="42" spans="1:6" x14ac:dyDescent="0.3">
      <c r="A42" s="88" t="s">
        <v>28</v>
      </c>
      <c r="B42" s="88" t="s">
        <v>29</v>
      </c>
      <c r="C42" s="89">
        <f ca="1"/>
        <v>1071520507</v>
      </c>
      <c r="D42" s="89">
        <f ca="1"/>
        <v>683315016</v>
      </c>
      <c r="E42" s="90">
        <f t="shared" ca="1" si="0"/>
        <v>8.4788364636746438E-3</v>
      </c>
      <c r="F42" s="90">
        <f t="shared" ca="1" si="0"/>
        <v>5.6903383269599423E-3</v>
      </c>
    </row>
    <row r="43" spans="1:6" x14ac:dyDescent="0.3">
      <c r="A43" s="87" t="s">
        <v>252</v>
      </c>
      <c r="B43" s="87" t="s">
        <v>253</v>
      </c>
      <c r="C43" s="89">
        <f ca="1"/>
        <v>467809488</v>
      </c>
      <c r="D43" s="89">
        <f ca="1"/>
        <v>667655569</v>
      </c>
      <c r="E43" s="90">
        <f t="shared" ca="1" si="0"/>
        <v>3.7017305025851136E-3</v>
      </c>
      <c r="F43" s="90">
        <f t="shared" ca="1" si="0"/>
        <v>5.5599335365534366E-3</v>
      </c>
    </row>
    <row r="44" spans="1:6" x14ac:dyDescent="0.3">
      <c r="A44" s="88" t="s">
        <v>114</v>
      </c>
      <c r="B44" s="88" t="s">
        <v>115</v>
      </c>
      <c r="C44" s="89">
        <f ca="1"/>
        <v>439330226</v>
      </c>
      <c r="D44" s="89">
        <f ca="1"/>
        <v>667347651</v>
      </c>
      <c r="E44" s="90">
        <f t="shared" ca="1" si="0"/>
        <v>3.4763769012992134E-3</v>
      </c>
      <c r="F44" s="90">
        <f t="shared" ca="1" si="0"/>
        <v>5.5573693347490951E-3</v>
      </c>
    </row>
    <row r="45" spans="1:6" x14ac:dyDescent="0.3">
      <c r="A45" s="87" t="s">
        <v>52</v>
      </c>
      <c r="B45" s="87" t="s">
        <v>53</v>
      </c>
      <c r="C45" s="89">
        <f ca="1"/>
        <v>739663058</v>
      </c>
      <c r="D45" s="89">
        <f ca="1"/>
        <v>642497260</v>
      </c>
      <c r="E45" s="90">
        <f t="shared" ca="1" si="0"/>
        <v>5.8528810844340595E-3</v>
      </c>
      <c r="F45" s="90">
        <f t="shared" ca="1" si="0"/>
        <v>5.3504265206206839E-3</v>
      </c>
    </row>
    <row r="46" spans="1:6" x14ac:dyDescent="0.3">
      <c r="A46" s="88" t="s">
        <v>220</v>
      </c>
      <c r="B46" s="88" t="s">
        <v>221</v>
      </c>
      <c r="C46" s="89">
        <f ca="1"/>
        <v>778454260</v>
      </c>
      <c r="D46" s="89">
        <f ca="1"/>
        <v>604861873</v>
      </c>
      <c r="E46" s="90">
        <f t="shared" ca="1" si="0"/>
        <v>6.1598320534903793E-3</v>
      </c>
      <c r="F46" s="90">
        <f t="shared" ca="1" si="0"/>
        <v>5.0370160436349568E-3</v>
      </c>
    </row>
    <row r="47" spans="1:6" x14ac:dyDescent="0.3">
      <c r="A47" s="87" t="s">
        <v>542</v>
      </c>
      <c r="B47" s="87" t="s">
        <v>543</v>
      </c>
      <c r="C47" s="89">
        <f ca="1"/>
        <v>683098155</v>
      </c>
      <c r="D47" s="89">
        <f ca="1"/>
        <v>593659673</v>
      </c>
      <c r="E47" s="90">
        <f t="shared" ca="1" si="0"/>
        <v>5.4052885661504879E-3</v>
      </c>
      <c r="F47" s="90">
        <f t="shared" ca="1" si="0"/>
        <v>4.9437291898212967E-3</v>
      </c>
    </row>
    <row r="48" spans="1:6" x14ac:dyDescent="0.3">
      <c r="A48" s="88" t="s">
        <v>117</v>
      </c>
      <c r="B48" s="88" t="s">
        <v>118</v>
      </c>
      <c r="C48" s="89">
        <f ca="1"/>
        <v>401394035</v>
      </c>
      <c r="D48" s="89">
        <f ca="1"/>
        <v>507331541</v>
      </c>
      <c r="E48" s="90">
        <f t="shared" ca="1" si="0"/>
        <v>3.1761915502560665E-3</v>
      </c>
      <c r="F48" s="90">
        <f t="shared" ca="1" si="0"/>
        <v>4.2248275606868108E-3</v>
      </c>
    </row>
    <row r="49" spans="1:6" x14ac:dyDescent="0.3">
      <c r="A49" s="87" t="s">
        <v>284</v>
      </c>
      <c r="B49" s="87" t="s">
        <v>285</v>
      </c>
      <c r="C49" s="89">
        <f ca="1"/>
        <v>689068394</v>
      </c>
      <c r="D49" s="89">
        <f ca="1"/>
        <v>443739559</v>
      </c>
      <c r="E49" s="90">
        <f t="shared" ca="1" si="0"/>
        <v>5.4525304806069628E-3</v>
      </c>
      <c r="F49" s="90">
        <f t="shared" ca="1" si="0"/>
        <v>3.6952623030985792E-3</v>
      </c>
    </row>
    <row r="50" spans="1:6" x14ac:dyDescent="0.3">
      <c r="A50" s="88" t="s">
        <v>186</v>
      </c>
      <c r="B50" s="88" t="s">
        <v>187</v>
      </c>
      <c r="C50" s="89">
        <f ca="1"/>
        <v>383703984</v>
      </c>
      <c r="D50" s="89">
        <f ca="1"/>
        <v>377601386</v>
      </c>
      <c r="E50" s="90">
        <f t="shared" ca="1" si="0"/>
        <v>3.0362119152577563E-3</v>
      </c>
      <c r="F50" s="90">
        <f t="shared" ca="1" si="0"/>
        <v>3.1444935187389402E-3</v>
      </c>
    </row>
    <row r="51" spans="1:6" x14ac:dyDescent="0.3">
      <c r="A51" s="87" t="s">
        <v>581</v>
      </c>
      <c r="B51" s="87" t="s">
        <v>582</v>
      </c>
      <c r="C51" s="89">
        <f ca="1"/>
        <v>275890259</v>
      </c>
      <c r="D51" s="89">
        <f ca="1"/>
        <v>334412816</v>
      </c>
      <c r="E51" s="90">
        <f t="shared" ca="1" si="0"/>
        <v>2.1830925051832366E-3</v>
      </c>
      <c r="F51" s="90">
        <f t="shared" ca="1" si="0"/>
        <v>2.7848386459451125E-3</v>
      </c>
    </row>
    <row r="52" spans="1:6" x14ac:dyDescent="0.3">
      <c r="A52" s="88" t="s">
        <v>459</v>
      </c>
      <c r="B52" s="88" t="s">
        <v>460</v>
      </c>
      <c r="C52" s="89">
        <f ca="1"/>
        <v>378364331</v>
      </c>
      <c r="D52" s="89">
        <f ca="1"/>
        <v>321846701</v>
      </c>
      <c r="E52" s="90">
        <f t="shared" ca="1" si="0"/>
        <v>2.9939597658457718E-3</v>
      </c>
      <c r="F52" s="90">
        <f t="shared" ca="1" si="0"/>
        <v>2.6801937250357697E-3</v>
      </c>
    </row>
    <row r="53" spans="1:6" x14ac:dyDescent="0.3">
      <c r="A53" s="87" t="s">
        <v>226</v>
      </c>
      <c r="B53" s="87" t="s">
        <v>227</v>
      </c>
      <c r="C53" s="89">
        <f ca="1"/>
        <v>452919443</v>
      </c>
      <c r="D53" s="89">
        <f ca="1"/>
        <v>321638245</v>
      </c>
      <c r="E53" s="90">
        <f t="shared" ca="1" si="0"/>
        <v>3.5839070398823543E-3</v>
      </c>
      <c r="F53" s="90">
        <f t="shared" ca="1" si="0"/>
        <v>2.6784577977716092E-3</v>
      </c>
    </row>
    <row r="54" spans="1:6" x14ac:dyDescent="0.3">
      <c r="A54" s="88" t="s">
        <v>40</v>
      </c>
      <c r="B54" s="88" t="s">
        <v>41</v>
      </c>
      <c r="C54" s="89">
        <f ca="1"/>
        <v>343130144</v>
      </c>
      <c r="D54" s="89">
        <f ca="1"/>
        <v>318208407</v>
      </c>
      <c r="E54" s="90">
        <f t="shared" ca="1" si="0"/>
        <v>2.7151551069037371E-3</v>
      </c>
      <c r="F54" s="90">
        <f t="shared" ca="1" si="0"/>
        <v>2.6498956585390893E-3</v>
      </c>
    </row>
    <row r="55" spans="1:6" x14ac:dyDescent="0.3">
      <c r="A55" s="87" t="s">
        <v>61</v>
      </c>
      <c r="B55" s="87" t="s">
        <v>62</v>
      </c>
      <c r="C55" s="89">
        <f ca="1"/>
        <v>215877794</v>
      </c>
      <c r="D55" s="89">
        <f ca="1"/>
        <v>300894106</v>
      </c>
      <c r="E55" s="90">
        <f t="shared" ca="1" si="0"/>
        <v>1.7082197676174229E-3</v>
      </c>
      <c r="F55" s="90">
        <f t="shared" ca="1" si="0"/>
        <v>2.5057099926633947E-3</v>
      </c>
    </row>
    <row r="56" spans="1:6" x14ac:dyDescent="0.3">
      <c r="A56" s="88" t="s">
        <v>393</v>
      </c>
      <c r="B56" s="88" t="s">
        <v>394</v>
      </c>
      <c r="C56" s="89">
        <f ca="1"/>
        <v>560332007</v>
      </c>
      <c r="D56" s="89">
        <f ca="1"/>
        <v>300000000</v>
      </c>
      <c r="E56" s="90">
        <f t="shared" ca="1" si="0"/>
        <v>4.4338521023896708E-3</v>
      </c>
      <c r="F56" s="90">
        <f t="shared" ca="1" si="0"/>
        <v>2.4982642823818506E-3</v>
      </c>
    </row>
    <row r="57" spans="1:6" x14ac:dyDescent="0.3">
      <c r="A57" s="87" t="s">
        <v>164</v>
      </c>
      <c r="B57" s="87" t="s">
        <v>165</v>
      </c>
      <c r="C57" s="89">
        <f ca="1"/>
        <v>348361171</v>
      </c>
      <c r="D57" s="89">
        <f ca="1"/>
        <v>258032226</v>
      </c>
      <c r="E57" s="90">
        <f t="shared" ca="1" si="0"/>
        <v>2.7565477094534021E-3</v>
      </c>
      <c r="F57" s="90">
        <f t="shared" ca="1" si="0"/>
        <v>2.1487756463976046E-3</v>
      </c>
    </row>
    <row r="58" spans="1:6" x14ac:dyDescent="0.3">
      <c r="A58" s="88" t="s">
        <v>623</v>
      </c>
      <c r="B58" s="88" t="s">
        <v>624</v>
      </c>
      <c r="C58" s="89">
        <f ca="1"/>
        <v>246609390</v>
      </c>
      <c r="D58" s="89">
        <f ca="1"/>
        <v>250743096</v>
      </c>
      <c r="E58" s="90">
        <f t="shared" ca="1" si="0"/>
        <v>1.9513958664876595E-3</v>
      </c>
      <c r="F58" s="90">
        <f t="shared" ca="1" si="0"/>
        <v>2.0880750693021448E-3</v>
      </c>
    </row>
    <row r="59" spans="1:6" x14ac:dyDescent="0.3">
      <c r="A59" s="87" t="s">
        <v>208</v>
      </c>
      <c r="B59" s="87" t="s">
        <v>209</v>
      </c>
      <c r="C59" s="89">
        <f ca="1"/>
        <v>230358293</v>
      </c>
      <c r="D59" s="89">
        <f ca="1"/>
        <v>215273632</v>
      </c>
      <c r="E59" s="90">
        <f t="shared" ca="1" si="0"/>
        <v>1.8228025330720501E-3</v>
      </c>
      <c r="F59" s="90">
        <f t="shared" ca="1" si="0"/>
        <v>1.7927014192140485E-3</v>
      </c>
    </row>
    <row r="60" spans="1:6" x14ac:dyDescent="0.3">
      <c r="A60" s="88" t="s">
        <v>676</v>
      </c>
      <c r="B60" s="88" t="s">
        <v>677</v>
      </c>
      <c r="C60" s="89">
        <f ca="1"/>
        <v>173966767</v>
      </c>
      <c r="D60" s="89">
        <f ca="1"/>
        <v>215072005</v>
      </c>
      <c r="E60" s="90">
        <f t="shared" ca="1" si="0"/>
        <v>1.3765819299501197E-3</v>
      </c>
      <c r="F60" s="90">
        <f t="shared" ca="1" si="0"/>
        <v>1.7910223607725026E-3</v>
      </c>
    </row>
    <row r="61" spans="1:6" x14ac:dyDescent="0.3">
      <c r="A61" s="87" t="s">
        <v>674</v>
      </c>
      <c r="B61" s="87" t="s">
        <v>675</v>
      </c>
      <c r="C61" s="89">
        <f ca="1"/>
        <v>120666257</v>
      </c>
      <c r="D61" s="89">
        <f ca="1"/>
        <v>199361212</v>
      </c>
      <c r="E61" s="90">
        <f t="shared" ca="1" si="0"/>
        <v>9.5482023265349954E-4</v>
      </c>
      <c r="F61" s="90">
        <f t="shared" ca="1" si="0"/>
        <v>1.6601899841065199E-3</v>
      </c>
    </row>
    <row r="62" spans="1:6" x14ac:dyDescent="0.3">
      <c r="A62" s="88" t="s">
        <v>554</v>
      </c>
      <c r="B62" s="88" t="s">
        <v>555</v>
      </c>
      <c r="C62" s="89">
        <f ca="1"/>
        <v>257947893</v>
      </c>
      <c r="D62" s="89">
        <f ca="1"/>
        <v>192897948</v>
      </c>
      <c r="E62" s="90">
        <f t="shared" ca="1" si="0"/>
        <v>2.0411163263872518E-3</v>
      </c>
      <c r="F62" s="90">
        <f t="shared" ca="1" si="0"/>
        <v>1.6063668454438383E-3</v>
      </c>
    </row>
    <row r="63" spans="1:6" x14ac:dyDescent="0.3">
      <c r="A63" s="87" t="s">
        <v>87</v>
      </c>
      <c r="B63" s="87" t="s">
        <v>88</v>
      </c>
      <c r="C63" s="89">
        <f ca="1"/>
        <v>239943672</v>
      </c>
      <c r="D63" s="89">
        <f ca="1"/>
        <v>191832537</v>
      </c>
      <c r="E63" s="90">
        <f t="shared" ca="1" si="0"/>
        <v>1.8986506950553293E-3</v>
      </c>
      <c r="F63" s="90">
        <f t="shared" ca="1" si="0"/>
        <v>1.5974945846193159E-3</v>
      </c>
    </row>
    <row r="64" spans="1:6" x14ac:dyDescent="0.3">
      <c r="A64" s="88" t="s">
        <v>608</v>
      </c>
      <c r="B64" s="88" t="s">
        <v>609</v>
      </c>
      <c r="C64" s="89">
        <f ca="1"/>
        <v>173467538</v>
      </c>
      <c r="D64" s="89">
        <f ca="1"/>
        <v>184664437</v>
      </c>
      <c r="E64" s="90">
        <f t="shared" ca="1" si="0"/>
        <v>1.3726315799369641E-3</v>
      </c>
      <c r="F64" s="90">
        <f t="shared" ca="1" si="0"/>
        <v>1.5378018906108447E-3</v>
      </c>
    </row>
    <row r="65" spans="1:6" x14ac:dyDescent="0.3">
      <c r="A65" s="87" t="s">
        <v>232</v>
      </c>
      <c r="B65" s="87" t="s">
        <v>233</v>
      </c>
      <c r="C65" s="89">
        <f ca="1"/>
        <v>187133380</v>
      </c>
      <c r="D65" s="89">
        <f ca="1"/>
        <v>178851124</v>
      </c>
      <c r="E65" s="90">
        <f t="shared" ca="1" si="0"/>
        <v>1.4807680446144588E-3</v>
      </c>
      <c r="F65" s="90">
        <f t="shared" ca="1" si="0"/>
        <v>1.4893912498434912E-3</v>
      </c>
    </row>
    <row r="66" spans="1:6" x14ac:dyDescent="0.3">
      <c r="A66" s="88" t="s">
        <v>84</v>
      </c>
      <c r="B66" s="88" t="s">
        <v>85</v>
      </c>
      <c r="C66" s="89">
        <f ca="1"/>
        <v>163513061</v>
      </c>
      <c r="D66" s="89">
        <f ca="1"/>
        <v>175733411</v>
      </c>
      <c r="E66" s="90">
        <f t="shared" ca="1" si="0"/>
        <v>1.2938627817543546E-3</v>
      </c>
      <c r="F66" s="90">
        <f t="shared" ca="1" si="0"/>
        <v>1.4634283464080992E-3</v>
      </c>
    </row>
    <row r="67" spans="1:6" x14ac:dyDescent="0.3">
      <c r="A67" s="87" t="s">
        <v>669</v>
      </c>
      <c r="B67" s="87" t="s">
        <v>670</v>
      </c>
      <c r="C67" s="89">
        <f ca="1"/>
        <v>140197294</v>
      </c>
      <c r="D67" s="89">
        <f ca="1"/>
        <v>161101341</v>
      </c>
      <c r="E67" s="90">
        <f t="shared" ca="1" si="0"/>
        <v>1.1093674089391128E-3</v>
      </c>
      <c r="F67" s="90">
        <f t="shared" ca="1" si="0"/>
        <v>1.341579086880396E-3</v>
      </c>
    </row>
    <row r="68" spans="1:6" x14ac:dyDescent="0.3">
      <c r="A68" s="88" t="s">
        <v>423</v>
      </c>
      <c r="B68" s="88" t="s">
        <v>424</v>
      </c>
      <c r="C68" s="89">
        <f ca="1"/>
        <v>172724696</v>
      </c>
      <c r="D68" s="89">
        <f ca="1"/>
        <v>157621582</v>
      </c>
      <c r="E68" s="90">
        <f t="shared" ca="1" si="0"/>
        <v>1.3667535441969081E-3</v>
      </c>
      <c r="F68" s="90">
        <f t="shared" ca="1" si="0"/>
        <v>1.3126012281437401E-3</v>
      </c>
    </row>
    <row r="69" spans="1:6" x14ac:dyDescent="0.3">
      <c r="A69" s="87" t="s">
        <v>177</v>
      </c>
      <c r="B69" s="87" t="s">
        <v>178</v>
      </c>
      <c r="C69" s="89">
        <f ca="1"/>
        <v>178932241</v>
      </c>
      <c r="D69" s="89">
        <f ca="1"/>
        <v>146947489</v>
      </c>
      <c r="E69" s="90">
        <f t="shared" ca="1" si="0"/>
        <v>1.4158732377091306E-3</v>
      </c>
      <c r="F69" s="90">
        <f t="shared" ca="1" si="0"/>
        <v>1.2237122105146661E-3</v>
      </c>
    </row>
    <row r="70" spans="1:6" x14ac:dyDescent="0.3">
      <c r="A70" s="88" t="s">
        <v>174</v>
      </c>
      <c r="B70" s="88" t="s">
        <v>175</v>
      </c>
      <c r="C70" s="89">
        <f ca="1"/>
        <v>178027001</v>
      </c>
      <c r="D70" s="89">
        <f ca="1"/>
        <v>144173007</v>
      </c>
      <c r="E70" s="90">
        <f t="shared" ref="E70:F133" ca="1" si="1">C70/C$149</f>
        <v>1.4087101625554258E-3</v>
      </c>
      <c r="F70" s="90">
        <f t="shared" ca="1" si="1"/>
        <v>1.2006075795722949E-3</v>
      </c>
    </row>
    <row r="71" spans="1:6" x14ac:dyDescent="0.3">
      <c r="A71" s="87" t="s">
        <v>64</v>
      </c>
      <c r="B71" s="87" t="s">
        <v>65</v>
      </c>
      <c r="C71" s="89">
        <f ca="1"/>
        <v>123226171</v>
      </c>
      <c r="D71" s="89">
        <f ca="1"/>
        <v>143056485</v>
      </c>
      <c r="E71" s="90">
        <f t="shared" ca="1" si="1"/>
        <v>9.7507658054910842E-4</v>
      </c>
      <c r="F71" s="90">
        <f t="shared" ca="1" si="1"/>
        <v>1.1913096894619832E-3</v>
      </c>
    </row>
    <row r="72" spans="1:6" x14ac:dyDescent="0.3">
      <c r="A72" s="88" t="s">
        <v>241</v>
      </c>
      <c r="B72" s="88" t="s">
        <v>242</v>
      </c>
      <c r="C72" s="89">
        <f ca="1"/>
        <v>216307198</v>
      </c>
      <c r="D72" s="89">
        <f ca="1"/>
        <v>131264959</v>
      </c>
      <c r="E72" s="90">
        <f t="shared" ca="1" si="1"/>
        <v>1.7116175992679262E-3</v>
      </c>
      <c r="F72" s="90">
        <f t="shared" ca="1" si="1"/>
        <v>1.0931151953267268E-3</v>
      </c>
    </row>
    <row r="73" spans="1:6" x14ac:dyDescent="0.3">
      <c r="A73" s="87" t="s">
        <v>305</v>
      </c>
      <c r="B73" s="87" t="s">
        <v>306</v>
      </c>
      <c r="C73" s="89">
        <f ca="1"/>
        <v>183679653</v>
      </c>
      <c r="D73" s="89">
        <f ca="1"/>
        <v>129400775</v>
      </c>
      <c r="E73" s="90">
        <f t="shared" ca="1" si="1"/>
        <v>1.4534390422931082E-3</v>
      </c>
      <c r="F73" s="90">
        <f t="shared" ca="1" si="1"/>
        <v>1.0775911143167676E-3</v>
      </c>
    </row>
    <row r="74" spans="1:6" x14ac:dyDescent="0.3">
      <c r="A74" s="88" t="s">
        <v>628</v>
      </c>
      <c r="B74" s="88" t="s">
        <v>629</v>
      </c>
      <c r="C74" s="89">
        <f ca="1"/>
        <v>125944781</v>
      </c>
      <c r="D74" s="89">
        <f ca="1"/>
        <v>124425211</v>
      </c>
      <c r="E74" s="90">
        <f t="shared" ca="1" si="1"/>
        <v>9.9658867429619578E-4</v>
      </c>
      <c r="F74" s="90">
        <f t="shared" ca="1" si="1"/>
        <v>1.0361568682304178E-3</v>
      </c>
    </row>
    <row r="75" spans="1:6" x14ac:dyDescent="0.3">
      <c r="A75" s="87" t="s">
        <v>575</v>
      </c>
      <c r="B75" s="87" t="s">
        <v>576</v>
      </c>
      <c r="C75" s="89">
        <f ca="1"/>
        <v>181010365</v>
      </c>
      <c r="D75" s="89">
        <f ca="1"/>
        <v>123148493</v>
      </c>
      <c r="E75" s="90">
        <f t="shared" ca="1" si="1"/>
        <v>1.4323172286846925E-3</v>
      </c>
      <c r="F75" s="90">
        <f t="shared" ca="1" si="1"/>
        <v>1.0255249383035044E-3</v>
      </c>
    </row>
    <row r="76" spans="1:6" x14ac:dyDescent="0.3">
      <c r="A76" s="88" t="s">
        <v>81</v>
      </c>
      <c r="B76" s="88" t="s">
        <v>82</v>
      </c>
      <c r="C76" s="89">
        <f ca="1"/>
        <v>109316549</v>
      </c>
      <c r="D76" s="89">
        <f ca="1"/>
        <v>122962437</v>
      </c>
      <c r="E76" s="90">
        <f t="shared" ca="1" si="1"/>
        <v>8.6501110869012608E-4</v>
      </c>
      <c r="F76" s="90">
        <f t="shared" ca="1" si="1"/>
        <v>1.0239755481057616E-3</v>
      </c>
    </row>
    <row r="77" spans="1:6" x14ac:dyDescent="0.3">
      <c r="A77" s="87" t="s">
        <v>229</v>
      </c>
      <c r="B77" s="87" t="s">
        <v>230</v>
      </c>
      <c r="C77" s="89">
        <f ca="1"/>
        <v>46338989</v>
      </c>
      <c r="D77" s="89">
        <f ca="1"/>
        <v>119555866</v>
      </c>
      <c r="E77" s="90">
        <f t="shared" ca="1" si="1"/>
        <v>3.6667586579658266E-4</v>
      </c>
      <c r="F77" s="90">
        <f t="shared" ca="1" si="1"/>
        <v>9.956071659234355E-4</v>
      </c>
    </row>
    <row r="78" spans="1:6" x14ac:dyDescent="0.3">
      <c r="A78" s="88" t="s">
        <v>93</v>
      </c>
      <c r="B78" s="88" t="s">
        <v>94</v>
      </c>
      <c r="C78" s="89">
        <f ca="1"/>
        <v>53744269</v>
      </c>
      <c r="D78" s="89">
        <f ca="1"/>
        <v>109553337</v>
      </c>
      <c r="E78" s="90">
        <f t="shared" ca="1" si="1"/>
        <v>4.2527311865132487E-4</v>
      </c>
      <c r="F78" s="90">
        <f t="shared" ca="1" si="1"/>
        <v>9.123106294761401E-4</v>
      </c>
    </row>
    <row r="79" spans="1:6" x14ac:dyDescent="0.3">
      <c r="A79" s="87" t="s">
        <v>381</v>
      </c>
      <c r="B79" s="87" t="s">
        <v>382</v>
      </c>
      <c r="C79" s="89">
        <f ca="1"/>
        <v>146392934</v>
      </c>
      <c r="D79" s="89">
        <f ca="1"/>
        <v>108792952</v>
      </c>
      <c r="E79" s="90">
        <f t="shared" ca="1" si="1"/>
        <v>1.1583928993563494E-3</v>
      </c>
      <c r="F79" s="90">
        <f t="shared" ca="1" si="1"/>
        <v>9.0597848718827702E-4</v>
      </c>
    </row>
    <row r="80" spans="1:6" x14ac:dyDescent="0.3">
      <c r="A80" s="88" t="s">
        <v>449</v>
      </c>
      <c r="B80" s="88" t="s">
        <v>450</v>
      </c>
      <c r="C80" s="89">
        <f ca="1"/>
        <v>133694804</v>
      </c>
      <c r="D80" s="89">
        <f ca="1"/>
        <v>108478131</v>
      </c>
      <c r="E80" s="90">
        <f t="shared" ca="1" si="1"/>
        <v>1.0579138446288594E-3</v>
      </c>
      <c r="F80" s="90">
        <f t="shared" ca="1" si="1"/>
        <v>9.0335680032279785E-4</v>
      </c>
    </row>
    <row r="81" spans="1:6" x14ac:dyDescent="0.3">
      <c r="A81" s="87" t="s">
        <v>287</v>
      </c>
      <c r="B81" s="87" t="s">
        <v>288</v>
      </c>
      <c r="C81" s="89">
        <f ca="1"/>
        <v>118265350</v>
      </c>
      <c r="D81" s="89">
        <f ca="1"/>
        <v>108435542</v>
      </c>
      <c r="E81" s="90">
        <f t="shared" ca="1" si="1"/>
        <v>9.3582209152180424E-4</v>
      </c>
      <c r="F81" s="90">
        <f t="shared" ca="1" si="1"/>
        <v>9.0300213839772337E-4</v>
      </c>
    </row>
    <row r="82" spans="1:6" x14ac:dyDescent="0.3">
      <c r="A82" s="88" t="s">
        <v>299</v>
      </c>
      <c r="B82" s="88" t="s">
        <v>300</v>
      </c>
      <c r="C82" s="89">
        <f ca="1"/>
        <v>140275689</v>
      </c>
      <c r="D82" s="89">
        <f ca="1"/>
        <v>101433842</v>
      </c>
      <c r="E82" s="90">
        <f t="shared" ca="1" si="1"/>
        <v>1.109987740869512E-3</v>
      </c>
      <c r="F82" s="90">
        <f t="shared" ca="1" si="1"/>
        <v>8.4469514831121337E-4</v>
      </c>
    </row>
    <row r="83" spans="1:6" x14ac:dyDescent="0.3">
      <c r="A83" s="87" t="s">
        <v>67</v>
      </c>
      <c r="B83" s="87" t="s">
        <v>68</v>
      </c>
      <c r="C83" s="89">
        <f ca="1"/>
        <v>123045872</v>
      </c>
      <c r="D83" s="89">
        <f ca="1"/>
        <v>100910325</v>
      </c>
      <c r="E83" s="90">
        <f t="shared" ca="1" si="1"/>
        <v>9.7364989228175634E-4</v>
      </c>
      <c r="F83" s="90">
        <f t="shared" ca="1" si="1"/>
        <v>8.4033553557014769E-4</v>
      </c>
    </row>
    <row r="84" spans="1:6" x14ac:dyDescent="0.3">
      <c r="A84" s="88" t="s">
        <v>144</v>
      </c>
      <c r="B84" s="88" t="s">
        <v>145</v>
      </c>
      <c r="C84" s="89">
        <f ca="1"/>
        <v>96388846</v>
      </c>
      <c r="D84" s="89">
        <f ca="1"/>
        <v>100254242</v>
      </c>
      <c r="E84" s="90">
        <f t="shared" ca="1" si="1"/>
        <v>7.627154653758949E-4</v>
      </c>
      <c r="F84" s="90">
        <f t="shared" ca="1" si="1"/>
        <v>8.3487197315288786E-4</v>
      </c>
    </row>
    <row r="85" spans="1:6" x14ac:dyDescent="0.3">
      <c r="A85" s="87" t="s">
        <v>254</v>
      </c>
      <c r="B85" s="87" t="s">
        <v>255</v>
      </c>
      <c r="C85" s="89">
        <f ca="1"/>
        <v>90567038</v>
      </c>
      <c r="D85" s="89">
        <f ca="1"/>
        <v>98997841</v>
      </c>
      <c r="E85" s="90">
        <f t="shared" ca="1" si="1"/>
        <v>7.1664807083473496E-4</v>
      </c>
      <c r="F85" s="90">
        <f t="shared" ca="1" si="1"/>
        <v>8.2440923401072509E-4</v>
      </c>
    </row>
    <row r="86" spans="1:6" x14ac:dyDescent="0.3">
      <c r="A86" s="88" t="s">
        <v>90</v>
      </c>
      <c r="B86" s="88" t="s">
        <v>91</v>
      </c>
      <c r="C86" s="89">
        <f ca="1"/>
        <v>70046989</v>
      </c>
      <c r="D86" s="89">
        <f ca="1"/>
        <v>98312485</v>
      </c>
      <c r="E86" s="90">
        <f t="shared" ca="1" si="1"/>
        <v>5.5427493979246509E-4</v>
      </c>
      <c r="F86" s="90">
        <f t="shared" ca="1" si="1"/>
        <v>8.187018992923381E-4</v>
      </c>
    </row>
    <row r="87" spans="1:6" x14ac:dyDescent="0.3">
      <c r="A87" s="87" t="s">
        <v>211</v>
      </c>
      <c r="B87" s="87" t="s">
        <v>212</v>
      </c>
      <c r="C87" s="89">
        <f ca="1"/>
        <v>76457410</v>
      </c>
      <c r="D87" s="89">
        <f ca="1"/>
        <v>97867400</v>
      </c>
      <c r="E87" s="90">
        <f t="shared" ca="1" si="1"/>
        <v>6.0499997115418935E-4</v>
      </c>
      <c r="F87" s="90">
        <f t="shared" ca="1" si="1"/>
        <v>8.1499543276525831E-4</v>
      </c>
    </row>
    <row r="88" spans="1:6" x14ac:dyDescent="0.3">
      <c r="A88" s="88" t="s">
        <v>290</v>
      </c>
      <c r="B88" s="88" t="s">
        <v>291</v>
      </c>
      <c r="C88" s="89">
        <f ca="1"/>
        <v>85471621</v>
      </c>
      <c r="D88" s="89">
        <f ca="1"/>
        <v>97660795</v>
      </c>
      <c r="E88" s="90">
        <f t="shared" ca="1" si="1"/>
        <v>6.7632853688742278E-4</v>
      </c>
      <c r="F88" s="90">
        <f t="shared" ca="1" si="1"/>
        <v>8.1327491979172001E-4</v>
      </c>
    </row>
    <row r="89" spans="1:6" x14ac:dyDescent="0.3">
      <c r="A89" s="87" t="s">
        <v>278</v>
      </c>
      <c r="B89" s="87" t="s">
        <v>279</v>
      </c>
      <c r="C89" s="89">
        <f ca="1"/>
        <v>121713827</v>
      </c>
      <c r="D89" s="89">
        <f ca="1"/>
        <v>96737872</v>
      </c>
      <c r="E89" s="90">
        <f t="shared" ca="1" si="1"/>
        <v>9.6310955110912066E-4</v>
      </c>
      <c r="F89" s="90">
        <f t="shared" ca="1" si="1"/>
        <v>8.0558923457075768E-4</v>
      </c>
    </row>
    <row r="90" spans="1:6" x14ac:dyDescent="0.3">
      <c r="A90" s="88" t="s">
        <v>155</v>
      </c>
      <c r="B90" s="88" t="s">
        <v>156</v>
      </c>
      <c r="C90" s="89">
        <f ca="1"/>
        <v>72268053</v>
      </c>
      <c r="D90" s="89">
        <f ca="1"/>
        <v>95879390</v>
      </c>
      <c r="E90" s="90">
        <f t="shared" ca="1" si="1"/>
        <v>5.7185000093999303E-4</v>
      </c>
      <c r="F90" s="90">
        <f t="shared" ca="1" si="1"/>
        <v>7.9844018484519859E-4</v>
      </c>
    </row>
    <row r="91" spans="1:6" x14ac:dyDescent="0.3">
      <c r="A91" s="87" t="s">
        <v>308</v>
      </c>
      <c r="B91" s="87" t="s">
        <v>309</v>
      </c>
      <c r="C91" s="89">
        <f ca="1"/>
        <v>58625389</v>
      </c>
      <c r="D91" s="89">
        <f ca="1"/>
        <v>95091701</v>
      </c>
      <c r="E91" s="90">
        <f t="shared" ca="1" si="1"/>
        <v>4.6389694149858243E-4</v>
      </c>
      <c r="F91" s="90">
        <f t="shared" ca="1" si="1"/>
        <v>7.9188066719744824E-4</v>
      </c>
    </row>
    <row r="92" spans="1:6" x14ac:dyDescent="0.3">
      <c r="A92" s="88" t="s">
        <v>302</v>
      </c>
      <c r="B92" s="88" t="s">
        <v>303</v>
      </c>
      <c r="C92" s="89">
        <f ca="1"/>
        <v>76520582</v>
      </c>
      <c r="D92" s="89">
        <f ca="1"/>
        <v>92792908</v>
      </c>
      <c r="E92" s="90">
        <f t="shared" ca="1" si="1"/>
        <v>6.0549984498169346E-4</v>
      </c>
      <c r="F92" s="90">
        <f t="shared" ca="1" si="1"/>
        <v>7.7273735904915023E-4</v>
      </c>
    </row>
    <row r="93" spans="1:6" x14ac:dyDescent="0.3">
      <c r="A93" s="87" t="s">
        <v>96</v>
      </c>
      <c r="B93" s="87" t="s">
        <v>97</v>
      </c>
      <c r="C93" s="89">
        <f ca="1"/>
        <v>94189915</v>
      </c>
      <c r="D93" s="89">
        <f ca="1"/>
        <v>91870998</v>
      </c>
      <c r="E93" s="90">
        <f t="shared" ca="1" si="1"/>
        <v>7.4531554048215271E-4</v>
      </c>
      <c r="F93" s="90">
        <f t="shared" ca="1" si="1"/>
        <v>7.6506010963391471E-4</v>
      </c>
    </row>
    <row r="94" spans="1:6" x14ac:dyDescent="0.3">
      <c r="A94" s="88" t="s">
        <v>223</v>
      </c>
      <c r="B94" s="88" t="s">
        <v>224</v>
      </c>
      <c r="C94" s="89">
        <f ca="1"/>
        <v>76974150</v>
      </c>
      <c r="D94" s="89">
        <f ca="1"/>
        <v>89716963</v>
      </c>
      <c r="E94" s="90">
        <f t="shared" ca="1" si="1"/>
        <v>6.0908888398937718E-4</v>
      </c>
      <c r="F94" s="90">
        <f t="shared" ca="1" si="1"/>
        <v>7.4712228062224671E-4</v>
      </c>
    </row>
    <row r="95" spans="1:6" x14ac:dyDescent="0.3">
      <c r="A95" s="87" t="s">
        <v>412</v>
      </c>
      <c r="B95" s="87" t="s">
        <v>413</v>
      </c>
      <c r="C95" s="89">
        <f ca="1"/>
        <v>123594163</v>
      </c>
      <c r="D95" s="89">
        <f ca="1"/>
        <v>80774272</v>
      </c>
      <c r="E95" s="90">
        <f t="shared" ca="1" si="1"/>
        <v>9.7798846507913596E-4</v>
      </c>
      <c r="F95" s="90">
        <f t="shared" ca="1" si="1"/>
        <v>6.7265159557665464E-4</v>
      </c>
    </row>
    <row r="96" spans="1:6" x14ac:dyDescent="0.3">
      <c r="A96" s="88" t="s">
        <v>120</v>
      </c>
      <c r="B96" s="88" t="s">
        <v>121</v>
      </c>
      <c r="C96" s="89">
        <f ca="1"/>
        <v>88519478</v>
      </c>
      <c r="D96" s="89">
        <f ca="1"/>
        <v>79424657</v>
      </c>
      <c r="E96" s="90">
        <f t="shared" ca="1" si="1"/>
        <v>7.0044592978736663E-4</v>
      </c>
      <c r="F96" s="90">
        <f t="shared" ca="1" si="1"/>
        <v>6.614126124117654E-4</v>
      </c>
    </row>
    <row r="97" spans="1:6" x14ac:dyDescent="0.3">
      <c r="A97" s="87" t="s">
        <v>457</v>
      </c>
      <c r="B97" s="87" t="s">
        <v>458</v>
      </c>
      <c r="C97" s="89">
        <f ca="1"/>
        <v>43658058</v>
      </c>
      <c r="D97" s="89">
        <f ca="1"/>
        <v>71871307</v>
      </c>
      <c r="E97" s="90">
        <f t="shared" ca="1" si="1"/>
        <v>3.4546192227343203E-4</v>
      </c>
      <c r="F97" s="90">
        <f t="shared" ca="1" si="1"/>
        <v>5.9851173068733554E-4</v>
      </c>
    </row>
    <row r="98" spans="1:6" x14ac:dyDescent="0.3">
      <c r="A98" s="88" t="s">
        <v>327</v>
      </c>
      <c r="B98" s="88" t="s">
        <v>328</v>
      </c>
      <c r="C98" s="89">
        <f ca="1"/>
        <v>32189294</v>
      </c>
      <c r="D98" s="89">
        <f ca="1"/>
        <v>66380661</v>
      </c>
      <c r="E98" s="90">
        <f t="shared" ca="1" si="1"/>
        <v>2.5471071988279124E-4</v>
      </c>
      <c r="F98" s="90">
        <f t="shared" ca="1" si="1"/>
        <v>5.5278811472399291E-4</v>
      </c>
    </row>
    <row r="99" spans="1:6" x14ac:dyDescent="0.3">
      <c r="A99" s="87" t="s">
        <v>235</v>
      </c>
      <c r="B99" s="87" t="s">
        <v>236</v>
      </c>
      <c r="C99" s="89">
        <f ca="1"/>
        <v>49618244</v>
      </c>
      <c r="D99" s="89">
        <f ca="1"/>
        <v>65435333</v>
      </c>
      <c r="E99" s="90">
        <f t="shared" ca="1" si="1"/>
        <v>3.9262428832890795E-4</v>
      </c>
      <c r="F99" s="90">
        <f t="shared" ca="1" si="1"/>
        <v>5.4491585079887469E-4</v>
      </c>
    </row>
    <row r="100" spans="1:6" x14ac:dyDescent="0.3">
      <c r="A100" s="88" t="s">
        <v>99</v>
      </c>
      <c r="B100" s="88" t="s">
        <v>100</v>
      </c>
      <c r="C100" s="89">
        <f ca="1"/>
        <v>54778278</v>
      </c>
      <c r="D100" s="89">
        <f ca="1"/>
        <v>63226323</v>
      </c>
      <c r="E100" s="90">
        <f t="shared" ca="1" si="1"/>
        <v>4.3345513024671079E-4</v>
      </c>
      <c r="F100" s="90">
        <f t="shared" ca="1" si="1"/>
        <v>5.2652021485746032E-4</v>
      </c>
    </row>
    <row r="101" spans="1:6" x14ac:dyDescent="0.3">
      <c r="A101" s="87" t="s">
        <v>329</v>
      </c>
      <c r="B101" s="87" t="s">
        <v>330</v>
      </c>
      <c r="C101" s="89">
        <f ca="1"/>
        <v>44477669</v>
      </c>
      <c r="D101" s="89">
        <f ca="1"/>
        <v>62834380</v>
      </c>
      <c r="E101" s="90">
        <f t="shared" ca="1" si="1"/>
        <v>3.5194742356568949E-4</v>
      </c>
      <c r="F101" s="90">
        <f t="shared" ca="1" si="1"/>
        <v>5.2325629086536168E-4</v>
      </c>
    </row>
    <row r="102" spans="1:6" x14ac:dyDescent="0.3">
      <c r="A102" s="88" t="s">
        <v>75</v>
      </c>
      <c r="B102" s="88" t="s">
        <v>76</v>
      </c>
      <c r="C102" s="89">
        <f ca="1"/>
        <v>117039377</v>
      </c>
      <c r="D102" s="89">
        <f ca="1"/>
        <v>61946135</v>
      </c>
      <c r="E102" s="90">
        <f t="shared" ca="1" si="1"/>
        <v>9.2612108766049357E-4</v>
      </c>
      <c r="F102" s="90">
        <f t="shared" ca="1" si="1"/>
        <v>5.1585938834034742E-4</v>
      </c>
    </row>
    <row r="103" spans="1:6" x14ac:dyDescent="0.3">
      <c r="A103" s="87" t="s">
        <v>390</v>
      </c>
      <c r="B103" s="87" t="s">
        <v>391</v>
      </c>
      <c r="C103" s="89">
        <f ca="1"/>
        <v>30156451</v>
      </c>
      <c r="D103" s="89">
        <f ca="1"/>
        <v>60151576</v>
      </c>
      <c r="E103" s="90">
        <f t="shared" ca="1" si="1"/>
        <v>2.3862503301004737E-4</v>
      </c>
      <c r="F103" s="90">
        <f t="shared" ca="1" si="1"/>
        <v>5.0091511283259114E-4</v>
      </c>
    </row>
    <row r="104" spans="1:6" x14ac:dyDescent="0.3">
      <c r="A104" s="88" t="s">
        <v>432</v>
      </c>
      <c r="B104" s="88" t="s">
        <v>433</v>
      </c>
      <c r="C104" s="89">
        <f ca="1"/>
        <v>65005138</v>
      </c>
      <c r="D104" s="89">
        <f ca="1"/>
        <v>60000000</v>
      </c>
      <c r="E104" s="90">
        <f t="shared" ca="1" si="1"/>
        <v>5.1437926833872735E-4</v>
      </c>
      <c r="F104" s="90">
        <f t="shared" ca="1" si="1"/>
        <v>4.9965285647637003E-4</v>
      </c>
    </row>
    <row r="105" spans="1:6" x14ac:dyDescent="0.3">
      <c r="A105" s="87" t="s">
        <v>501</v>
      </c>
      <c r="B105" s="87" t="s">
        <v>502</v>
      </c>
      <c r="C105" s="89">
        <f ca="1"/>
        <v>50505064</v>
      </c>
      <c r="D105" s="89">
        <f ca="1"/>
        <v>59598242</v>
      </c>
      <c r="E105" s="90">
        <f t="shared" ca="1" si="1"/>
        <v>3.9964160783291622E-4</v>
      </c>
      <c r="F105" s="90">
        <f t="shared" ca="1" si="1"/>
        <v>4.9630719760449947E-4</v>
      </c>
    </row>
    <row r="106" spans="1:6" x14ac:dyDescent="0.3">
      <c r="A106" s="88" t="s">
        <v>435</v>
      </c>
      <c r="B106" s="88" t="s">
        <v>436</v>
      </c>
      <c r="C106" s="89">
        <f ca="1"/>
        <v>94267375</v>
      </c>
      <c r="D106" s="89">
        <f ca="1"/>
        <v>54154503</v>
      </c>
      <c r="E106" s="90">
        <f t="shared" ca="1" si="1"/>
        <v>7.4592847384944317E-4</v>
      </c>
      <c r="F106" s="90">
        <f t="shared" ca="1" si="1"/>
        <v>4.5097420191680254E-4</v>
      </c>
    </row>
    <row r="107" spans="1:6" x14ac:dyDescent="0.3">
      <c r="A107" s="87" t="s">
        <v>363</v>
      </c>
      <c r="B107" s="87" t="s">
        <v>364</v>
      </c>
      <c r="C107" s="89">
        <f ca="1"/>
        <v>51338387</v>
      </c>
      <c r="D107" s="89">
        <f ca="1"/>
        <v>54144995</v>
      </c>
      <c r="E107" s="90">
        <f t="shared" ca="1" si="1"/>
        <v>4.062356108335688E-4</v>
      </c>
      <c r="F107" s="90">
        <f t="shared" ca="1" si="1"/>
        <v>4.5089502359414626E-4</v>
      </c>
    </row>
    <row r="108" spans="1:6" x14ac:dyDescent="0.3">
      <c r="A108" s="88" t="s">
        <v>348</v>
      </c>
      <c r="B108" s="88" t="s">
        <v>349</v>
      </c>
      <c r="C108" s="89">
        <f ca="1"/>
        <v>60784898</v>
      </c>
      <c r="D108" s="89">
        <f ca="1"/>
        <v>48669232</v>
      </c>
      <c r="E108" s="90">
        <f t="shared" ca="1" si="1"/>
        <v>4.8098492398068862E-4</v>
      </c>
      <c r="F108" s="90">
        <f t="shared" ca="1" si="1"/>
        <v>4.0529534652185262E-4</v>
      </c>
    </row>
    <row r="109" spans="1:6" x14ac:dyDescent="0.3">
      <c r="A109" s="87" t="s">
        <v>454</v>
      </c>
      <c r="B109" s="87" t="s">
        <v>455</v>
      </c>
      <c r="C109" s="89">
        <f ca="1"/>
        <v>16496484</v>
      </c>
      <c r="D109" s="89">
        <f ca="1"/>
        <v>48174641</v>
      </c>
      <c r="E109" s="90">
        <f t="shared" ca="1" si="1"/>
        <v>1.3053505663016243E-4</v>
      </c>
      <c r="F109" s="90">
        <f t="shared" ca="1" si="1"/>
        <v>4.0117661642289422E-4</v>
      </c>
    </row>
    <row r="110" spans="1:6" x14ac:dyDescent="0.3">
      <c r="A110" s="88" t="s">
        <v>471</v>
      </c>
      <c r="B110" s="88" t="s">
        <v>472</v>
      </c>
      <c r="C110" s="89">
        <f ca="1"/>
        <v>0</v>
      </c>
      <c r="D110" s="89">
        <f ca="1"/>
        <v>45938730</v>
      </c>
      <c r="E110" s="90">
        <f t="shared" ca="1" si="1"/>
        <v>0</v>
      </c>
      <c r="F110" s="90">
        <f t="shared" ca="1" si="1"/>
        <v>3.8255696112327861E-4</v>
      </c>
    </row>
    <row r="111" spans="1:6" x14ac:dyDescent="0.3">
      <c r="A111" s="87" t="s">
        <v>158</v>
      </c>
      <c r="B111" s="87" t="s">
        <v>159</v>
      </c>
      <c r="C111" s="89">
        <f ca="1"/>
        <v>36579494</v>
      </c>
      <c r="D111" s="89">
        <f ca="1"/>
        <v>44856636</v>
      </c>
      <c r="E111" s="90">
        <f t="shared" ca="1" si="1"/>
        <v>2.8944994101729111E-4</v>
      </c>
      <c r="F111" s="90">
        <f t="shared" ca="1" si="1"/>
        <v>3.7354577182201291E-4</v>
      </c>
    </row>
    <row r="112" spans="1:6" x14ac:dyDescent="0.3">
      <c r="A112" s="88" t="s">
        <v>426</v>
      </c>
      <c r="B112" s="88" t="s">
        <v>427</v>
      </c>
      <c r="C112" s="89">
        <f ca="1"/>
        <v>51075759</v>
      </c>
      <c r="D112" s="89">
        <f ca="1"/>
        <v>44093954</v>
      </c>
      <c r="E112" s="90">
        <f t="shared" ca="1" si="1"/>
        <v>4.0415746128044785E-4</v>
      </c>
      <c r="F112" s="90">
        <f t="shared" ca="1" si="1"/>
        <v>3.6719450115729442E-4</v>
      </c>
    </row>
    <row r="113" spans="1:6" x14ac:dyDescent="0.3">
      <c r="A113" s="87" t="s">
        <v>663</v>
      </c>
      <c r="B113" s="87" t="s">
        <v>664</v>
      </c>
      <c r="C113" s="89">
        <f ca="1"/>
        <v>44718116</v>
      </c>
      <c r="D113" s="89">
        <f ca="1"/>
        <v>42020072</v>
      </c>
      <c r="E113" s="90">
        <f t="shared" ca="1" si="1"/>
        <v>3.5385005704574211E-4</v>
      </c>
      <c r="F113" s="90">
        <f t="shared" ca="1" si="1"/>
        <v>3.4992415006904562E-4</v>
      </c>
    </row>
    <row r="114" spans="1:6" x14ac:dyDescent="0.3">
      <c r="A114" s="88" t="s">
        <v>429</v>
      </c>
      <c r="B114" s="88" t="s">
        <v>430</v>
      </c>
      <c r="C114" s="89">
        <f ca="1"/>
        <v>44123278</v>
      </c>
      <c r="D114" s="89">
        <f ca="1"/>
        <v>41800145</v>
      </c>
      <c r="E114" s="90">
        <f t="shared" ca="1" si="1"/>
        <v>3.4914316241196609E-4</v>
      </c>
      <c r="F114" s="90">
        <f t="shared" ca="1" si="1"/>
        <v>3.480926975062743E-4</v>
      </c>
    </row>
    <row r="115" spans="1:6" x14ac:dyDescent="0.3">
      <c r="A115" s="87" t="s">
        <v>129</v>
      </c>
      <c r="B115" s="87" t="s">
        <v>130</v>
      </c>
      <c r="C115" s="89">
        <f ca="1"/>
        <v>37728580</v>
      </c>
      <c r="D115" s="89">
        <f ca="1"/>
        <v>30307256</v>
      </c>
      <c r="E115" s="90">
        <f t="shared" ca="1" si="1"/>
        <v>2.9854254560399737E-4</v>
      </c>
      <c r="F115" s="90">
        <f t="shared" ca="1" si="1"/>
        <v>2.5238511720601008E-4</v>
      </c>
    </row>
    <row r="116" spans="1:6" x14ac:dyDescent="0.3">
      <c r="A116" s="88" t="s">
        <v>69</v>
      </c>
      <c r="B116" s="88" t="s">
        <v>70</v>
      </c>
      <c r="C116" s="89">
        <f ca="1"/>
        <v>26721546</v>
      </c>
      <c r="D116" s="89">
        <f ca="1"/>
        <v>30251837</v>
      </c>
      <c r="E116" s="90">
        <f t="shared" ca="1" si="1"/>
        <v>2.1144496732488513E-4</v>
      </c>
      <c r="F116" s="90">
        <f t="shared" ca="1" si="1"/>
        <v>2.519236128451257E-4</v>
      </c>
    </row>
    <row r="117" spans="1:6" x14ac:dyDescent="0.3">
      <c r="A117" s="87" t="s">
        <v>257</v>
      </c>
      <c r="B117" s="87" t="s">
        <v>258</v>
      </c>
      <c r="C117" s="89">
        <f ca="1"/>
        <v>150000000</v>
      </c>
      <c r="D117" s="89">
        <f ca="1"/>
        <v>30000000</v>
      </c>
      <c r="E117" s="90">
        <f t="shared" ca="1" si="1"/>
        <v>1.1869352581146604E-3</v>
      </c>
      <c r="F117" s="90">
        <f t="shared" ca="1" si="1"/>
        <v>2.4982642823818501E-4</v>
      </c>
    </row>
    <row r="118" spans="1:6" x14ac:dyDescent="0.3">
      <c r="A118" s="88" t="s">
        <v>399</v>
      </c>
      <c r="B118" s="88" t="s">
        <v>400</v>
      </c>
      <c r="C118" s="89">
        <f ca="1"/>
        <v>36590568</v>
      </c>
      <c r="D118" s="89">
        <f ca="1"/>
        <v>27447829</v>
      </c>
      <c r="E118" s="90">
        <f t="shared" ca="1" si="1"/>
        <v>2.8953756849094684E-4</v>
      </c>
      <c r="F118" s="90">
        <f t="shared" ca="1" si="1"/>
        <v>2.2857310273208248E-4</v>
      </c>
    </row>
    <row r="119" spans="1:6" x14ac:dyDescent="0.3">
      <c r="A119" s="87" t="s">
        <v>166</v>
      </c>
      <c r="B119" s="87" t="s">
        <v>167</v>
      </c>
      <c r="C119" s="89">
        <f ca="1"/>
        <v>31824228</v>
      </c>
      <c r="D119" s="89">
        <f ca="1"/>
        <v>24153517</v>
      </c>
      <c r="E119" s="90">
        <f t="shared" ca="1" si="1"/>
        <v>2.5182198850319868E-4</v>
      </c>
      <c r="F119" s="90">
        <f t="shared" ca="1" si="1"/>
        <v>2.0113956271667607E-4</v>
      </c>
    </row>
    <row r="120" spans="1:6" x14ac:dyDescent="0.3">
      <c r="A120" s="88" t="s">
        <v>335</v>
      </c>
      <c r="B120" s="88" t="s">
        <v>336</v>
      </c>
      <c r="C120" s="89">
        <f ca="1"/>
        <v>16728240</v>
      </c>
      <c r="D120" s="89">
        <f ca="1"/>
        <v>23461305</v>
      </c>
      <c r="E120" s="90">
        <f t="shared" ca="1" si="1"/>
        <v>1.323689190813599E-4</v>
      </c>
      <c r="F120" s="90">
        <f t="shared" ca="1" si="1"/>
        <v>1.9537513433188906E-4</v>
      </c>
    </row>
    <row r="121" spans="1:6" x14ac:dyDescent="0.3">
      <c r="A121" s="87" t="s">
        <v>296</v>
      </c>
      <c r="B121" s="87" t="s">
        <v>297</v>
      </c>
      <c r="C121" s="89">
        <f ca="1"/>
        <v>21521675</v>
      </c>
      <c r="D121" s="89">
        <f ca="1"/>
        <v>22947408</v>
      </c>
      <c r="E121" s="90">
        <f t="shared" ca="1" si="1"/>
        <v>1.7029889914123221E-4</v>
      </c>
      <c r="F121" s="90">
        <f t="shared" ca="1" si="1"/>
        <v>1.9109563259881178E-4</v>
      </c>
    </row>
    <row r="122" spans="1:6" x14ac:dyDescent="0.3">
      <c r="A122" s="88" t="s">
        <v>440</v>
      </c>
      <c r="B122" s="88" t="s">
        <v>441</v>
      </c>
      <c r="C122" s="89">
        <f ca="1"/>
        <v>41680000</v>
      </c>
      <c r="D122" s="89">
        <f ca="1"/>
        <v>20000000</v>
      </c>
      <c r="E122" s="90">
        <f t="shared" ca="1" si="1"/>
        <v>3.2980974372146026E-4</v>
      </c>
      <c r="F122" s="90">
        <f t="shared" ca="1" si="1"/>
        <v>1.6655095215879003E-4</v>
      </c>
    </row>
    <row r="123" spans="1:6" x14ac:dyDescent="0.3">
      <c r="A123" s="87" t="s">
        <v>340</v>
      </c>
      <c r="B123" s="87" t="s">
        <v>341</v>
      </c>
      <c r="C123" s="89">
        <f ca="1"/>
        <v>22045194</v>
      </c>
      <c r="D123" s="89">
        <f ca="1"/>
        <v>19896212</v>
      </c>
      <c r="E123" s="90">
        <f t="shared" ca="1" si="1"/>
        <v>1.7444145353718505E-4</v>
      </c>
      <c r="F123" s="90">
        <f t="shared" ca="1" si="1"/>
        <v>1.656866526476572E-4</v>
      </c>
    </row>
    <row r="124" spans="1:6" x14ac:dyDescent="0.3">
      <c r="A124" s="88" t="s">
        <v>489</v>
      </c>
      <c r="B124" s="88" t="s">
        <v>490</v>
      </c>
      <c r="C124" s="89">
        <f ca="1"/>
        <v>14746190</v>
      </c>
      <c r="D124" s="89">
        <f ca="1"/>
        <v>19158874</v>
      </c>
      <c r="E124" s="90">
        <f t="shared" ca="1" si="1"/>
        <v>1.1668515222571882E-4</v>
      </c>
      <c r="F124" s="90">
        <f t="shared" ca="1" si="1"/>
        <v>1.595464353495143E-4</v>
      </c>
    </row>
    <row r="125" spans="1:6" x14ac:dyDescent="0.3">
      <c r="A125" s="87" t="s">
        <v>404</v>
      </c>
      <c r="B125" s="87" t="s">
        <v>405</v>
      </c>
      <c r="C125" s="89">
        <f ca="1"/>
        <v>10393404</v>
      </c>
      <c r="D125" s="89">
        <f ca="1"/>
        <v>15115102</v>
      </c>
      <c r="E125" s="90">
        <f t="shared" ca="1" si="1"/>
        <v>8.224198439619962E-5</v>
      </c>
      <c r="F125" s="90">
        <f t="shared" ca="1" si="1"/>
        <v>1.2587173150386158E-4</v>
      </c>
    </row>
    <row r="126" spans="1:6" x14ac:dyDescent="0.3">
      <c r="A126" s="88" t="s">
        <v>149</v>
      </c>
      <c r="B126" s="88" t="s">
        <v>150</v>
      </c>
      <c r="C126" s="89">
        <f ca="1"/>
        <v>11672267</v>
      </c>
      <c r="D126" s="89">
        <f ca="1"/>
        <v>13548838</v>
      </c>
      <c r="E126" s="90">
        <f t="shared" ca="1" si="1"/>
        <v>9.2361501629521537E-5</v>
      </c>
      <c r="F126" s="90">
        <f t="shared" ca="1" si="1"/>
        <v>1.1282859347725982E-4</v>
      </c>
    </row>
    <row r="127" spans="1:6" x14ac:dyDescent="0.3">
      <c r="A127" s="87" t="s">
        <v>169</v>
      </c>
      <c r="B127" s="87" t="s">
        <v>170</v>
      </c>
      <c r="C127" s="89">
        <f ca="1"/>
        <v>11825559</v>
      </c>
      <c r="D127" s="89">
        <f ca="1"/>
        <v>11985970</v>
      </c>
      <c r="E127" s="90">
        <f t="shared" ca="1" si="1"/>
        <v>9.3574486160100955E-5</v>
      </c>
      <c r="F127" s="90">
        <f t="shared" ca="1" si="1"/>
        <v>9.9813735802334631E-5</v>
      </c>
    </row>
    <row r="128" spans="1:6" x14ac:dyDescent="0.3">
      <c r="A128" s="88" t="s">
        <v>485</v>
      </c>
      <c r="B128" s="88" t="s">
        <v>483</v>
      </c>
      <c r="C128" s="89">
        <f ca="1"/>
        <v>0</v>
      </c>
      <c r="D128" s="89">
        <f ca="1"/>
        <v>11019918</v>
      </c>
      <c r="E128" s="90">
        <f t="shared" ca="1" si="1"/>
        <v>0</v>
      </c>
      <c r="F128" s="90">
        <f t="shared" ca="1" si="1"/>
        <v>9.1768891780589457E-5</v>
      </c>
    </row>
    <row r="129" spans="1:6" x14ac:dyDescent="0.3">
      <c r="A129" s="87" t="s">
        <v>321</v>
      </c>
      <c r="B129" s="87" t="s">
        <v>322</v>
      </c>
      <c r="C129" s="89">
        <f ca="1"/>
        <v>6499171</v>
      </c>
      <c r="D129" s="89">
        <f ca="1"/>
        <v>10057678</v>
      </c>
      <c r="E129" s="90">
        <f t="shared" ca="1" si="1"/>
        <v>5.1427301389442097E-5</v>
      </c>
      <c r="F129" s="90">
        <f t="shared" ca="1" si="1"/>
        <v>8.3755792370325752E-5</v>
      </c>
    </row>
    <row r="130" spans="1:6" x14ac:dyDescent="0.3">
      <c r="A130" s="88" t="s">
        <v>443</v>
      </c>
      <c r="B130" s="88" t="s">
        <v>444</v>
      </c>
      <c r="C130" s="89">
        <f ca="1"/>
        <v>3791602</v>
      </c>
      <c r="D130" s="89">
        <f ca="1"/>
        <v>8955659</v>
      </c>
      <c r="E130" s="90">
        <f t="shared" ca="1" si="1"/>
        <v>3.0002573990253746E-5</v>
      </c>
      <c r="F130" s="90">
        <f t="shared" ca="1" si="1"/>
        <v>7.4578676682971867E-5</v>
      </c>
    </row>
    <row r="131" spans="1:6" x14ac:dyDescent="0.3">
      <c r="A131" s="87" t="s">
        <v>446</v>
      </c>
      <c r="B131" s="87" t="s">
        <v>447</v>
      </c>
      <c r="C131" s="89">
        <f ca="1"/>
        <v>7597091</v>
      </c>
      <c r="D131" s="89">
        <f ca="1"/>
        <v>8222294</v>
      </c>
      <c r="E131" s="90">
        <f t="shared" ca="1" si="1"/>
        <v>6.0115034446703752E-5</v>
      </c>
      <c r="F131" s="90">
        <f t="shared" ca="1" si="1"/>
        <v>6.8471544731475316E-5</v>
      </c>
    </row>
    <row r="132" spans="1:6" x14ac:dyDescent="0.3">
      <c r="A132" s="88" t="s">
        <v>438</v>
      </c>
      <c r="B132" s="88" t="s">
        <v>439</v>
      </c>
      <c r="C132" s="89">
        <f ca="1"/>
        <v>5541341</v>
      </c>
      <c r="D132" s="89">
        <f ca="1"/>
        <v>8109643</v>
      </c>
      <c r="E132" s="90">
        <f t="shared" ca="1" si="1"/>
        <v>4.3848086734242331E-5</v>
      </c>
      <c r="F132" s="90">
        <f t="shared" ca="1" si="1"/>
        <v>6.7533438165893317E-5</v>
      </c>
    </row>
    <row r="133" spans="1:6" x14ac:dyDescent="0.3">
      <c r="A133" s="87" t="s">
        <v>465</v>
      </c>
      <c r="B133" s="87" t="s">
        <v>466</v>
      </c>
      <c r="C133" s="89">
        <f ca="1"/>
        <v>12607915</v>
      </c>
      <c r="D133" s="89">
        <f ca="1"/>
        <v>7796035</v>
      </c>
      <c r="E133" s="90">
        <f t="shared" ca="1" si="1"/>
        <v>9.9765192298751309E-5</v>
      </c>
      <c r="F133" s="90">
        <f t="shared" ca="1" si="1"/>
        <v>6.4921852615662626E-5</v>
      </c>
    </row>
    <row r="134" spans="1:6" x14ac:dyDescent="0.3">
      <c r="A134" s="88" t="s">
        <v>415</v>
      </c>
      <c r="B134" s="88" t="s">
        <v>416</v>
      </c>
      <c r="C134" s="89">
        <f ca="1"/>
        <v>5490297</v>
      </c>
      <c r="D134" s="89">
        <f ca="1"/>
        <v>5499855</v>
      </c>
      <c r="E134" s="90">
        <f t="shared" ref="E134:F147" ca="1" si="2">C134/C$149</f>
        <v>4.344418057880763E-5</v>
      </c>
      <c r="F134" s="90">
        <f t="shared" ca="1" si="2"/>
        <v>4.5800304349264109E-5</v>
      </c>
    </row>
    <row r="135" spans="1:6" x14ac:dyDescent="0.3">
      <c r="A135" s="87" t="s">
        <v>409</v>
      </c>
      <c r="B135" s="87" t="s">
        <v>410</v>
      </c>
      <c r="C135" s="89">
        <f ca="1"/>
        <v>922978</v>
      </c>
      <c r="D135" s="89">
        <f ca="1"/>
        <v>4835634</v>
      </c>
      <c r="E135" s="90">
        <f t="shared" ca="1" si="2"/>
        <v>7.3034342044276858E-6</v>
      </c>
      <c r="F135" s="90">
        <f t="shared" ca="1" si="2"/>
        <v>4.0268972349570924E-5</v>
      </c>
    </row>
    <row r="136" spans="1:6" x14ac:dyDescent="0.3">
      <c r="A136" s="88" t="s">
        <v>324</v>
      </c>
      <c r="B136" s="88" t="s">
        <v>325</v>
      </c>
      <c r="C136" s="89">
        <f ca="1"/>
        <v>4033122</v>
      </c>
      <c r="D136" s="89">
        <f ca="1"/>
        <v>3754947</v>
      </c>
      <c r="E136" s="90">
        <f t="shared" ca="1" si="2"/>
        <v>3.1913698013852763E-5</v>
      </c>
      <c r="F136" s="90">
        <f t="shared" ca="1" si="2"/>
        <v>3.1269499907789604E-5</v>
      </c>
    </row>
    <row r="137" spans="1:6" x14ac:dyDescent="0.3">
      <c r="A137" s="87" t="s">
        <v>102</v>
      </c>
      <c r="B137" s="87" t="s">
        <v>103</v>
      </c>
      <c r="C137" s="89">
        <f ca="1"/>
        <v>3447159</v>
      </c>
      <c r="D137" s="89">
        <f ca="1"/>
        <v>3604096</v>
      </c>
      <c r="E137" s="90">
        <f t="shared" ca="1" si="2"/>
        <v>2.7277030382848493E-5</v>
      </c>
      <c r="F137" s="90">
        <f t="shared" ca="1" si="2"/>
        <v>3.0013281023584325E-5</v>
      </c>
    </row>
    <row r="138" spans="1:6" x14ac:dyDescent="0.3">
      <c r="A138" s="88" t="s">
        <v>238</v>
      </c>
      <c r="B138" s="88" t="s">
        <v>239</v>
      </c>
      <c r="C138" s="89">
        <f ca="1"/>
        <v>711128</v>
      </c>
      <c r="D138" s="89">
        <f ca="1"/>
        <v>738278</v>
      </c>
      <c r="E138" s="90">
        <f t="shared" ca="1" si="2"/>
        <v>5.6270859748837476E-6</v>
      </c>
      <c r="F138" s="90">
        <f t="shared" ca="1" si="2"/>
        <v>6.1480451928943591E-6</v>
      </c>
    </row>
    <row r="139" spans="1:6" x14ac:dyDescent="0.3">
      <c r="A139" s="87" t="s">
        <v>247</v>
      </c>
      <c r="B139" s="87" t="s">
        <v>248</v>
      </c>
      <c r="C139" s="89">
        <f ca="1"/>
        <v>407084</v>
      </c>
      <c r="D139" s="89">
        <f ca="1"/>
        <v>674911</v>
      </c>
      <c r="E139" s="90">
        <f t="shared" ca="1" si="2"/>
        <v>3.2212156840956558E-6</v>
      </c>
      <c r="F139" s="90">
        <f t="shared" ca="1" si="2"/>
        <v>5.6203534836220571E-6</v>
      </c>
    </row>
    <row r="140" spans="1:6" x14ac:dyDescent="0.3">
      <c r="A140" s="88" t="s">
        <v>23</v>
      </c>
      <c r="B140" s="88" t="s">
        <v>24</v>
      </c>
      <c r="C140" s="89">
        <f ca="1"/>
        <v>0</v>
      </c>
      <c r="D140" s="89">
        <f ca="1"/>
        <v>0</v>
      </c>
      <c r="E140" s="90">
        <f t="shared" ca="1" si="2"/>
        <v>0</v>
      </c>
      <c r="F140" s="90">
        <f t="shared" ca="1" si="2"/>
        <v>0</v>
      </c>
    </row>
    <row r="141" spans="1:6" x14ac:dyDescent="0.3">
      <c r="A141" s="87" t="s">
        <v>195</v>
      </c>
      <c r="B141" s="87" t="s">
        <v>196</v>
      </c>
      <c r="C141" s="89">
        <f ca="1"/>
        <v>0</v>
      </c>
      <c r="D141" s="89">
        <f ca="1"/>
        <v>0</v>
      </c>
      <c r="E141" s="90">
        <f t="shared" ca="1" si="2"/>
        <v>0</v>
      </c>
      <c r="F141" s="90">
        <f t="shared" ca="1" si="2"/>
        <v>0</v>
      </c>
    </row>
    <row r="142" spans="1:6" x14ac:dyDescent="0.3">
      <c r="A142" s="88" t="s">
        <v>311</v>
      </c>
      <c r="B142" s="88" t="s">
        <v>312</v>
      </c>
      <c r="C142" s="89">
        <f ca="1"/>
        <v>0</v>
      </c>
      <c r="D142" s="89">
        <f ca="1"/>
        <v>0</v>
      </c>
      <c r="E142" s="90">
        <f t="shared" ca="1" si="2"/>
        <v>0</v>
      </c>
      <c r="F142" s="90">
        <f t="shared" ca="1" si="2"/>
        <v>0</v>
      </c>
    </row>
    <row r="143" spans="1:6" x14ac:dyDescent="0.3">
      <c r="A143" s="87" t="s">
        <v>316</v>
      </c>
      <c r="B143" s="87" t="s">
        <v>317</v>
      </c>
      <c r="C143" s="89">
        <f ca="1"/>
        <v>0</v>
      </c>
      <c r="D143" s="89">
        <f ca="1"/>
        <v>0</v>
      </c>
      <c r="E143" s="90">
        <f t="shared" ca="1" si="2"/>
        <v>0</v>
      </c>
      <c r="F143" s="90">
        <f t="shared" ca="1" si="2"/>
        <v>0</v>
      </c>
    </row>
    <row r="144" spans="1:6" x14ac:dyDescent="0.3">
      <c r="A144" s="88" t="s">
        <v>402</v>
      </c>
      <c r="B144" s="88" t="s">
        <v>403</v>
      </c>
      <c r="C144" s="89">
        <f ca="1"/>
        <v>0</v>
      </c>
      <c r="D144" s="89">
        <f ca="1"/>
        <v>0</v>
      </c>
      <c r="E144" s="90">
        <f t="shared" ca="1" si="2"/>
        <v>0</v>
      </c>
      <c r="F144" s="90">
        <f t="shared" ca="1" si="2"/>
        <v>0</v>
      </c>
    </row>
    <row r="145" spans="1:6" x14ac:dyDescent="0.3">
      <c r="A145" s="87" t="s">
        <v>407</v>
      </c>
      <c r="B145" s="87" t="s">
        <v>408</v>
      </c>
      <c r="C145" s="89">
        <f ca="1"/>
        <v>0</v>
      </c>
      <c r="D145" s="89">
        <f ca="1"/>
        <v>0</v>
      </c>
      <c r="E145" s="90">
        <f t="shared" ca="1" si="2"/>
        <v>0</v>
      </c>
      <c r="F145" s="90">
        <f t="shared" ca="1" si="2"/>
        <v>0</v>
      </c>
    </row>
    <row r="146" spans="1:6" x14ac:dyDescent="0.3">
      <c r="A146" s="88" t="s">
        <v>468</v>
      </c>
      <c r="B146" s="88" t="s">
        <v>469</v>
      </c>
      <c r="C146" s="89">
        <f ca="1"/>
        <v>45622476</v>
      </c>
      <c r="D146" s="89">
        <f ca="1"/>
        <v>0</v>
      </c>
      <c r="E146" s="90">
        <f t="shared" ca="1" si="2"/>
        <v>3.610061688459326E-4</v>
      </c>
      <c r="F146" s="90">
        <f t="shared" ca="1" si="2"/>
        <v>0</v>
      </c>
    </row>
    <row r="147" spans="1:6" x14ac:dyDescent="0.3">
      <c r="A147" s="87" t="s">
        <v>482</v>
      </c>
      <c r="B147" s="87" t="s">
        <v>483</v>
      </c>
      <c r="C147" s="89">
        <f ca="1"/>
        <v>17780909</v>
      </c>
      <c r="D147" s="89">
        <f ca="1"/>
        <v>0</v>
      </c>
      <c r="E147" s="90">
        <f t="shared" ca="1" si="2"/>
        <v>1.4069858542285524E-4</v>
      </c>
      <c r="F147" s="90">
        <f t="shared" ca="1" si="2"/>
        <v>0</v>
      </c>
    </row>
    <row r="149" spans="1:6" x14ac:dyDescent="0.3">
      <c r="B149" s="36" t="s">
        <v>3082</v>
      </c>
      <c r="C149" s="90">
        <f ca="1">SUM(C5:C147)</f>
        <v>126375890323</v>
      </c>
      <c r="D149" s="90">
        <f ca="1">SUM(D5:D147)</f>
        <v>120083372330</v>
      </c>
    </row>
  </sheetData>
  <conditionalFormatting sqref="C5:C147">
    <cfRule type="dataBar" priority="2">
      <dataBar>
        <cfvo type="min"/>
        <cfvo type="max"/>
        <color rgb="FF638EC6"/>
      </dataBar>
      <extLst>
        <ext xmlns:x14="http://schemas.microsoft.com/office/spreadsheetml/2009/9/main" uri="{B025F937-C7B1-47D3-B67F-A62EFF666E3E}">
          <x14:id>{933AABCB-7312-4FD0-AB11-9E5B7CD74148}</x14:id>
        </ext>
      </extLst>
    </cfRule>
  </conditionalFormatting>
  <conditionalFormatting sqref="D5:D147">
    <cfRule type="dataBar" priority="1">
      <dataBar>
        <cfvo type="min"/>
        <cfvo type="max"/>
        <color rgb="FF63C384"/>
      </dataBar>
      <extLst>
        <ext xmlns:x14="http://schemas.microsoft.com/office/spreadsheetml/2009/9/main" uri="{B025F937-C7B1-47D3-B67F-A62EFF666E3E}">
          <x14:id>{48DE66B4-1DC5-4FD8-97BB-042DA34C609F}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33AABCB-7312-4FD0-AB11-9E5B7CD74148}">
            <x14:dataBar minLength="0" maxLength="100" gradient="0">
              <x14:cfvo type="autoMin"/>
              <x14:cfvo type="autoMax"/>
              <x14:negativeFillColor rgb="FFFF0000"/>
              <x14:axisColor rgb="FF000000"/>
            </x14:dataBar>
          </x14:cfRule>
          <xm:sqref>C5:C147</xm:sqref>
        </x14:conditionalFormatting>
        <x14:conditionalFormatting xmlns:xm="http://schemas.microsoft.com/office/excel/2006/main">
          <x14:cfRule type="dataBar" id="{48DE66B4-1DC5-4FD8-97BB-042DA34C609F}">
            <x14:dataBar minLength="0" maxLength="100" gradient="0">
              <x14:cfvo type="autoMin"/>
              <x14:cfvo type="autoMax"/>
              <x14:negativeFillColor rgb="FFFF0000"/>
              <x14:axisColor rgb="FF000000"/>
            </x14:dataBar>
          </x14:cfRule>
          <xm:sqref>D5:D147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E745-1F5B-4B52-986E-D369F3C3E6AE}">
  <sheetPr codeName="Sheet5"/>
  <dimension ref="A1:C21"/>
  <sheetViews>
    <sheetView zoomScaleNormal="100" workbookViewId="0">
      <selection activeCell="B15" sqref="B15"/>
    </sheetView>
  </sheetViews>
  <sheetFormatPr defaultRowHeight="14.4" x14ac:dyDescent="0.3"/>
  <cols>
    <col min="1" max="2" width="29.109375" customWidth="1"/>
    <col min="3" max="3" width="138.88671875" customWidth="1"/>
  </cols>
  <sheetData>
    <row r="1" spans="1:3" ht="24" thickBot="1" x14ac:dyDescent="0.5">
      <c r="A1" s="11" t="s">
        <v>3046</v>
      </c>
      <c r="B1" s="94" t="s">
        <v>3047</v>
      </c>
    </row>
    <row r="2" spans="1:3" ht="15.6" thickTop="1" thickBot="1" x14ac:dyDescent="0.35"/>
    <row r="3" spans="1:3" ht="15" thickBot="1" x14ac:dyDescent="0.35">
      <c r="B3" s="31" t="s">
        <v>2758</v>
      </c>
      <c r="C3" s="32" t="s">
        <v>2759</v>
      </c>
    </row>
    <row r="4" spans="1:3" ht="15" thickTop="1" x14ac:dyDescent="0.3">
      <c r="B4" s="71" t="s">
        <v>2760</v>
      </c>
      <c r="C4" s="33" t="s">
        <v>2761</v>
      </c>
    </row>
    <row r="5" spans="1:3" x14ac:dyDescent="0.3">
      <c r="B5" s="71" t="s">
        <v>2762</v>
      </c>
      <c r="C5" s="33" t="s">
        <v>2763</v>
      </c>
    </row>
    <row r="6" spans="1:3" x14ac:dyDescent="0.3">
      <c r="B6" s="71" t="s">
        <v>2764</v>
      </c>
      <c r="C6" s="33" t="s">
        <v>2765</v>
      </c>
    </row>
    <row r="7" spans="1:3" x14ac:dyDescent="0.3">
      <c r="B7" s="71" t="s">
        <v>2766</v>
      </c>
      <c r="C7" s="33" t="s">
        <v>2767</v>
      </c>
    </row>
    <row r="8" spans="1:3" x14ac:dyDescent="0.3">
      <c r="B8" s="71" t="s">
        <v>2768</v>
      </c>
      <c r="C8" s="33" t="s">
        <v>2769</v>
      </c>
    </row>
    <row r="9" spans="1:3" x14ac:dyDescent="0.3">
      <c r="B9" s="71" t="s">
        <v>2770</v>
      </c>
      <c r="C9" s="33" t="s">
        <v>2771</v>
      </c>
    </row>
    <row r="10" spans="1:3" x14ac:dyDescent="0.3">
      <c r="B10" s="71" t="s">
        <v>2772</v>
      </c>
      <c r="C10" s="33" t="s">
        <v>2773</v>
      </c>
    </row>
    <row r="11" spans="1:3" x14ac:dyDescent="0.3">
      <c r="B11" s="71" t="s">
        <v>2774</v>
      </c>
      <c r="C11" s="33" t="s">
        <v>2775</v>
      </c>
    </row>
    <row r="12" spans="1:3" x14ac:dyDescent="0.3">
      <c r="B12" s="71" t="s">
        <v>2776</v>
      </c>
      <c r="C12" s="33" t="s">
        <v>2777</v>
      </c>
    </row>
    <row r="13" spans="1:3" x14ac:dyDescent="0.3">
      <c r="B13" s="71" t="s">
        <v>2778</v>
      </c>
      <c r="C13" s="33" t="s">
        <v>2779</v>
      </c>
    </row>
    <row r="14" spans="1:3" x14ac:dyDescent="0.3">
      <c r="B14" s="71" t="s">
        <v>2780</v>
      </c>
      <c r="C14" s="33" t="s">
        <v>2781</v>
      </c>
    </row>
    <row r="15" spans="1:3" x14ac:dyDescent="0.3">
      <c r="B15" s="71" t="s">
        <v>2782</v>
      </c>
      <c r="C15" s="33" t="s">
        <v>2783</v>
      </c>
    </row>
    <row r="16" spans="1:3" x14ac:dyDescent="0.3">
      <c r="B16" s="71" t="s">
        <v>2784</v>
      </c>
      <c r="C16" s="33" t="s">
        <v>2785</v>
      </c>
    </row>
    <row r="17" spans="2:3" x14ac:dyDescent="0.3">
      <c r="B17" s="71" t="s">
        <v>2786</v>
      </c>
      <c r="C17" s="33" t="s">
        <v>2787</v>
      </c>
    </row>
    <row r="18" spans="2:3" x14ac:dyDescent="0.3">
      <c r="B18" s="71" t="s">
        <v>2788</v>
      </c>
      <c r="C18" s="33" t="s">
        <v>2789</v>
      </c>
    </row>
    <row r="19" spans="2:3" x14ac:dyDescent="0.3">
      <c r="B19" s="71" t="s">
        <v>2790</v>
      </c>
      <c r="C19" s="33" t="s">
        <v>2791</v>
      </c>
    </row>
    <row r="20" spans="2:3" s="43" customFormat="1" x14ac:dyDescent="0.3">
      <c r="B20" s="71" t="s">
        <v>3125</v>
      </c>
      <c r="C20" s="13" t="s">
        <v>3124</v>
      </c>
    </row>
    <row r="21" spans="2:3" ht="15" thickBot="1" x14ac:dyDescent="0.35">
      <c r="B21" s="72" t="s">
        <v>2792</v>
      </c>
      <c r="C21" s="34" t="s">
        <v>2793</v>
      </c>
    </row>
  </sheetData>
  <hyperlinks>
    <hyperlink ref="C12" r:id="rId1" display="https://doi.org/10.1002/cssc.202102628" xr:uid="{A57B155C-17F6-4144-B42E-1A9F24F264F3}"/>
    <hyperlink ref="C13" r:id="rId2" display="https://doi.org/10.1002/14356007.a04_463.pub3" xr:uid="{B54B394E-2A05-4377-8510-54E93B13CCD4}"/>
    <hyperlink ref="C14" r:id="rId3" display="https://doi.org/10.1002/14356007.a01_279.pub2" xr:uid="{8E53DA70-5A1D-4189-8385-68EBAC00DB2F}"/>
    <hyperlink ref="C15" r:id="rId4" display="https://doi.org/10.1016/j.resconrec.2022.106324" xr:uid="{8D5E3A06-F5EE-4DCB-AF72-BC2C91D04E29}"/>
    <hyperlink ref="C16" r:id="rId5" display="https://doi.org/10.1002/14356007.a25_413.pub3" xr:uid="{1D9D96FB-2ADE-46FA-871A-B8D7428BF537}"/>
    <hyperlink ref="C17" r:id="rId6" display="https://doi.org/10.1002/14356007.a04_447.pub2" xr:uid="{00FD8058-0C40-4B80-97A1-C593563FC727}"/>
    <hyperlink ref="C18" r:id="rId7" display="https://support.ecoinvent.org/ecoinvent-version-3.11" xr:uid="{19F4CB34-CD03-4B9F-A666-7D059E8236F8}"/>
    <hyperlink ref="C4" r:id="rId8" display="https://doi.org/10.1515/psr-2020-0076" xr:uid="{176B5B59-4646-4167-9E5B-3514E6CBF53D}"/>
    <hyperlink ref="C5" r:id="rId9" display="https://doi.org/10.1002/14356007.a14_611.pub2" xr:uid="{CF34BACC-C213-46FF-B427-9ADB14970CB0}"/>
    <hyperlink ref="C6" r:id="rId10" display="https://doi.org/10.1002/14356007.a20_181.pub2" xr:uid="{1A45ECC9-7356-4DE5-8B3C-9571186D41CA}"/>
    <hyperlink ref="C7" r:id="rId11" display="https://doi.org/10.1002/14356007.a26_193.pub3" xr:uid="{4F7DC297-AEBB-43B7-B278-EB3913BE5557}"/>
    <hyperlink ref="C10" r:id="rId12" display="https://doi.org/10.2172/1244312" xr:uid="{325A0706-224E-46C9-86B8-E28BD3ED9CD2}"/>
    <hyperlink ref="C8" r:id="rId13" display="https://doi.org/10.1186/s12934-016-0612-6" xr:uid="{0644C7F9-918F-4DA5-8437-C9D19DE1178D}"/>
    <hyperlink ref="C9" r:id="rId14" display="https://doi.org/10.1128/AEM.02417-20" xr:uid="{1EE26459-8B68-438C-A66A-A8FAD5226124}"/>
    <hyperlink ref="C11" r:id="rId15" location="2020" display="https://www.epa.gov/chemical-data-reporting/access-chemical-data-reporting-data - 2020" xr:uid="{BFF93FAD-3BCE-476B-98F4-D6AB64112F74}"/>
    <hyperlink ref="C19" r:id="rId16" display="http://www.lib.ncsu.edu/resolver/1840.16/3805" xr:uid="{9F62E3A4-E1FC-43BC-9526-CC0B15A2EA94}"/>
    <hyperlink ref="C21" r:id="rId17" xr:uid="{11A438F1-1154-4BD3-B47E-E1AA7F40A563}"/>
    <hyperlink ref="C20" r:id="rId18" display="https://doi.org/10.1787/aa1edf33-en" xr:uid="{6E8E21F5-8C8E-4302-9D86-2B24EAA066B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D5B937-45A7-4035-A841-43C337EEBF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Filtered PRODCOM data</vt:lpstr>
      <vt:lpstr>Correlation EU27 2019-2022</vt:lpstr>
      <vt:lpstr>Split Polyamides &amp; Isocyanates</vt:lpstr>
      <vt:lpstr>End-of-life fates</vt:lpstr>
      <vt:lpstr>Hotspot products export</vt:lpstr>
      <vt:lpstr>Sensitivity analysis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Lienart</dc:creator>
  <cp:lastModifiedBy>Nicolas Lienart</cp:lastModifiedBy>
  <dcterms:created xsi:type="dcterms:W3CDTF">2026-08-08T12:06:53Z</dcterms:created>
  <dcterms:modified xsi:type="dcterms:W3CDTF">2026-08-23T10:16:50Z</dcterms:modified>
</cp:coreProperties>
</file>