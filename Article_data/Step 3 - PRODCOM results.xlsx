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2F85B5D4-79F8-4A42-9EB6-2DF0ECCB430A}"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orrelation EU27 2019-2022" sheetId="8" r:id="rId3"/>
    <sheet name="Split Polyamides &amp; Isocyanates" sheetId="6" r:id="rId4"/>
    <sheet name="End-of-life fates" sheetId="10" r:id="rId5"/>
    <sheet name="Hotspot products export" sheetId="7" r:id="rId6"/>
    <sheet name="Sensitivity analysis" sheetId="9" r:id="rId7"/>
    <sheet name="References" sheetId="5" r:id="rId8"/>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0" i="4" l="1"/>
  <c r="C39" i="4"/>
  <c r="C38" i="4"/>
  <c r="C37" i="4"/>
  <c r="C36" i="4"/>
  <c r="C35" i="4"/>
  <c r="C34" i="4"/>
  <c r="C18" i="10"/>
  <c r="F18" i="10"/>
  <c r="F10" i="10"/>
  <c r="C10" i="10"/>
  <c r="F16" i="10" l="1"/>
  <c r="F15" i="10"/>
  <c r="F14" i="10"/>
  <c r="F13" i="10"/>
  <c r="F12" i="10"/>
  <c r="F11" i="10"/>
  <c r="D5" i="9" a="1"/>
  <c r="D5" i="9" s="1"/>
  <c r="C5" i="9" a="1"/>
  <c r="C5" i="9" s="1"/>
  <c r="C7" i="8" a="1"/>
  <c r="C7" i="8" s="1"/>
  <c r="C5" i="8"/>
  <c r="C4" i="8"/>
  <c r="S47" i="7"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D149" i="9" l="1"/>
  <c r="F5" i="9" s="1"/>
  <c r="C149" i="9"/>
  <c r="E37" i="9" s="1"/>
  <c r="C22" i="6"/>
  <c r="C13" i="6"/>
  <c r="F65" i="7"/>
  <c r="F64" i="7"/>
  <c r="F131" i="9" l="1"/>
  <c r="F111" i="9"/>
  <c r="F91" i="9"/>
  <c r="F71" i="9"/>
  <c r="F51" i="9"/>
  <c r="F31" i="9"/>
  <c r="F11" i="9"/>
  <c r="F130" i="9"/>
  <c r="F110" i="9"/>
  <c r="F90" i="9"/>
  <c r="F70" i="9"/>
  <c r="F50" i="9"/>
  <c r="F30" i="9"/>
  <c r="F10" i="9"/>
  <c r="F129" i="9"/>
  <c r="F109" i="9"/>
  <c r="F89" i="9"/>
  <c r="F69" i="9"/>
  <c r="F49" i="9"/>
  <c r="F29" i="9"/>
  <c r="F9" i="9"/>
  <c r="F128" i="9"/>
  <c r="F108" i="9"/>
  <c r="F88" i="9"/>
  <c r="F68" i="9"/>
  <c r="F48" i="9"/>
  <c r="F28" i="9"/>
  <c r="F143" i="9"/>
  <c r="F140" i="9"/>
  <c r="F92" i="9"/>
  <c r="F8" i="9"/>
  <c r="F63" i="9"/>
  <c r="F60" i="9"/>
  <c r="F32" i="9"/>
  <c r="F147" i="9"/>
  <c r="F127" i="9"/>
  <c r="F107" i="9"/>
  <c r="F87" i="9"/>
  <c r="F67" i="9"/>
  <c r="F47" i="9"/>
  <c r="F27" i="9"/>
  <c r="F7" i="9"/>
  <c r="F146" i="9"/>
  <c r="F126" i="9"/>
  <c r="F106" i="9"/>
  <c r="F86" i="9"/>
  <c r="F66" i="9"/>
  <c r="F46" i="9"/>
  <c r="F26" i="9"/>
  <c r="F6" i="9"/>
  <c r="F83" i="9"/>
  <c r="F80" i="9"/>
  <c r="F145" i="9"/>
  <c r="F125" i="9"/>
  <c r="F105" i="9"/>
  <c r="F85" i="9"/>
  <c r="F65" i="9"/>
  <c r="F45" i="9"/>
  <c r="F25" i="9"/>
  <c r="F103" i="9"/>
  <c r="F43" i="9"/>
  <c r="F120" i="9"/>
  <c r="F20" i="9"/>
  <c r="F72" i="9"/>
  <c r="F144" i="9"/>
  <c r="F124" i="9"/>
  <c r="F104" i="9"/>
  <c r="F84" i="9"/>
  <c r="F64" i="9"/>
  <c r="F44" i="9"/>
  <c r="F24" i="9"/>
  <c r="F123" i="9"/>
  <c r="F23" i="9"/>
  <c r="F100" i="9"/>
  <c r="F40" i="9"/>
  <c r="F52" i="9"/>
  <c r="F142" i="9"/>
  <c r="F122" i="9"/>
  <c r="F102" i="9"/>
  <c r="F82" i="9"/>
  <c r="F62" i="9"/>
  <c r="F42" i="9"/>
  <c r="F22" i="9"/>
  <c r="F141" i="9"/>
  <c r="F121" i="9"/>
  <c r="F101" i="9"/>
  <c r="F81" i="9"/>
  <c r="F61" i="9"/>
  <c r="F41" i="9"/>
  <c r="F21" i="9"/>
  <c r="F139" i="9"/>
  <c r="F119" i="9"/>
  <c r="F99" i="9"/>
  <c r="F79" i="9"/>
  <c r="F59" i="9"/>
  <c r="F39" i="9"/>
  <c r="F19" i="9"/>
  <c r="F138" i="9"/>
  <c r="F118" i="9"/>
  <c r="F98" i="9"/>
  <c r="F78" i="9"/>
  <c r="F58" i="9"/>
  <c r="F38" i="9"/>
  <c r="F18" i="9"/>
  <c r="F137" i="9"/>
  <c r="F117" i="9"/>
  <c r="F97" i="9"/>
  <c r="F77" i="9"/>
  <c r="F57" i="9"/>
  <c r="F37" i="9"/>
  <c r="F17" i="9"/>
  <c r="F136" i="9"/>
  <c r="F116" i="9"/>
  <c r="F96" i="9"/>
  <c r="F76" i="9"/>
  <c r="F56" i="9"/>
  <c r="F36" i="9"/>
  <c r="F16" i="9"/>
  <c r="F75" i="9"/>
  <c r="F112" i="9"/>
  <c r="F135" i="9"/>
  <c r="F115" i="9"/>
  <c r="F95" i="9"/>
  <c r="F55" i="9"/>
  <c r="F35" i="9"/>
  <c r="F15" i="9"/>
  <c r="F134" i="9"/>
  <c r="F114" i="9"/>
  <c r="F94" i="9"/>
  <c r="F74" i="9"/>
  <c r="F54" i="9"/>
  <c r="F34" i="9"/>
  <c r="F14" i="9"/>
  <c r="F133" i="9"/>
  <c r="F113" i="9"/>
  <c r="F93" i="9"/>
  <c r="F73" i="9"/>
  <c r="F53" i="9"/>
  <c r="F33" i="9"/>
  <c r="F13" i="9"/>
  <c r="F132" i="9"/>
  <c r="F12" i="9"/>
  <c r="E68" i="9"/>
  <c r="E7" i="9"/>
  <c r="E28" i="9"/>
  <c r="E117" i="9"/>
  <c r="E27" i="9"/>
  <c r="E58" i="9"/>
  <c r="E38" i="9"/>
  <c r="E18" i="9"/>
  <c r="E137" i="9"/>
  <c r="E128" i="9"/>
  <c r="E78" i="9"/>
  <c r="E17" i="9"/>
  <c r="E48" i="9"/>
  <c r="E8" i="9"/>
  <c r="E147" i="9"/>
  <c r="E127" i="9"/>
  <c r="E107" i="9"/>
  <c r="E97" i="9"/>
  <c r="E87" i="9"/>
  <c r="E77" i="9"/>
  <c r="E118" i="9"/>
  <c r="E67" i="9"/>
  <c r="E108" i="9"/>
  <c r="E57" i="9"/>
  <c r="E98" i="9"/>
  <c r="E47" i="9"/>
  <c r="E88" i="9"/>
  <c r="E138" i="9"/>
  <c r="E75" i="9"/>
  <c r="E96" i="9"/>
  <c r="E139" i="9"/>
  <c r="E116" i="9"/>
  <c r="E105" i="9"/>
  <c r="E94" i="9"/>
  <c r="E83" i="9"/>
  <c r="E72" i="9"/>
  <c r="E61" i="9"/>
  <c r="E50" i="9"/>
  <c r="E39" i="9"/>
  <c r="E16" i="9"/>
  <c r="E126" i="9"/>
  <c r="E115" i="9"/>
  <c r="E104" i="9"/>
  <c r="E93" i="9"/>
  <c r="E82" i="9"/>
  <c r="E60" i="9"/>
  <c r="E49" i="9"/>
  <c r="E26" i="9"/>
  <c r="E15" i="9"/>
  <c r="E112" i="9"/>
  <c r="E79" i="9"/>
  <c r="E56" i="9"/>
  <c r="E34" i="9"/>
  <c r="E12" i="9"/>
  <c r="E122" i="9"/>
  <c r="E100" i="9"/>
  <c r="E55" i="9"/>
  <c r="E22" i="9"/>
  <c r="E121" i="9"/>
  <c r="E99" i="9"/>
  <c r="E65" i="9"/>
  <c r="E21" i="9"/>
  <c r="E120" i="9"/>
  <c r="E53" i="9"/>
  <c r="E9" i="9"/>
  <c r="E119" i="9"/>
  <c r="E74" i="9"/>
  <c r="E30" i="9"/>
  <c r="E71" i="9"/>
  <c r="E109" i="9"/>
  <c r="E31" i="9"/>
  <c r="E141" i="9"/>
  <c r="E41" i="9"/>
  <c r="E80" i="9"/>
  <c r="E123" i="9"/>
  <c r="E110" i="9"/>
  <c r="E136" i="9"/>
  <c r="E125" i="9"/>
  <c r="E114" i="9"/>
  <c r="E103" i="9"/>
  <c r="E92" i="9"/>
  <c r="E81" i="9"/>
  <c r="E70" i="9"/>
  <c r="E59" i="9"/>
  <c r="E36" i="9"/>
  <c r="E25" i="9"/>
  <c r="E14" i="9"/>
  <c r="E146" i="9"/>
  <c r="E135" i="9"/>
  <c r="E124" i="9"/>
  <c r="E113" i="9"/>
  <c r="E102" i="9"/>
  <c r="E91" i="9"/>
  <c r="E69" i="9"/>
  <c r="E46" i="9"/>
  <c r="E35" i="9"/>
  <c r="E24" i="9"/>
  <c r="E13" i="9"/>
  <c r="E145" i="9"/>
  <c r="E101" i="9"/>
  <c r="E90" i="9"/>
  <c r="E45" i="9"/>
  <c r="E23" i="9"/>
  <c r="E133" i="9"/>
  <c r="E111" i="9"/>
  <c r="E66" i="9"/>
  <c r="E44" i="9"/>
  <c r="E132" i="9"/>
  <c r="E54" i="9"/>
  <c r="E32" i="9"/>
  <c r="E10" i="9"/>
  <c r="E131" i="9"/>
  <c r="E64" i="9"/>
  <c r="E85" i="9"/>
  <c r="E63" i="9"/>
  <c r="E19" i="9"/>
  <c r="E134" i="9"/>
  <c r="E144" i="9"/>
  <c r="E89" i="9"/>
  <c r="E33" i="9"/>
  <c r="E11" i="9"/>
  <c r="E143" i="9"/>
  <c r="E76" i="9"/>
  <c r="E43" i="9"/>
  <c r="E142" i="9"/>
  <c r="E42" i="9"/>
  <c r="E130" i="9"/>
  <c r="E52" i="9"/>
  <c r="E86" i="9"/>
  <c r="E20" i="9"/>
  <c r="E6" i="9"/>
  <c r="E140" i="9"/>
  <c r="E129" i="9"/>
  <c r="E106" i="9"/>
  <c r="E95" i="9"/>
  <c r="E84" i="9"/>
  <c r="E73" i="9"/>
  <c r="E62" i="9"/>
  <c r="E51" i="9"/>
  <c r="E40" i="9"/>
  <c r="E29" i="9"/>
  <c r="E5" i="9"/>
  <c r="Y63" i="7"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I5" i="9" l="1"/>
  <c r="N15" i="7"/>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family val="2"/>
          </rPr>
          <t>Nicolas Lienart:</t>
        </r>
        <r>
          <rPr>
            <sz val="9"/>
            <color indexed="81"/>
            <rFont val="Tahoma"/>
            <family val="2"/>
          </rPr>
          <t xml:space="preserve">
Saudi Arabia and South Korea</t>
        </r>
      </text>
    </comment>
    <comment ref="X15" authorId="0" shapeId="0" xr:uid="{59700EF9-EB1E-4FC4-A0CF-E1B9A01EFC14}">
      <text>
        <r>
          <rPr>
            <b/>
            <sz val="9"/>
            <color indexed="81"/>
            <rFont val="Tahoma"/>
            <family val="2"/>
          </rPr>
          <t>Nicolas Lienart:</t>
        </r>
        <r>
          <rPr>
            <sz val="9"/>
            <color indexed="81"/>
            <rFont val="Tahoma"/>
            <family val="2"/>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<sst xmlns="http://schemas.openxmlformats.org/spreadsheetml/2006/main" count="7918" uniqueCount="3147">
  <si>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</si>
  <si>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</si>
  <si>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</si>
  <si>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</si>
  <si>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</si>
  <si>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</si>
  <si>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</si>
  <si>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</si>
  <si>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</si>
  <si>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</si>
  <si>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</si>
  <si>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</si>
  <si>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</si>
  <si>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</si>
  <si>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</si>
  <si>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</si>
  <si>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</si>
  <si>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</si>
  <si>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</si>
  <si>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</si>
  <si>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</si>
  <si>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</si>
  <si>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</si>
  <si>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</si>
  <si>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</si>
  <si>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</si>
  <si>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</si>
  <si>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</si>
  <si>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</si>
  <si>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</si>
  <si>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</si>
  <si>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</si>
  <si>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</si>
  <si>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</si>
  <si>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</si>
  <si>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</si>
  <si>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</si>
  <si>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</si>
  <si>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</si>
  <si>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</si>
  <si>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</si>
  <si>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</si>
  <si>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</si>
  <si>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</si>
  <si>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</si>
  <si>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</si>
  <si>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</si>
  <si>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</si>
  <si>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</si>
  <si>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</si>
  <si>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</si>
  <si>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</si>
  <si>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</si>
  <si>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</si>
  <si>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</si>
  <si>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</si>
  <si>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</si>
  <si>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</si>
  <si>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</si>
  <si>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</si>
  <si>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</si>
  <si>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</si>
  <si>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</si>
  <si>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</si>
  <si>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</si>
  <si>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</si>
  <si>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</si>
  <si>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</si>
  <si>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</si>
  <si>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</si>
  <si>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</si>
  <si>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</si>
  <si>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</si>
  <si>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</si>
  <si>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</si>
  <si>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</si>
  <si>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</si>
  <si>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</si>
  <si>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</si>
  <si>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</si>
  <si>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</si>
  <si>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</si>
  <si>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</si>
  <si>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</si>
  <si>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</si>
  <si>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</si>
  <si>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</si>
  <si>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</si>
  <si>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</si>
  <si>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</si>
  <si>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</si>
  <si>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</si>
  <si>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</si>
  <si>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</si>
  <si>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</si>
  <si>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</si>
  <si>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</si>
  <si>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</si>
  <si>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</si>
  <si>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</si>
  <si>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</si>
  <si>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</si>
  <si>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</si>
  <si>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</si>
  <si>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</si>
  <si>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</si>
  <si>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</si>
  <si>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</si>
  <si>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</si>
  <si>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</si>
  <si>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</si>
  <si>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</si>
  <si>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</si>
  <si>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</si>
  <si>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</si>
  <si>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</si>
  <si>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</si>
  <si>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</si>
  <si>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</si>
  <si>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</si>
  <si>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</si>
  <si>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</si>
  <si>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</si>
  <si>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</si>
  <si>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</si>
  <si>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</si>
  <si>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</si>
  <si>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</si>
  <si>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</si>
  <si>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</si>
  <si>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</si>
  <si>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</si>
  <si>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</si>
  <si>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</si>
  <si>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</si>
  <si>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</si>
  <si>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</si>
  <si>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</si>
  <si>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</si>
  <si>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</si>
  <si>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</si>
  <si>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</si>
  <si>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</si>
  <si>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</si>
  <si>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</si>
  <si>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</si>
  <si>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</si>
  <si>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</si>
  <si>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</si>
  <si>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</si>
  <si>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</si>
  <si>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</si>
  <si>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</si>
  <si>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</si>
  <si>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</si>
  <si>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</si>
  <si>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</si>
  <si>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</si>
  <si>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</si>
  <si>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</si>
  <si>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</si>
  <si>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</si>
  <si>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</si>
  <si>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</si>
  <si>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</si>
  <si>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</si>
  <si>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</si>
  <si>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</si>
  <si>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</si>
  <si>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</si>
  <si>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</si>
  <si>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</si>
  <si>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</si>
  <si>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</si>
  <si>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</si>
  <si>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</si>
  <si>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</si>
  <si>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</si>
  <si>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</si>
  <si>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</si>
  <si>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</si>
  <si>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</si>
  <si>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</si>
  <si>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</si>
  <si>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</si>
  <si>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</si>
  <si>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</si>
  <si>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</si>
  <si>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</si>
  <si>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</si>
  <si>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</si>
  <si>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</si>
  <si>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</si>
  <si>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</si>
  <si>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</si>
  <si>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</si>
  <si>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</si>
  <si>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</si>
  <si>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</si>
  <si>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</si>
  <si>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</si>
  <si>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</si>
  <si>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</si>
  <si>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</si>
  <si>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</si>
  <si>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</si>
  <si>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</si>
  <si>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</si>
  <si>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</si>
  <si>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</si>
  <si>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</si>
  <si>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</si>
  <si>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</si>
  <si>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</si>
  <si>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</si>
  <si>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</si>
  <si>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</si>
  <si>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</si>
  <si>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</si>
  <si>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</si>
  <si>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</si>
  <si>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</si>
  <si>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</si>
  <si>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</si>
  <si>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</si>
  <si>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</si>
  <si>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</si>
  <si>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</si>
  <si>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</si>
  <si>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</si>
  <si>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</si>
  <si>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</si>
  <si>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</si>
  <si>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</si>
  <si>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</si>
  <si>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</si>
  <si>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</si>
  <si>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</si>
  <si>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</si>
  <si>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</si>
  <si>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</si>
  <si>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</si>
  <si>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</si>
  <si>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</si>
  <si>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</si>
  <si>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</si>
  <si>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</si>
  <si>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</si>
  <si>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</si>
  <si>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</si>
  <si>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</si>
  <si>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</si>
  <si>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</si>
  <si>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</si>
  <si>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</si>
  <si>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</si>
  <si>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</si>
  <si>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</si>
  <si>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</si>
  <si>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</si>
  <si>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</si>
  <si>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</si>
  <si>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</si>
  <si>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</si>
  <si>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</si>
  <si>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</si>
  <si>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</si>
  <si>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</si>
  <si>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</si>
  <si>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</si>
  <si>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</si>
  <si>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</si>
  <si>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</si>
  <si>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</si>
  <si>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</si>
  <si>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</si>
  <si>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</si>
  <si>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</si>
  <si>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</si>
  <si>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</si>
  <si>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</si>
  <si>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</si>
  <si>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</si>
  <si>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</si>
  <si>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</si>
  <si>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</si>
  <si>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</si>
  <si>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</si>
  <si>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</si>
  <si>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</si>
  <si>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</si>
  <si>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</si>
  <si>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</si>
  <si>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</si>
  <si>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</si>
  <si>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</si>
  <si>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</si>
  <si>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</si>
  <si>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</si>
  <si>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</si>
  <si>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</si>
  <si>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</si>
  <si>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</si>
  <si>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</si>
  <si>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</si>
  <si>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</si>
  <si>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</si>
  <si>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</si>
  <si>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</si>
  <si>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</si>
  <si>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</si>
  <si>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</si>
  <si>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</si>
  <si>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</si>
  <si>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</si>
  <si>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</si>
  <si>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</si>
  <si>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</si>
  <si>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</si>
  <si>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</si>
  <si>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</si>
  <si>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</si>
  <si>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</si>
  <si>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</si>
  <si>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</si>
  <si>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</si>
  <si>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</si>
  <si>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</si>
  <si>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</si>
  <si>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</si>
  <si>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</si>
  <si>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</si>
  <si>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</si>
  <si>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</si>
  <si>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</si>
  <si>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</si>
  <si>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</si>
  <si>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</si>
  <si>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</si>
  <si>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</si>
  <si>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</si>
  <si>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</si>
  <si>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</si>
  <si>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</si>
  <si>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</si>
  <si>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</si>
  <si>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</si>
  <si>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</si>
  <si>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</si>
  <si>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</si>
  <si>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</si>
  <si>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</si>
  <si>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</si>
  <si>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</si>
  <si>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</si>
  <si>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</si>
  <si>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</si>
  <si>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</si>
  <si>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</si>
  <si>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</si>
  <si>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</si>
  <si>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</si>
  <si>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</si>
  <si>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</si>
  <si>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</si>
  <si>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</si>
  <si>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</si>
  <si>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</si>
  <si>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</si>
  <si>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</si>
  <si>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</si>
  <si>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</si>
  <si>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</si>
  <si>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</si>
  <si>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</si>
  <si>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</si>
  <si>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</si>
  <si>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</si>
  <si>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</si>
  <si>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</si>
  <si>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</si>
  <si>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</si>
  <si>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</si>
  <si>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</si>
  <si>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</si>
  <si>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</si>
  <si>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</si>
  <si>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</si>
  <si>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</si>
  <si>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</si>
  <si>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</si>
  <si>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</si>
  <si>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</si>
  <si>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</si>
  <si>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</si>
  <si>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</si>
  <si>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</si>
  <si>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</si>
  <si>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</si>
  <si>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</si>
  <si>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</si>
  <si>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</si>
  <si>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</si>
  <si>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</si>
  <si>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</si>
  <si>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</si>
  <si>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</si>
  <si>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</si>
  <si>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</si>
  <si>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</si>
  <si>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</si>
  <si>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</si>
  <si>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</si>
  <si>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</si>
  <si>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</si>
  <si>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</si>
  <si>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</si>
  <si>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</si>
  <si>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</si>
  <si>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</si>
  <si>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</si>
  <si>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</si>
  <si>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</si>
  <si>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</si>
  <si>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</si>
  <si>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</si>
  <si>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</si>
  <si>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</si>
  <si>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</si>
  <si>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</si>
  <si>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</si>
  <si>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</si>
  <si>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</si>
  <si>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</si>
  <si>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</si>
  <si>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</si>
  <si>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</si>
  <si>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</si>
  <si>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</si>
  <si>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</si>
  <si>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</si>
  <si>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</si>
  <si>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</si>
  <si>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</si>
  <si>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</si>
  <si>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</si>
  <si>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</si>
  <si>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</si>
  <si>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</si>
  <si>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</si>
  <si>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</si>
  <si>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</si>
  <si>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</si>
  <si>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</si>
  <si>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</si>
  <si>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</si>
  <si>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</si>
  <si>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</si>
  <si>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</si>
  <si>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</si>
  <si>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</si>
  <si>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</si>
  <si>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</si>
  <si>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</si>
  <si>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</si>
  <si>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</si>
  <si>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</si>
  <si>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</si>
  <si>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</si>
  <si>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</si>
  <si>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</si>
  <si>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</si>
  <si>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</si>
  <si>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</si>
  <si>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</si>
  <si>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</si>
  <si>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</si>
  <si>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</si>
  <si>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</si>
  <si>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</si>
  <si>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</si>
  <si>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</si>
  <si>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</si>
  <si>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</si>
  <si>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</si>
  <si>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</si>
  <si>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</si>
  <si>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</si>
  <si>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</si>
  <si>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</si>
  <si>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</si>
  <si>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</si>
  <si>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</si>
  <si>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</si>
  <si>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</si>
  <si>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</si>
  <si>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</si>
  <si>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</si>
  <si>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</si>
  <si>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</si>
  <si>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</si>
  <si>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</si>
  <si>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</si>
  <si>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</si>
  <si>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</si>
  <si>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</si>
  <si>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</si>
  <si>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</si>
  <si>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</si>
  <si>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</si>
  <si>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</si>
  <si>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</si>
  <si>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</si>
  <si>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</si>
  <si>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</si>
  <si>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</si>
  <si>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</si>
  <si>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</si>
  <si>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</si>
  <si>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</si>
  <si>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</si>
  <si>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</si>
  <si>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</si>
  <si>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</si>
  <si>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</si>
  <si>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</si>
  <si>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</si>
  <si>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</si>
  <si>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</si>
  <si>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</si>
  <si>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</si>
  <si>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</si>
  <si>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</si>
  <si>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</si>
  <si>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</si>
  <si>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</si>
  <si>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</si>
  <si>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</si>
  <si>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</si>
  <si>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</si>
  <si>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</si>
  <si>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</si>
  <si>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</si>
  <si>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</si>
  <si>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</si>
  <si>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</si>
  <si>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</si>
  <si>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</si>
  <si>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</si>
  <si>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</si>
  <si>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</si>
  <si>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</si>
  <si>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</si>
  <si>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</si>
  <si>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</si>
  <si>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</si>
  <si>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</si>
  <si>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</si>
  <si>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</si>
  <si>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</si>
  <si>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</si>
  <si>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</si>
  <si>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</si>
  <si>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</si>
  <si>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</si>
  <si>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</si>
  <si>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</si>
  <si>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</si>
  <si>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</si>
  <si>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</si>
  <si>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</si>
  <si>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</si>
  <si>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</si>
  <si>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</si>
  <si>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</si>
  <si>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</si>
  <si>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</si>
  <si>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</si>
  <si>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</si>
  <si>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</si>
  <si>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</si>
  <si>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</si>
  <si>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</si>
  <si>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</si>
  <si>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</si>
  <si>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</si>
  <si>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</si>
  <si>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</si>
  <si>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</si>
  <si>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</si>
  <si>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</si>
  <si>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</si>
  <si>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</si>
  <si>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</si>
  <si>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</si>
  <si>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</si>
  <si>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</si>
  <si>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</si>
  <si>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</si>
  <si>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</si>
  <si>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</si>
  <si>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</si>
  <si>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</si>
  <si>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</si>
  <si>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</si>
  <si>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</si>
  <si>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</si>
  <si>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</si>
  <si>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</si>
  <si>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</si>
  <si>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</si>
  <si>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</si>
  <si>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</si>
  <si>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</si>
  <si>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</si>
  <si>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</si>
  <si>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</si>
  <si>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</si>
  <si>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</si>
  <si>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</si>
  <si>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</si>
  <si>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</si>
  <si>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</si>
  <si>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</si>
  <si>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</si>
  <si>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</si>
  <si>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</si>
  <si>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</si>
  <si>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</si>
  <si>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</si>
  <si>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</si>
  <si>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</si>
  <si>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</si>
  <si>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</si>
  <si>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</si>
  <si>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</si>
  <si>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</si>
  <si>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</si>
  <si>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</si>
  <si>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</si>
  <si>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</si>
  <si>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</si>
  <si>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</si>
  <si>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</si>
  <si>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</si>
  <si>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</si>
  <si>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</si>
  <si>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</si>
  <si>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</si>
  <si>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</si>
  <si>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</si>
  <si>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</si>
  <si>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</si>
  <si>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</si>
  <si>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</si>
  <si>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</si>
  <si>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</si>
  <si>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</si>
  <si>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</si>
  <si>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</si>
  <si>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</si>
  <si>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</si>
  <si>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</si>
  <si>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</si>
  <si>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</si>
  <si>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</si>
  <si>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</si>
  <si>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</si>
  <si>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</si>
  <si>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</si>
  <si>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</si>
  <si>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</si>
  <si>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</si>
  <si>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</si>
  <si>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</si>
  <si>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</si>
  <si>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</si>
  <si>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</si>
  <si>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</si>
  <si>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</si>
  <si>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</si>
  <si>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</si>
  <si>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</si>
  <si>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</si>
  <si>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</si>
  <si>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</si>
  <si>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</si>
  <si>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</si>
  <si>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</si>
  <si>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</si>
  <si>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</si>
  <si>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</si>
  <si>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</si>
  <si>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</si>
  <si>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</si>
  <si>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</si>
  <si>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</si>
  <si>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</si>
  <si>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</si>
  <si>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</si>
  <si>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</si>
  <si>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</si>
  <si>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</si>
  <si>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</si>
  <si>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</si>
  <si>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</si>
  <si>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</si>
  <si>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</si>
  <si>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</si>
  <si>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</si>
  <si>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</si>
  <si>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</si>
  <si>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</si>
  <si>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</si>
  <si>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</si>
  <si>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</si>
  <si>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</si>
  <si>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</si>
  <si>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</si>
  <si>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</si>
  <si>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</si>
  <si>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</si>
  <si>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</si>
  <si>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</si>
  <si>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</si>
  <si>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</si>
  <si>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</si>
  <si>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</si>
  <si>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</si>
  <si>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</si>
  <si>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</si>
  <si>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</si>
  <si>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</si>
  <si>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</si>
  <si>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</si>
  <si>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</si>
  <si>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</si>
  <si>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</si>
  <si>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</si>
  <si>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</si>
  <si>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</si>
  <si>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</si>
  <si>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</si>
  <si>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</si>
  <si>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</si>
  <si>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</si>
  <si>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</si>
  <si>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</si>
  <si>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</si>
  <si>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</si>
  <si>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</si>
  <si>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</si>
  <si>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</si>
  <si>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</si>
  <si>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</si>
  <si>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</si>
  <si>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</si>
  <si>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</si>
  <si>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</si>
  <si>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</si>
  <si>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</si>
  <si>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</si>
  <si>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</si>
  <si>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</si>
  <si>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</si>
  <si>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</si>
  <si>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</si>
  <si>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</si>
  <si>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</si>
  <si>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</si>
  <si>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</si>
  <si>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</si>
  <si>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</si>
  <si>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</si>
  <si>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</si>
  <si>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</si>
  <si>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</si>
  <si>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</si>
  <si>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</si>
  <si>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</si>
  <si>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</si>
  <si>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</si>
  <si>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</si>
  <si>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</si>
  <si>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</si>
  <si>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</si>
  <si>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</si>
  <si>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</si>
  <si>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</si>
  <si>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</si>
  <si>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</si>
  <si>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</si>
  <si>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</si>
  <si>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</si>
  <si>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</si>
  <si>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</si>
  <si>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</si>
  <si>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</si>
  <si>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</si>
  <si>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</si>
  <si>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</si>
  <si>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</si>
  <si>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</si>
  <si>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</si>
  <si>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</si>
  <si>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</si>
  <si>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</si>
  <si>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</si>
  <si>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</si>
  <si>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</si>
  <si>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</si>
  <si>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</si>
  <si>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</si>
  <si>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</si>
  <si>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</si>
  <si>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</si>
  <si>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</si>
  <si>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</si>
  <si>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</si>
  <si>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</si>
  <si>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</si>
  <si>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</si>
  <si>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</si>
  <si>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</si>
  <si>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</si>
  <si>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</si>
  <si>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</si>
  <si>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</si>
  <si>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</si>
  <si>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</si>
  <si>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</si>
  <si>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</si>
  <si>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</si>
  <si>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</si>
  <si>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</si>
  <si>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</si>
  <si>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</si>
  <si>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</si>
  <si>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</si>
  <si>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</si>
  <si>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</si>
  <si>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</si>
  <si>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</si>
  <si>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</si>
  <si>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</si>
  <si>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</si>
  <si>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</si>
  <si>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</si>
  <si>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</si>
  <si>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</si>
  <si>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</si>
  <si>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</si>
  <si>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</si>
  <si>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</si>
  <si>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</si>
  <si>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</si>
  <si>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</si>
  <si>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</si>
  <si>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</si>
  <si>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</si>
  <si>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</si>
  <si>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</si>
  <si>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</si>
  <si>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</si>
  <si>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</si>
  <si>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</si>
  <si>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</si>
  <si>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</si>
  <si>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</si>
  <si>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</si>
  <si>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</si>
  <si>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</si>
  <si>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</si>
  <si>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</si>
  <si>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</si>
  <si>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</si>
  <si>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</si>
  <si>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</si>
  <si>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</si>
  <si>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</si>
  <si>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</si>
  <si>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</si>
  <si>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</si>
  <si>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</si>
  <si>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</si>
  <si>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</si>
  <si>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</si>
  <si>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</si>
  <si>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</si>
  <si>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</si>
  <si>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</si>
  <si>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</si>
  <si>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</si>
  <si>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</si>
  <si>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</si>
  <si>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</si>
  <si>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</si>
  <si>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</si>
  <si>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</si>
  <si>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</si>
  <si>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</si>
  <si>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</si>
  <si>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</si>
  <si>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</si>
  <si>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</si>
  <si>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</si>
  <si>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</si>
  <si>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</si>
  <si>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</si>
  <si>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</si>
  <si>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</si>
  <si>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</si>
  <si>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</si>
  <si>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</si>
  <si>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</si>
  <si>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</si>
  <si>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</si>
  <si>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</si>
  <si>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</si>
  <si>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</si>
  <si>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</si>
  <si>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</si>
  <si>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</si>
  <si>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</si>
  <si>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</si>
  <si>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</si>
  <si>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</si>
  <si>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</si>
  <si>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</si>
  <si>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</si>
  <si>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</si>
  <si>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</si>
  <si>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</si>
  <si>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</si>
  <si>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</si>
  <si>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</si>
  <si>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</si>
  <si>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</si>
  <si>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</si>
  <si>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</si>
  <si>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</si>
  <si>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</si>
  <si>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</si>
  <si>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</si>
  <si>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</si>
  <si>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</si>
  <si>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</si>
  <si>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</si>
  <si>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</si>
  <si>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</si>
  <si>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</si>
  <si>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</si>
  <si>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</si>
  <si>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</si>
  <si>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</si>
  <si>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</si>
  <si>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</si>
  <si>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</si>
  <si>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</si>
  <si>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</si>
  <si>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</si>
  <si>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</si>
  <si>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</si>
  <si>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</si>
  <si>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</si>
  <si>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</si>
  <si>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</si>
  <si>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</si>
  <si>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</si>
  <si>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</si>
  <si>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</si>
  <si>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</si>
  <si>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</si>
  <si>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</si>
  <si>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</si>
  <si>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</si>
  <si>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</si>
  <si>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</si>
  <si>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</si>
  <si>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</si>
  <si>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</si>
  <si>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</si>
  <si>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</si>
  <si>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</si>
  <si>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</si>
  <si>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</si>
  <si>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</si>
  <si>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</si>
  <si>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</si>
  <si>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</si>
  <si>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</si>
  <si>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</si>
  <si>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</si>
  <si>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</si>
  <si>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</si>
  <si>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</si>
  <si>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</si>
  <si>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</si>
  <si>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</si>
  <si>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</si>
  <si>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</si>
  <si>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</si>
  <si>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</si>
  <si>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</si>
  <si>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</si>
  <si>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</si>
  <si>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</si>
  <si>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</si>
  <si>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</si>
  <si>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</si>
  <si>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</si>
  <si>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</si>
  <si>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</si>
  <si>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</si>
  <si>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</si>
  <si>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</si>
  <si>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</si>
  <si>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</si>
  <si>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</si>
  <si>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</si>
  <si>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</si>
  <si>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</si>
  <si>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</si>
  <si>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</si>
  <si>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</si>
  <si>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</si>
  <si>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</si>
  <si>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</si>
  <si>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</si>
  <si>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</si>
  <si>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</si>
  <si>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</si>
  <si>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</si>
  <si>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</si>
  <si>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</si>
  <si>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</si>
  <si>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</si>
  <si>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</si>
  <si>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</si>
  <si>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</si>
  <si>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</si>
  <si>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</si>
  <si>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</si>
  <si>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</si>
  <si>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</si>
  <si>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</si>
  <si>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</si>
  <si>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</si>
  <si>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</si>
  <si>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</si>
  <si>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</si>
  <si>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</si>
  <si>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</si>
  <si>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</si>
  <si>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</si>
  <si>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</si>
  <si>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</si>
  <si>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</si>
  <si>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</si>
  <si>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</si>
  <si>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</si>
  <si>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</si>
  <si>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</si>
  <si>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</si>
  <si>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</si>
  <si>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</si>
  <si>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</si>
  <si>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</si>
  <si>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</si>
  <si>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</si>
  <si>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</si>
  <si>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</si>
  <si>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</si>
  <si>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</si>
  <si>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</si>
  <si>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</si>
  <si>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</si>
  <si>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</si>
  <si>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</si>
  <si>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</si>
  <si>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</si>
  <si>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</si>
  <si>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</si>
  <si>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</si>
  <si>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</si>
  <si>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</si>
  <si>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</si>
  <si>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</si>
  <si>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</si>
  <si>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</si>
  <si>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</si>
  <si>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</si>
  <si>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</si>
  <si>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</si>
  <si>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</si>
  <si>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</si>
  <si>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</si>
  <si>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</si>
  <si>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</si>
  <si>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</si>
  <si>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</si>
  <si>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</si>
  <si>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</si>
  <si>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</si>
  <si>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</si>
  <si>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</si>
  <si>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</si>
  <si>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</si>
  <si>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</si>
  <si>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</si>
  <si>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</si>
  <si>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</si>
  <si>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</si>
  <si>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</si>
  <si>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</si>
  <si>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</si>
  <si>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</si>
  <si>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</si>
  <si>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</si>
  <si>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</si>
  <si>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</si>
  <si>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</si>
  <si>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</si>
  <si>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</si>
  <si>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</si>
  <si>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</si>
  <si>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</si>
  <si>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</si>
  <si>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</si>
  <si>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</si>
  <si>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</si>
  <si>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</si>
  <si>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</si>
  <si>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</si>
  <si>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</si>
  <si>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</si>
  <si>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</si>
  <si>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</si>
  <si>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</si>
  <si>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</si>
  <si>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</si>
  <si>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</si>
  <si>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</si>
  <si>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</si>
  <si>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</si>
  <si>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</si>
  <si>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</si>
  <si>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</si>
  <si>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</si>
  <si>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</si>
  <si>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</si>
  <si>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</si>
  <si>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</si>
  <si>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</si>
  <si>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</si>
  <si>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</si>
  <si>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</si>
  <si>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</si>
  <si>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</si>
  <si>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</si>
  <si>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</si>
  <si>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</si>
  <si>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</si>
  <si>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</si>
  <si>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</si>
  <si>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</si>
  <si>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</si>
  <si>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</si>
  <si>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</si>
  <si>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</si>
  <si>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</si>
  <si>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</si>
  <si>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</si>
  <si>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</si>
  <si>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</si>
  <si>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</si>
  <si>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</si>
  <si>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</si>
  <si>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</si>
  <si>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</si>
  <si>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</si>
  <si>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</si>
  <si>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</si>
  <si>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</si>
  <si>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</si>
  <si>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</si>
  <si>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</si>
  <si>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</si>
  <si>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</si>
  <si>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</si>
  <si>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</si>
  <si>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</si>
  <si>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</si>
  <si>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</si>
  <si>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</si>
  <si>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</si>
  <si>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</si>
  <si>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</si>
  <si>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</si>
  <si>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</si>
  <si>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</si>
  <si>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</si>
  <si>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</si>
  <si>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</si>
  <si>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</si>
  <si>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</si>
  <si>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</si>
  <si>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</si>
  <si>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</si>
  <si>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</si>
  <si>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</si>
  <si>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</si>
  <si>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</si>
  <si>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</si>
  <si>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</si>
  <si>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</si>
  <si>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</si>
  <si>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</si>
  <si>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</si>
  <si>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</si>
  <si>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</si>
  <si>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</si>
  <si>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</si>
  <si>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</si>
  <si>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</si>
  <si>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</si>
  <si>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</si>
  <si>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</si>
  <si>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</si>
  <si>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</si>
  <si>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</si>
  <si>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</si>
  <si>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</si>
  <si>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</si>
  <si>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</si>
  <si>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</si>
  <si>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</si>
  <si>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</si>
  <si>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</si>
  <si>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</si>
  <si>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</si>
  <si>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</si>
  <si>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</si>
  <si>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</si>
  <si>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</si>
  <si>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</si>
  <si>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</si>
  <si>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</si>
  <si>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</si>
  <si>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</si>
  <si>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</si>
  <si>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</si>
  <si>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</si>
  <si>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</si>
  <si>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</si>
  <si>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</si>
  <si>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</si>
  <si>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</si>
  <si>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</si>
  <si>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</si>
  <si>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</si>
  <si>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</si>
  <si>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</si>
  <si>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</si>
  <si>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</si>
  <si>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</si>
  <si>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</si>
  <si>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</si>
  <si>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</si>
  <si>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</si>
  <si>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</si>
  <si>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</si>
  <si>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</si>
  <si>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</si>
  <si>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</si>
  <si>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</si>
  <si>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</si>
  <si>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</si>
  <si>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</si>
  <si>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</si>
  <si>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</si>
  <si>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</si>
  <si>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</si>
  <si>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</si>
  <si>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</si>
  <si>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</si>
  <si>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</si>
  <si>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</si>
  <si>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</si>
  <si>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</si>
  <si>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</si>
  <si>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</si>
  <si>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</si>
  <si>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</si>
  <si>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</si>
  <si>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</si>
  <si>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</si>
  <si>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</si>
  <si>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</si>
  <si>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</si>
  <si>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</si>
  <si>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</si>
  <si>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</si>
  <si>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</si>
  <si>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</si>
  <si>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</si>
  <si>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</si>
  <si>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</si>
  <si>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</si>
  <si>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</si>
  <si>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</si>
  <si>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</si>
  <si>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</si>
  <si>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</si>
  <si>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</si>
  <si>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</si>
  <si>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</si>
  <si>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</si>
  <si>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</si>
  <si>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</si>
  <si>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</si>
  <si>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</si>
  <si>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</si>
  <si>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</si>
  <si>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</si>
  <si>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</si>
  <si>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</si>
  <si>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</si>
  <si>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</si>
  <si>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</si>
  <si>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</si>
  <si>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</si>
  <si>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</si>
  <si>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</si>
  <si>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</si>
  <si>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</si>
  <si>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</si>
  <si>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</si>
  <si>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</si>
  <si>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</si>
  <si>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</si>
  <si>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</si>
  <si>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</si>
  <si>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</si>
  <si>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</si>
  <si>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</si>
  <si>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</si>
  <si>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</si>
  <si>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</si>
  <si>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</si>
  <si>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</si>
  <si>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</si>
  <si>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</si>
  <si>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</si>
  <si>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</si>
  <si>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</si>
  <si>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</si>
  <si>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</si>
  <si>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</si>
  <si>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</si>
  <si>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</si>
  <si>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</si>
  <si>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</si>
  <si>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</si>
  <si>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</si>
  <si>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</si>
  <si>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</si>
  <si>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</si>
  <si>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</si>
  <si>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</si>
  <si>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</si>
  <si>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</si>
  <si>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</si>
  <si>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</si>
  <si>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</si>
  <si>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</si>
  <si>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</si>
  <si>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</si>
  <si>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</si>
  <si>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</si>
  <si>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</si>
  <si>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</si>
  <si>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</si>
  <si>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</si>
  <si>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</si>
  <si>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</si>
  <si>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</si>
  <si>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</si>
  <si>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</si>
  <si>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</si>
  <si>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</si>
  <si>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</si>
  <si>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</si>
  <si>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</si>
  <si>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</si>
  <si>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</si>
  <si>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</si>
  <si>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</si>
  <si>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</si>
  <si>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</si>
  <si>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</si>
  <si>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</si>
  <si>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</si>
  <si>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</si>
  <si>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</si>
  <si>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</si>
  <si>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</si>
  <si>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</si>
  <si>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</si>
  <si>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</si>
  <si>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</si>
  <si>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</si>
  <si>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</si>
  <si>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</si>
  <si>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</si>
  <si>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</si>
  <si>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</si>
  <si>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</si>
  <si>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</si>
  <si>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</si>
  <si>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</si>
  <si>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</si>
  <si>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</si>
  <si>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</si>
  <si>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</si>
  <si>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</si>
  <si>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</si>
  <si>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</si>
  <si>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</si>
  <si>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</si>
  <si>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</si>
  <si>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</si>
  <si>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</si>
  <si>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</si>
  <si>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</si>
  <si>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</si>
  <si>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</si>
  <si>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</si>
  <si>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</si>
  <si>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</si>
  <si>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</si>
  <si>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</si>
  <si>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</si>
  <si>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</si>
  <si>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</si>
  <si>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</si>
  <si>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</si>
  <si>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</si>
  <si>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</si>
  <si>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</si>
  <si>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</si>
  <si>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</si>
  <si>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</si>
  <si>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</si>
  <si>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</si>
  <si>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</si>
  <si>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</si>
  <si>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</si>
  <si>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</si>
  <si>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</si>
  <si>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</si>
  <si>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</si>
  <si>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</si>
  <si>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</si>
  <si>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</si>
  <si>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</si>
  <si>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</si>
  <si>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</si>
  <si>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</si>
  <si>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</si>
  <si>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</si>
  <si>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</si>
  <si>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</si>
  <si>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</si>
  <si>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</si>
  <si>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</si>
  <si>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</si>
  <si>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</si>
  <si>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</si>
  <si>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</si>
  <si>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</si>
  <si>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</si>
  <si>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</si>
  <si>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</si>
  <si>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</si>
  <si>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</si>
  <si>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</si>
  <si>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</si>
  <si>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</si>
  <si>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</si>
  <si>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</si>
  <si>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</si>
  <si>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</si>
  <si>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</si>
  <si>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</si>
  <si>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</si>
  <si>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</si>
  <si>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</si>
  <si>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</si>
  <si>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</si>
  <si>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</si>
  <si>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</si>
  <si>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</si>
  <si>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</si>
  <si>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</si>
  <si>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</si>
  <si>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</si>
  <si>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</si>
  <si>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</si>
  <si>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</si>
  <si>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</si>
  <si>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</si>
  <si>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</si>
  <si>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</si>
  <si>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</si>
  <si>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</si>
  <si>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</si>
  <si>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</si>
  <si>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</si>
  <si>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</si>
  <si>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</si>
  <si>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</si>
  <si>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</si>
  <si>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</si>
  <si>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</si>
  <si>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</si>
  <si>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</si>
  <si>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</si>
  <si>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</si>
  <si>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</si>
  <si>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</si>
  <si>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</si>
  <si>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</si>
  <si>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</si>
  <si>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</si>
  <si>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</si>
  <si>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</si>
  <si>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</si>
  <si>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</si>
  <si>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</si>
  <si>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</si>
  <si>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</si>
  <si>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</si>
  <si>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</si>
  <si>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</si>
  <si>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</si>
  <si>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</si>
  <si>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</si>
  <si>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</si>
  <si>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</si>
  <si>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</si>
  <si>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</si>
  <si>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</si>
  <si>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</si>
  <si>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</si>
  <si>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</si>
  <si>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</si>
  <si>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</si>
  <si>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</si>
  <si>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</si>
  <si>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</si>
  <si>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</si>
  <si>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</si>
  <si>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</si>
  <si>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</si>
  <si>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</si>
  <si>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</si>
  <si>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</si>
  <si>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</si>
  <si>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</si>
  <si>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</si>
  <si>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</si>
  <si>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</si>
  <si>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</si>
  <si>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</si>
  <si>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</si>
  <si>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</si>
  <si>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</si>
  <si>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</si>
  <si>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</si>
  <si>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</si>
  <si>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</si>
  <si>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</si>
  <si>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</si>
  <si>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</si>
  <si>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</si>
  <si>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</si>
  <si>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</si>
  <si>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</si>
  <si>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</si>
  <si>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</si>
  <si>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</si>
  <si>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</si>
  <si>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</si>
  <si>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</si>
  <si>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</si>
  <si>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</si>
  <si>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</si>
  <si>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</si>
  <si>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</si>
  <si>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</si>
  <si>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</si>
  <si>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</si>
  <si>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</si>
  <si>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</si>
  <si>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</si>
  <si>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</si>
  <si>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</si>
  <si>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</si>
  <si>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</si>
  <si>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</si>
  <si>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</si>
  <si>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</si>
  <si>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</si>
  <si>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</si>
  <si>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</si>
  <si>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</si>
  <si>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</si>
  <si>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</si>
  <si>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</si>
  <si>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</si>
  <si>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</si>
  <si>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</si>
  <si>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</si>
  <si>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</si>
  <si>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</si>
  <si>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</si>
  <si>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</si>
  <si>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</si>
  <si>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</si>
  <si>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</si>
  <si>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</si>
  <si>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</si>
  <si>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</si>
  <si>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</si>
  <si>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</si>
  <si>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</si>
  <si>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</si>
  <si>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</si>
  <si>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</si>
  <si>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</si>
  <si>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</si>
  <si>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</si>
  <si>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</si>
  <si>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</si>
  <si>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</si>
  <si>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</si>
  <si>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</si>
  <si>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</si>
  <si>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</si>
  <si>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</si>
  <si>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</si>
  <si>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</si>
  <si>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</si>
  <si>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</si>
  <si>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</si>
  <si>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</si>
  <si>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</si>
  <si>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</si>
  <si>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</si>
  <si>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</si>
  <si>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</si>
  <si>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</si>
  <si>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</si>
  <si>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</si>
  <si>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</si>
  <si>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</si>
  <si>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</si>
  <si>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</si>
  <si>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</si>
  <si>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</si>
  <si>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</si>
  <si>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</si>
  <si>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</si>
  <si>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</si>
  <si>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</si>
  <si>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</si>
  <si>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</si>
  <si>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</si>
  <si>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</si>
  <si>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</si>
  <si>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</si>
  <si>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</si>
  <si>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</si>
  <si>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</si>
  <si>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</si>
  <si>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</si>
  <si>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</si>
  <si>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</si>
  <si>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</si>
  <si>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</si>
  <si>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</si>
  <si>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</si>
  <si>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</si>
  <si>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</si>
  <si>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</si>
  <si>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</si>
  <si>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</si>
  <si>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</si>
  <si>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</si>
  <si>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</si>
  <si>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</si>
  <si>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</si>
  <si>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</si>
  <si>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</si>
  <si>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</si>
  <si>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</si>
  <si>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</si>
  <si>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</si>
  <si>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</si>
  <si>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</si>
  <si>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</si>
  <si>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</si>
  <si>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</si>
  <si>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</si>
  <si>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</si>
  <si>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</si>
  <si>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</si>
  <si>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</si>
  <si>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</si>
  <si>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</si>
  <si>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</si>
  <si>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</si>
  <si>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</si>
  <si>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</si>
  <si>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</si>
  <si>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</si>
  <si>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</si>
  <si>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</si>
  <si>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</si>
  <si>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</si>
  <si>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</si>
  <si>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</si>
  <si>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</si>
  <si>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</si>
  <si>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</si>
  <si>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</si>
  <si>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</si>
  <si>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</si>
  <si>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</si>
  <si>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</si>
  <si>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</si>
  <si>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</si>
  <si>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</si>
  <si>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</si>
  <si>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</si>
  <si>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</si>
  <si>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</si>
  <si>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</si>
  <si>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</si>
  <si>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</si>
  <si>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</si>
  <si>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</si>
  <si>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</si>
  <si>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</si>
  <si>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</si>
  <si>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</si>
  <si>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</si>
  <si>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</si>
  <si>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</si>
  <si>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</si>
  <si>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</si>
  <si>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</si>
  <si>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</si>
  <si>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</si>
  <si>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</si>
  <si>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</si>
  <si>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</si>
  <si>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</si>
  <si>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</si>
  <si>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</si>
  <si>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</si>
  <si>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</si>
  <si>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</si>
  <si>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</si>
  <si>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</si>
  <si>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</si>
  <si>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</si>
  <si>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</si>
  <si>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</si>
  <si>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</si>
  <si>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</si>
  <si>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</si>
  <si>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</si>
  <si>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</si>
  <si>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</si>
  <si>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</si>
  <si>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</si>
  <si>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</si>
  <si>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</si>
  <si>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</si>
  <si>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</si>
  <si>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</si>
  <si>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</si>
  <si>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</si>
  <si>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</si>
  <si>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</si>
  <si>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</si>
  <si>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</si>
  <si>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</si>
  <si>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</si>
  <si>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</si>
  <si>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</si>
  <si>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</si>
  <si>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</si>
  <si>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</si>
  <si>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</si>
  <si>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</si>
  <si>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</si>
  <si>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</si>
  <si>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</si>
  <si>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</si>
  <si>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</si>
  <si>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</si>
  <si>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</si>
  <si>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</si>
  <si>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</si>
  <si>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</si>
  <si>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</si>
  <si>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</si>
  <si>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</si>
  <si>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</si>
  <si>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</si>
  <si>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</si>
  <si>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</si>
  <si>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</si>
  <si>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</si>
  <si>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</si>
  <si>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</si>
  <si>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</si>
  <si>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</si>
  <si>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</si>
  <si>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</si>
  <si>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</si>
  <si>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</si>
  <si>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</si>
  <si>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</si>
  <si>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</si>
  <si>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</si>
  <si>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</si>
  <si>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</si>
  <si>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</si>
  <si>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</si>
  <si>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</si>
  <si>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</si>
  <si>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</si>
  <si>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</si>
  <si>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</si>
  <si>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</si>
  <si>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</si>
  <si>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</si>
  <si>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</si>
  <si>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</si>
  <si>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</si>
  <si>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</si>
  <si>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</si>
  <si>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</si>
  <si>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</si>
  <si>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</si>
  <si>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</si>
  <si>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</si>
  <si>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</si>
  <si>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</si>
  <si>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</si>
  <si>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</si>
  <si>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</si>
  <si>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</si>
  <si>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</si>
  <si>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</si>
  <si>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</si>
  <si>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</si>
  <si>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</si>
  <si>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</si>
  <si>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</si>
  <si>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</si>
  <si>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</si>
  <si>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</si>
  <si>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</si>
  <si>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</si>
  <si>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</si>
  <si>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</si>
  <si>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</si>
  <si>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</si>
  <si>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</si>
  <si>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</si>
  <si>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</si>
  <si>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</si>
  <si>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</si>
  <si>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</si>
  <si>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</si>
  <si>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</si>
  <si>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</si>
  <si>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</si>
  <si>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</si>
  <si>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</si>
  <si>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</si>
  <si>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</si>
  <si>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</si>
  <si>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</si>
  <si>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</si>
  <si>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</si>
  <si>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</si>
  <si>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</si>
  <si>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</si>
  <si>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</si>
  <si>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</si>
  <si>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</si>
  <si>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</si>
  <si>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</si>
  <si>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</si>
  <si>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</si>
  <si>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</si>
  <si>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</si>
  <si>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</si>
  <si>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</si>
  <si>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</si>
  <si>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</si>
  <si>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</si>
  <si>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</si>
  <si>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</si>
  <si>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</si>
  <si>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</si>
  <si>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</si>
  <si>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</si>
  <si>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</si>
  <si>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</si>
  <si>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</si>
  <si>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</si>
  <si>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</si>
  <si>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</si>
  <si>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</si>
  <si>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</si>
  <si>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</si>
  <si>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</si>
  <si>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</si>
  <si>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</si>
  <si>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</si>
  <si>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</si>
  <si>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</si>
  <si>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</si>
  <si>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</si>
  <si>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</si>
  <si>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</si>
  <si>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</si>
  <si>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</si>
  <si>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</si>
  <si>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</si>
  <si>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</si>
  <si>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</si>
  <si>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</si>
  <si>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</si>
  <si>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</si>
  <si>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</si>
  <si>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</si>
  <si>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</si>
  <si>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</si>
  <si>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</si>
  <si>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</si>
  <si>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</si>
  <si>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</si>
  <si>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</si>
  <si>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</si>
  <si>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</si>
  <si>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</si>
  <si>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</si>
  <si>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</si>
  <si>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</si>
  <si>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</si>
  <si>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</si>
  <si>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</si>
  <si>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</si>
  <si>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</si>
  <si>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</si>
  <si>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</si>
  <si>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</si>
  <si>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</si>
  <si>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</si>
  <si>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</si>
  <si>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</si>
  <si>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</si>
  <si>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</si>
  <si>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</si>
  <si>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</si>
  <si>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</si>
  <si>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</si>
  <si>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</si>
  <si>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</si>
  <si>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</si>
  <si>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</si>
  <si>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</si>
  <si>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</si>
  <si>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</si>
  <si>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</si>
  <si>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</si>
  <si>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</si>
  <si>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</si>
  <si>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</si>
  <si>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</si>
  <si>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</si>
  <si>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</si>
  <si>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</si>
  <si>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</si>
  <si>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</si>
  <si>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</si>
  <si>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</si>
  <si>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</si>
  <si>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</si>
  <si>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</si>
  <si>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</si>
  <si>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</si>
  <si>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</si>
  <si>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</si>
  <si>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</si>
  <si>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</si>
  <si>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</si>
  <si>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</si>
  <si>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</si>
  <si>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</si>
  <si>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</si>
  <si>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</si>
  <si>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</si>
  <si>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</si>
  <si>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</si>
  <si>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</si>
  <si>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</si>
  <si>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</si>
  <si>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</si>
  <si>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</si>
  <si>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</si>
  <si>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</si>
  <si>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</si>
  <si>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</si>
  <si>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</si>
  <si>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</si>
  <si>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</si>
  <si>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</si>
  <si>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</si>
  <si>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</si>
  <si>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</si>
  <si>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</si>
  <si>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</si>
  <si>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</si>
  <si>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</si>
  <si>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</si>
  <si>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</si>
  <si>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</si>
  <si>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</si>
  <si>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</si>
  <si>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</si>
  <si>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</si>
  <si>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</si>
  <si>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</si>
  <si>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</si>
  <si>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</si>
  <si>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</si>
  <si>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</si>
  <si>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</si>
  <si>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</si>
  <si>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</si>
  <si>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</si>
  <si>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</si>
  <si>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</si>
  <si>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</si>
  <si>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</si>
  <si>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</si>
  <si>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</si>
  <si>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</si>
  <si>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</si>
  <si>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</si>
  <si>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</si>
  <si>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</si>
  <si>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</si>
  <si>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</si>
  <si>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</si>
  <si>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</si>
  <si>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</si>
  <si>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</si>
  <si>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</si>
  <si>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</si>
  <si>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</si>
  <si>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</si>
  <si>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</si>
  <si>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</si>
  <si>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</si>
  <si>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</si>
  <si>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</si>
  <si>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</si>
  <si>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</si>
  <si>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</si>
  <si>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</si>
  <si>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</si>
  <si>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</si>
  <si>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</si>
  <si>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</si>
  <si>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</si>
  <si>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</si>
  <si>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</si>
  <si>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</si>
  <si>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</si>
  <si>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</si>
  <si>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</si>
  <si>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</si>
  <si>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</si>
  <si>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</si>
  <si>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</si>
  <si>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</si>
  <si>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</si>
  <si>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</si>
  <si>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</si>
  <si>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</si>
  <si>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</si>
  <si>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</si>
  <si>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</si>
  <si>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</si>
  <si>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</si>
  <si>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</si>
  <si>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</si>
  <si>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</si>
  <si>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</si>
  <si>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</si>
  <si>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</si>
  <si>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</si>
  <si>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</si>
  <si>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</si>
  <si>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</si>
  <si>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</si>
  <si>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</si>
  <si>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</si>
  <si>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</si>
  <si>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</si>
  <si>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</si>
  <si>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</si>
  <si>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</si>
  <si>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</si>
  <si>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</si>
  <si>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</si>
  <si>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</si>
  <si>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</si>
  <si>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</si>
  <si>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</si>
  <si>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</si>
  <si>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</si>
  <si>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</si>
  <si>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</si>
  <si>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</si>
  <si>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</si>
  <si>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</si>
  <si>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</si>
  <si>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</si>
  <si>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</si>
  <si>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</si>
  <si>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</si>
  <si>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</si>
  <si>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</si>
  <si>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</si>
  <si>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</si>
  <si>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</si>
  <si>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</si>
  <si>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</si>
  <si>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</si>
  <si>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</si>
  <si>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</si>
  <si>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</si>
  <si>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</si>
  <si>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</si>
  <si>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</si>
  <si>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</si>
  <si>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</si>
  <si>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</si>
  <si>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</si>
  <si>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</si>
  <si>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</si>
  <si>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</si>
  <si>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</si>
  <si>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</si>
  <si>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</si>
  <si>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</si>
  <si>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</si>
  <si>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</si>
  <si>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</si>
  <si>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</si>
  <si>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</si>
  <si>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</si>
  <si>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</si>
  <si>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</si>
  <si>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</si>
  <si>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</si>
  <si>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</si>
  <si>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</si>
  <si>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</si>
  <si>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</si>
  <si>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</si>
  <si>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</si>
  <si>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</si>
  <si>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</si>
  <si>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</si>
  <si>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</si>
  <si>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</si>
  <si>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</si>
  <si>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</si>
  <si>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</si>
  <si>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</si>
  <si>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</si>
  <si>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</si>
  <si>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</si>
  <si>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</si>
  <si>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</si>
  <si>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</si>
  <si>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</si>
  <si>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</si>
  <si>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</si>
  <si>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</si>
  <si>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</si>
  <si>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</si>
  <si>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</si>
  <si>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</si>
  <si>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</si>
  <si>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</si>
  <si>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</si>
  <si>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</si>
  <si>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</si>
  <si>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</si>
  <si>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</si>
  <si>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</si>
  <si>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</si>
  <si>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</si>
  <si>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</si>
  <si>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</si>
  <si>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</si>
  <si>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</si>
  <si>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</si>
  <si>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</si>
  <si>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</si>
  <si>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</si>
  <si>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</si>
  <si>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</si>
  <si>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</si>
  <si>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</si>
  <si>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</si>
  <si>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</si>
  <si>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</si>
  <si>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</si>
  <si>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</si>
  <si>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</si>
  <si>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</si>
  <si>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</si>
  <si>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</si>
  <si>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</si>
  <si>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</si>
  <si>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</si>
  <si>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</si>
  <si>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</si>
  <si>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</si>
  <si>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</si>
  <si>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</si>
  <si>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</si>
  <si>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</si>
  <si>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</si>
  <si>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</si>
  <si>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</si>
  <si>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</si>
  <si>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</si>
  <si>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</si>
  <si>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</si>
  <si>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</si>
  <si>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</si>
  <si>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</si>
  <si>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</si>
  <si>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</si>
  <si>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</si>
  <si>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</si>
  <si>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</si>
  <si>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</si>
  <si>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</si>
  <si>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</si>
  <si>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</si>
  <si>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</si>
  <si>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</si>
  <si>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</si>
  <si>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</si>
  <si>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</si>
  <si>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</si>
  <si>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</si>
  <si>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</si>
  <si>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</si>
  <si>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</si>
  <si>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</si>
  <si>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</si>
  <si>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</si>
  <si>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</si>
  <si>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</si>
  <si>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</si>
  <si>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</si>
  <si>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</si>
  <si>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</si>
  <si>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</si>
  <si>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</si>
  <si>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</si>
  <si>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</si>
  <si>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</si>
  <si>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</si>
  <si>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</si>
  <si>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</si>
  <si>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</si>
  <si>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</si>
  <si>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</si>
  <si>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</si>
  <si>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</si>
  <si>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</si>
  <si>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</si>
  <si>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</si>
  <si>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</si>
  <si>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</si>
  <si>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</si>
  <si>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</si>
  <si>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</si>
  <si>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</si>
  <si>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</si>
  <si>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</si>
  <si>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</si>
  <si>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</si>
  <si>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</si>
  <si>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</si>
  <si>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</si>
  <si>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</si>
  <si>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</si>
  <si>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</si>
  <si>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</si>
  <si>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</si>
  <si>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</si>
  <si>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</si>
  <si>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</si>
  <si>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</si>
  <si>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</si>
  <si>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</si>
  <si>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</si>
  <si>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</si>
  <si>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</si>
  <si>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</si>
  <si>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</si>
  <si>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</si>
  <si>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</si>
  <si>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</si>
  <si>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</si>
  <si>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</si>
  <si>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</si>
  <si>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</si>
  <si>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</si>
  <si>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</si>
  <si>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</si>
  <si>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</si>
  <si>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</si>
  <si>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</si>
  <si>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</si>
  <si>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</si>
  <si>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</si>
  <si>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</si>
  <si>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</si>
  <si>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</si>
  <si>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</si>
  <si>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</si>
  <si>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</si>
  <si>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</si>
  <si>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</si>
  <si>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</si>
  <si>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</si>
  <si>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</si>
  <si>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</si>
  <si>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</si>
  <si>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</si>
  <si>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</si>
  <si>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</si>
  <si>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</si>
  <si>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</si>
  <si>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</si>
  <si>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</si>
  <si>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</si>
  <si>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</si>
  <si>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</si>
  <si>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</si>
  <si>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</si>
  <si>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</si>
  <si>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</si>
  <si>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</si>
  <si>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</si>
  <si>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</si>
  <si>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</si>
  <si>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</si>
  <si>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</si>
  <si>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</si>
  <si>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</si>
  <si>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</si>
  <si>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</si>
  <si>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</si>
  <si>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</si>
  <si>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</si>
  <si>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</si>
  <si>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</si>
  <si>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</si>
  <si>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</si>
  <si>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</si>
  <si>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</si>
  <si>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</si>
  <si>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</si>
  <si>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</si>
  <si>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</si>
  <si>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</si>
  <si>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</si>
  <si>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</si>
  <si>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</si>
  <si>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</si>
  <si>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</si>
  <si>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</si>
  <si>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</si>
  <si>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</si>
  <si>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</si>
  <si>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</si>
  <si>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</si>
  <si>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</si>
  <si>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</si>
  <si>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</si>
  <si>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</si>
  <si>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</si>
  <si>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</si>
  <si>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</si>
  <si>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</si>
  <si>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</si>
  <si>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</si>
  <si>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</si>
  <si>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</si>
  <si>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</si>
  <si>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</si>
  <si>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</si>
  <si>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</si>
  <si>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</si>
  <si>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</si>
  <si>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</si>
  <si>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</si>
  <si>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</si>
  <si>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</si>
  <si>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</si>
  <si>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</si>
  <si>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</si>
  <si>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</si>
  <si>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</si>
  <si>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</si>
  <si>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</si>
  <si>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</si>
  <si>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</si>
  <si>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</si>
  <si>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</si>
  <si>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</si>
  <si>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</si>
  <si>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</si>
  <si>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</si>
  <si>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</si>
  <si>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</si>
  <si>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</si>
  <si>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</si>
  <si>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</si>
  <si>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</si>
  <si>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</si>
  <si>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</si>
  <si>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</si>
  <si>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</si>
  <si>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</si>
  <si>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</si>
  <si>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</si>
  <si>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</si>
  <si>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</si>
  <si>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</si>
  <si>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</si>
  <si>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</si>
  <si>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</si>
  <si>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</si>
  <si>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</si>
  <si>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</si>
  <si>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</si>
  <si>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</si>
  <si>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</si>
  <si>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</si>
  <si>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</si>
  <si>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</si>
  <si>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</si>
  <si>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</si>
  <si>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</si>
  <si>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</si>
  <si>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</si>
  <si>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</si>
  <si>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</si>
  <si>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</si>
  <si>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</si>
  <si>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</si>
  <si>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</si>
  <si>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</si>
  <si>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</si>
  <si>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</si>
  <si>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</si>
  <si>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</si>
  <si>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</si>
  <si>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</si>
  <si>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</si>
  <si>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</si>
  <si>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</si>
  <si>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</si>
  <si>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</si>
  <si>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</si>
  <si>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</si>
  <si>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</si>
  <si>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</si>
  <si>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</si>
  <si>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</si>
  <si>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</si>
  <si>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</si>
  <si>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</si>
  <si>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</si>
  <si>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</si>
  <si>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</si>
  <si>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</si>
  <si>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</si>
  <si>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</si>
  <si>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</si>
  <si>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</si>
  <si>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</si>
  <si>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</si>
  <si>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</si>
  <si>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</si>
  <si>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</si>
  <si>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</si>
  <si>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</si>
  <si>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</si>
  <si>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</si>
  <si>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</si>
  <si>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</si>
  <si>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</si>
  <si>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</si>
  <si>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</si>
  <si>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</si>
  <si>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</si>
  <si>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</si>
  <si>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</si>
  <si>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</si>
  <si>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</si>
  <si>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</si>
  <si>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</si>
  <si>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</si>
  <si>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</si>
  <si>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</si>
  <si>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</si>
  <si>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</si>
  <si>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</si>
  <si>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</si>
  <si>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</si>
  <si>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</si>
  <si>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</si>
  <si>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</si>
  <si>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</si>
  <si>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</si>
  <si>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</si>
  <si>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</si>
  <si>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</si>
  <si>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</si>
  <si>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</si>
  <si>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</si>
  <si>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</si>
  <si>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</si>
  <si>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</si>
  <si>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</si>
  <si>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</si>
  <si>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</si>
  <si>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</si>
  <si>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</si>
  <si>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</si>
  <si>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</si>
  <si>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</si>
  <si>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</si>
  <si>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</si>
  <si>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</si>
  <si>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</si>
  <si>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</si>
  <si>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</si>
  <si>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</si>
  <si>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</si>
  <si>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</si>
  <si>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</si>
  <si>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</si>
  <si>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</si>
  <si>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</si>
  <si>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</si>
  <si>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</si>
  <si>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</si>
  <si>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</si>
  <si>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</si>
  <si>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</si>
  <si>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</si>
  <si>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</si>
  <si>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</si>
  <si>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</si>
  <si>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</si>
  <si>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</si>
  <si>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</si>
  <si>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</si>
  <si>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</si>
  <si>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</si>
  <si>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</si>
  <si>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</si>
  <si>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</si>
  <si>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</si>
  <si>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</si>
  <si>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</si>
  <si>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</si>
  <si>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</si>
  <si>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</si>
  <si>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</si>
  <si>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</si>
  <si>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</si>
  <si>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</si>
  <si>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</si>
  <si>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</si>
  <si>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</si>
  <si>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</si>
  <si>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</si>
  <si>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</si>
  <si>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</si>
  <si>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</si>
  <si>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</si>
  <si>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</si>
  <si>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</si>
  <si>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</si>
  <si>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</si>
  <si>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</si>
  <si>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</si>
  <si>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</si>
  <si>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</si>
  <si>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</si>
  <si>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</si>
  <si>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</si>
  <si>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</si>
  <si>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</si>
  <si>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</si>
  <si>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</si>
  <si>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</si>
  <si>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</si>
  <si>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</si>
  <si>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</si>
  <si>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</si>
  <si>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</si>
  <si>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</si>
  <si>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</si>
  <si>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</si>
  <si>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</si>
  <si>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</si>
  <si>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</si>
  <si>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</si>
  <si>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</si>
  <si>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</si>
  <si>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</si>
  <si>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</si>
  <si>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</si>
  <si>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</si>
  <si>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</si>
  <si>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</si>
  <si>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</si>
  <si>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</si>
  <si>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</si>
  <si>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</si>
  <si>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</si>
  <si>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</si>
  <si>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</si>
  <si>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</si>
  <si>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</si>
  <si>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</si>
  <si>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</si>
  <si>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</si>
  <si>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</si>
  <si>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</si>
  <si>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</si>
  <si>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</si>
  <si>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</si>
  <si>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</si>
  <si>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</si>
  <si>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</si>
  <si>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</si>
  <si>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</si>
  <si>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</si>
  <si>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</si>
  <si>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</si>
  <si>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</si>
  <si>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</si>
  <si>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</si>
  <si>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</si>
  <si>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</si>
  <si>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</si>
  <si>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</si>
  <si>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</si>
  <si>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</si>
  <si>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</si>
  <si>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</si>
  <si>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</si>
  <si>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</si>
  <si>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</si>
  <si>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</si>
  <si>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</si>
  <si>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</si>
  <si>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</si>
  <si>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</si>
  <si>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</si>
  <si>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</si>
  <si>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</si>
  <si>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</si>
  <si>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</si>
  <si>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</si>
  <si>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</si>
  <si>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</si>
  <si>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</si>
  <si>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</si>
  <si>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</si>
  <si>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</si>
  <si>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</si>
  <si>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</si>
  <si>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</si>
  <si>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</si>
  <si>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</si>
  <si>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</si>
  <si>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</si>
  <si>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</si>
  <si>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</si>
  <si>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</si>
  <si>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</si>
  <si>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</si>
  <si>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</si>
  <si>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</si>
  <si>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</si>
  <si>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</si>
  <si>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</si>
  <si>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</si>
  <si>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</si>
  <si>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</si>
  <si>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</si>
  <si>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</si>
  <si>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</si>
  <si>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</si>
  <si>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</si>
  <si>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</si>
  <si>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</si>
  <si>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</si>
  <si>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</si>
  <si>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</si>
  <si>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</si>
  <si>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</si>
  <si>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</si>
  <si>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</si>
  <si>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</si>
  <si>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</si>
  <si>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</si>
  <si>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</si>
  <si>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</si>
  <si>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</si>
  <si>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</si>
  <si>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</si>
  <si>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</si>
  <si>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</si>
  <si>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</si>
  <si>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</si>
  <si>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</si>
  <si>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</si>
  <si>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</si>
  <si>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</si>
  <si>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</si>
  <si>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</si>
  <si>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</si>
  <si>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</si>
  <si>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</si>
  <si>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</si>
  <si>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</si>
  <si>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</si>
  <si>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</si>
  <si>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</si>
  <si>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</si>
  <si>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</si>
  <si>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</si>
  <si>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</si>
  <si>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</si>
  <si>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</si>
  <si>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</si>
  <si>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</si>
  <si>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</si>
  <si>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</si>
  <si>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</si>
  <si>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</si>
  <si>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</si>
  <si>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</si>
  <si>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</si>
  <si>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</si>
  <si>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</si>
  <si>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</si>
  <si>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</si>
  <si>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</si>
  <si>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</si>
  <si>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</si>
  <si>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</si>
  <si>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</si>
  <si>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</si>
  <si>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</si>
  <si>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</si>
  <si>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</si>
  <si>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</si>
  <si>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</si>
  <si>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</si>
  <si>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</si>
  <si>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</si>
  <si>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</si>
  <si>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</si>
  <si>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</si>
  <si>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</si>
  <si>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</si>
  <si>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</si>
  <si>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</si>
  <si>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</si>
  <si>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</si>
  <si>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</si>
  <si>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</si>
  <si>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</si>
  <si>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</si>
  <si>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</si>
  <si>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</si>
  <si>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</si>
  <si>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</si>
  <si>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</si>
  <si>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</si>
  <si>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</si>
  <si>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</si>
  <si>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</si>
  <si>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</si>
  <si>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</si>
  <si>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</si>
  <si>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</si>
  <si>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</si>
  <si>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</si>
  <si>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</si>
  <si>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</si>
  <si>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</si>
  <si>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</si>
  <si>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</si>
  <si>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</si>
  <si>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</si>
  <si>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</si>
  <si>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</si>
  <si>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</si>
  <si>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</si>
  <si>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</si>
  <si>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</si>
  <si>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</si>
  <si>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</si>
  <si>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</si>
  <si>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</si>
  <si>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</si>
  <si>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</si>
  <si>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</si>
  <si>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</si>
  <si>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</si>
  <si>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</si>
  <si>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</si>
  <si>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</si>
  <si>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</si>
  <si>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</si>
  <si>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</si>
  <si>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</si>
  <si>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</si>
  <si>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</si>
  <si>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</si>
  <si>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</si>
  <si>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</si>
  <si>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</si>
  <si>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</si>
  <si>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</si>
  <si>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</si>
  <si>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</si>
  <si>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</si>
  <si>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</si>
  <si>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</si>
  <si>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</si>
  <si>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</si>
  <si>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</si>
  <si>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</si>
  <si>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</si>
  <si>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</si>
  <si>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</si>
  <si>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</si>
  <si>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</si>
  <si>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</si>
  <si>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</si>
  <si>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</si>
  <si>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</si>
  <si>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</si>
  <si>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</si>
  <si>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</si>
  <si>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</si>
  <si>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</si>
  <si>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</si>
  <si>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</si>
  <si>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</si>
  <si>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</si>
  <si>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</si>
  <si>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</si>
  <si>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</si>
  <si>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</si>
  <si>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</si>
  <si>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</si>
  <si>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</si>
  <si>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</si>
  <si>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</si>
  <si>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</si>
  <si>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</si>
  <si>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</si>
  <si>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</si>
  <si>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</si>
  <si>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</si>
  <si>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</si>
  <si>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</si>
  <si>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</si>
  <si>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</si>
  <si>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</si>
  <si>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</si>
  <si>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</si>
  <si>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</si>
  <si>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</si>
  <si>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</si>
  <si>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</si>
  <si>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</si>
  <si>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</si>
  <si>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</si>
  <si>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</si>
  <si>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</si>
  <si>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</si>
  <si>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</si>
  <si>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</si>
  <si>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</si>
  <si>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</si>
  <si>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</si>
  <si>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</si>
  <si>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</si>
  <si>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</si>
  <si>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</si>
  <si>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</si>
  <si>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</si>
  <si>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</si>
  <si>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</si>
  <si>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</si>
  <si>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</si>
  <si>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</si>
  <si>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</si>
  <si>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</si>
  <si>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</si>
  <si>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</si>
  <si>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</si>
  <si>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</si>
  <si>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</si>
  <si>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</si>
  <si>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</si>
  <si>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</si>
  <si>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</si>
  <si>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</si>
  <si>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</si>
  <si>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</si>
  <si>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</si>
  <si>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</si>
  <si>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</si>
  <si>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</si>
  <si>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</si>
  <si>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</si>
  <si>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</si>
  <si>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</si>
  <si>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</si>
  <si>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</si>
  <si>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</si>
  <si>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</si>
  <si>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</si>
  <si>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</si>
  <si>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</si>
  <si>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</si>
  <si>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</si>
  <si>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</si>
  <si>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</si>
  <si>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</si>
  <si>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</si>
  <si>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</si>
  <si>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</si>
  <si>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</si>
  <si>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</si>
  <si>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</si>
  <si>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</si>
  <si>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</si>
  <si>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</si>
  <si>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</si>
  <si>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</si>
  <si>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</si>
  <si>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</si>
  <si>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</si>
  <si>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</si>
  <si>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</si>
  <si>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</si>
  <si>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</si>
  <si>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</si>
  <si>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</si>
  <si>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</si>
  <si>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</si>
  <si>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</si>
  <si>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</si>
  <si>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</si>
  <si>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</si>
  <si>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</si>
  <si>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</si>
  <si>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</si>
  <si>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</si>
  <si>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</si>
  <si>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</si>
  <si>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</si>
  <si>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</si>
  <si>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</si>
  <si>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</si>
  <si>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</si>
  <si>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</si>
  <si>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</si>
  <si>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</si>
  <si>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</si>
  <si>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</si>
  <si>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</si>
  <si>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</si>
  <si>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</si>
  <si>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</si>
  <si>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</si>
  <si>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</si>
  <si>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</si>
  <si>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</si>
  <si>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</si>
  <si>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</si>
  <si>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</si>
  <si>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</si>
  <si>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</si>
  <si>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</si>
  <si>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</si>
  <si>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</si>
  <si>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</si>
  <si>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</si>
  <si>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</si>
  <si>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</si>
  <si>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</si>
  <si>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</si>
  <si>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</si>
  <si>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</si>
  <si>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</si>
  <si>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</si>
  <si>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</si>
  <si>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</si>
  <si>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</si>
  <si>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</si>
  <si>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</si>
  <si>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</si>
  <si>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</si>
  <si>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</si>
  <si>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</si>
  <si>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</si>
  <si>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</si>
  <si>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</si>
  <si>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</si>
  <si>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</si>
  <si>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</si>
  <si>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</si>
  <si>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</si>
  <si>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</si>
  <si>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</si>
  <si>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</si>
  <si>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</si>
  <si>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</si>
  <si>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</si>
  <si>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</si>
  <si>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</si>
  <si>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</si>
  <si>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</si>
  <si>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</si>
  <si>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</si>
  <si>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</si>
  <si>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</si>
  <si>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</si>
  <si>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</si>
  <si>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</si>
  <si>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</si>
  <si>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</si>
  <si>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</si>
  <si>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</si>
  <si>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</si>
  <si>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</si>
  <si>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</si>
  <si>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</si>
  <si>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</si>
  <si>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</si>
  <si>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</si>
  <si>
    <t>Sum</t>
  </si>
  <si>
    <t>kg</t>
  </si>
  <si>
    <t>Sum of filtered products</t>
  </si>
  <si>
    <t>Pearson coefficient</t>
  </si>
  <si>
    <t>PRODQNT + IMPQNT - EU27 - 2019 (% of sum)</t>
  </si>
  <si>
    <t>PRODQNT + IMPQNT - EU27 - 2022 (% of sum)</t>
  </si>
  <si>
    <t>Pearson correlation EU27 2019 vs 2022</t>
  </si>
  <si>
    <t>Calculate R² correlation coefficient for sensitivity analysis.</t>
  </si>
  <si>
    <t>Refer to SM document for more details</t>
  </si>
  <si>
    <t>Add sensitivity analysis</t>
  </si>
  <si>
    <t>Filtered PRODCOM data</t>
  </si>
  <si>
    <t>Correlation EU27 2019-2022</t>
  </si>
  <si>
    <t>Sensitivity analysis</t>
  </si>
  <si>
    <t>Split Polyamides &amp; Isocyanates</t>
  </si>
  <si>
    <t>Calculates the correlation coefficient of the PRODCOM products' mass to total mass</t>
  </si>
  <si>
    <t>Rename Calculations sheet and add End-of-life fates sheet</t>
  </si>
  <si>
    <t>Plastics waste</t>
  </si>
  <si>
    <t>Collected for recycling</t>
  </si>
  <si>
    <t>Recycling residues</t>
  </si>
  <si>
    <t>Aquatic leakage</t>
  </si>
  <si>
    <t>Terrestrial leakage</t>
  </si>
  <si>
    <t>Open-pit burning</t>
  </si>
  <si>
    <t>Dumpsites</t>
  </si>
  <si>
    <t>Landfilled</t>
  </si>
  <si>
    <t>Incinerated</t>
  </si>
  <si>
    <t>Calculate end-of-life plastic waste fate shares</t>
  </si>
  <si>
    <t>Total</t>
  </si>
  <si>
    <t>Share</t>
  </si>
  <si>
    <t>Mass flow</t>
  </si>
  <si>
    <t>%w/w</t>
  </si>
  <si>
    <t>(OECD, 2022, p. 25)</t>
  </si>
  <si>
    <t>Recycling (net)</t>
  </si>
  <si>
    <t>Activity name</t>
  </si>
  <si>
    <t>Representative Ecoinvent activity</t>
  </si>
  <si>
    <t>Geography</t>
  </si>
  <si>
    <t>Assuming no GHG footprint (cutoff)</t>
  </si>
  <si>
    <t>Assuming no GHG footprint (no data)</t>
  </si>
  <si>
    <t>treatment of waste plastic, mixture, open burning</t>
  </si>
  <si>
    <t>treatment of waste plastic, mixture, unsanitary landfill, dry infiltration class (100mm)</t>
  </si>
  <si>
    <t>treatment of waste plastic, mixture, sanitary landfill</t>
  </si>
  <si>
    <t>treatment of waste plastic, mixture, municipal incineration</t>
  </si>
  <si>
    <t>carbon content</t>
  </si>
  <si>
    <t>carbon content, fossil</t>
  </si>
  <si>
    <t>For 1 kg of "waste plastic, mixture" Ecoinvent product</t>
  </si>
  <si>
    <t>dry mass</t>
  </si>
  <si>
    <t>Source : 19-08-2026 - https://ecoquery.ecoinvent.org/3.12/cutoff/dataset/11079/exchanges</t>
  </si>
  <si>
    <t>OECD (2022) Global Plastics Outlook: Policy Scenarios to 2060. OECD Publishing. Available at: https://doi.org/10.1787/aa1edf33-en.</t>
  </si>
  <si>
    <t>(OECD, 2022)</t>
  </si>
  <si>
    <t>End-of-life fates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</si>
</sst>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11">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theme="9"/>
        <bgColor theme="9"/>
      </patternFill>
    </fill>
    <fill>
      <patternFill patternType="solid">
        <fgColor theme="9" tint="0.79998168889431442"/>
        <bgColor theme="9" tint="0.79998168889431442"/>
      </patternFill>
    </fill>
  </fills>
  <borders count="16">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right/>
      <top style="thin">
        <color theme="9" tint="0.39997558519241921"/>
      </top>
      <bottom style="thin">
        <color theme="9"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108">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10" fontId="3" fillId="0" borderId="0" xfId="2" applyNumberFormat="1" applyAlignment="1">
      <alignment horizontal="center"/>
    </xf>
    <xf numFmtId="1" fontId="2" fillId="3" borderId="0" xfId="3" applyNumberFormat="1" applyAlignment="1">
      <alignment horizontal="center" vertical="center"/>
    </xf>
    <xf numFmtId="0" fontId="0" fillId="0" borderId="0" xfId="0" applyAlignment="1">
      <alignment horizontal="center"/>
    </xf>
    <xf numFmtId="0" fontId="11" fillId="9" borderId="15" xfId="0" applyFont="1" applyFill="1" applyBorder="1" applyAlignment="1">
      <alignment horizontal="center" vertical="center" wrapText="1"/>
    </xf>
    <xf numFmtId="0" fontId="0" fillId="10" borderId="15" xfId="0" applyFill="1" applyBorder="1"/>
    <xf numFmtId="0" fontId="0" fillId="0" borderId="15" xfId="0" applyBorder="1"/>
    <xf numFmtId="11" fontId="3" fillId="0" borderId="15" xfId="2" applyNumberFormat="1" applyBorder="1"/>
    <xf numFmtId="11" fontId="4" fillId="0" borderId="14" xfId="4" applyNumberFormat="1" applyBorder="1"/>
    <xf numFmtId="165" fontId="4" fillId="0" borderId="0" xfId="4" applyNumberFormat="1"/>
    <xf numFmtId="0" fontId="0" fillId="0" borderId="0" xfId="0" applyAlignment="1">
      <alignment horizontal="center"/>
    </xf>
    <xf numFmtId="10" fontId="4" fillId="0" borderId="0" xfId="4" applyNumberFormat="1"/>
    <xf numFmtId="0" fontId="2" fillId="3" borderId="0" xfId="3"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zotero://open-pdf/library/items/HCSQXMF4?page=27&amp;annotation=KBUA3EEM" TargetMode="External"/><Relationship Id="rId1" Type="http://schemas.openxmlformats.org/officeDocument/2006/relationships/hyperlink" Target="zotero://open-pdf/library/items/HCSQXMF4?page=27&amp;annotation=KBUA3EEM"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18" Type="http://schemas.openxmlformats.org/officeDocument/2006/relationships/hyperlink" Target="https://doi.org/10.1787/aa1edf33-en"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54"/>
  <sheetViews>
    <sheetView tabSelected="1" topLeftCell="A25" zoomScaleNormal="100" workbookViewId="0">
      <selection activeCell="E36" sqref="E36"/>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2805</v>
      </c>
    </row>
    <row r="23" spans="2:3" s="50" customFormat="1" x14ac:dyDescent="0.3">
      <c r="B23" s="37">
        <v>46245</v>
      </c>
      <c r="C23" s="29" t="s">
        <v>3056</v>
      </c>
    </row>
    <row r="24" spans="2:3" s="50" customFormat="1" x14ac:dyDescent="0.3">
      <c r="B24" s="37">
        <v>46247</v>
      </c>
      <c r="C24" s="29" t="s">
        <v>3069</v>
      </c>
    </row>
    <row r="25" spans="2:3" s="50" customFormat="1" x14ac:dyDescent="0.3">
      <c r="B25" s="37">
        <v>46248</v>
      </c>
      <c r="C25" s="29" t="s">
        <v>3078</v>
      </c>
    </row>
    <row r="26" spans="2:3" s="50" customFormat="1" x14ac:dyDescent="0.3">
      <c r="B26" s="37">
        <v>46251</v>
      </c>
      <c r="C26" s="29" t="s">
        <v>3107</v>
      </c>
    </row>
    <row r="27" spans="2:3" s="50" customFormat="1" ht="15" thickBot="1" x14ac:dyDescent="0.35">
      <c r="B27" s="19">
        <v>46253</v>
      </c>
      <c r="C27" s="20" t="s">
        <v>3113</v>
      </c>
    </row>
    <row r="30" spans="2:3" ht="18" thickBot="1" x14ac:dyDescent="0.4">
      <c r="B30" s="13" t="s">
        <v>2724</v>
      </c>
    </row>
    <row r="31" spans="2:3" ht="15.6" thickTop="1" thickBot="1" x14ac:dyDescent="0.35"/>
    <row r="32" spans="2:3" x14ac:dyDescent="0.3">
      <c r="B32" s="17" t="s">
        <v>2725</v>
      </c>
      <c r="C32" s="18" t="s">
        <v>2713</v>
      </c>
    </row>
    <row r="33" spans="2:7" x14ac:dyDescent="0.3">
      <c r="B33" s="21" t="s">
        <v>2726</v>
      </c>
      <c r="C33" s="22" t="s">
        <v>2727</v>
      </c>
    </row>
    <row r="34" spans="2:7" x14ac:dyDescent="0.3">
      <c r="B34" s="85" t="s">
        <v>3108</v>
      </c>
      <c r="C34" s="86" t="str">
        <f>'Filtered PRODCOM data'!$B$1</f>
        <v>Prodcom data obtained from "Extract Prodcom data.ipynb"</v>
      </c>
    </row>
    <row r="35" spans="2:7" x14ac:dyDescent="0.3">
      <c r="B35" s="85" t="s">
        <v>3109</v>
      </c>
      <c r="C35" s="86" t="str">
        <f>'Correlation EU27 2019-2022'!$B$1</f>
        <v>Calculates the correlation coefficient of the PRODCOM products' mass to total mass</v>
      </c>
    </row>
    <row r="36" spans="2:7" x14ac:dyDescent="0.3">
      <c r="B36" s="85" t="s">
        <v>3111</v>
      </c>
      <c r="C36" s="86" t="str">
        <f>'Split Polyamides &amp; Isocyanates'!$B$1</f>
        <v>Data and necessary calculation to split polyamides and isocyanates. Prodcom products into separate product matching with Ecoinvent datasets</v>
      </c>
    </row>
    <row r="37" spans="2:7" x14ac:dyDescent="0.3">
      <c r="B37" s="85" t="s">
        <v>3146</v>
      </c>
      <c r="C37" s="86" t="str">
        <f>'End-of-life fates'!$B$1</f>
        <v>Calculate end-of-life plastic waste fate shares</v>
      </c>
    </row>
    <row r="38" spans="2:7" s="50" customFormat="1" x14ac:dyDescent="0.3">
      <c r="B38" s="85" t="s">
        <v>3070</v>
      </c>
      <c r="C38"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9" spans="2:7" s="50" customFormat="1" x14ac:dyDescent="0.3">
      <c r="B39" s="85" t="s">
        <v>3110</v>
      </c>
      <c r="C39" s="86" t="str">
        <f>'Sensitivity analysis'!$B$1</f>
        <v>Calculate R² correlation coefficient for sensitivity analysis.</v>
      </c>
    </row>
    <row r="40" spans="2:7" s="50" customFormat="1" ht="15" thickBot="1" x14ac:dyDescent="0.35">
      <c r="B40" s="87" t="s">
        <v>2728</v>
      </c>
      <c r="C40" s="88" t="str">
        <f>References!$B$1</f>
        <v>Bibliography: list of references used thoughout the workbook</v>
      </c>
    </row>
    <row r="42" spans="2:7" s="50" customFormat="1" x14ac:dyDescent="0.3"/>
    <row r="43" spans="2:7" ht="18" thickBot="1" x14ac:dyDescent="0.4">
      <c r="B43" s="13" t="s">
        <v>2729</v>
      </c>
    </row>
    <row r="44" spans="2:7" ht="15.6" thickTop="1" thickBot="1" x14ac:dyDescent="0.35"/>
    <row r="45" spans="2:7" x14ac:dyDescent="0.3">
      <c r="B45" s="17" t="s">
        <v>2730</v>
      </c>
      <c r="C45" s="23" t="s">
        <v>2713</v>
      </c>
      <c r="D45" s="23" t="s">
        <v>2731</v>
      </c>
      <c r="E45" s="23" t="s">
        <v>2732</v>
      </c>
      <c r="F45" s="23" t="s">
        <v>2733</v>
      </c>
      <c r="G45" s="24" t="s">
        <v>2734</v>
      </c>
    </row>
    <row r="46" spans="2:7" x14ac:dyDescent="0.3">
      <c r="B46" s="21" t="s">
        <v>2735</v>
      </c>
      <c r="C46" t="s">
        <v>2736</v>
      </c>
      <c r="D46" s="25" t="s">
        <v>2737</v>
      </c>
      <c r="E46" s="25">
        <v>15</v>
      </c>
      <c r="F46" s="25">
        <v>4.1154000000000003E-2</v>
      </c>
      <c r="G46" s="26">
        <v>5.5855E-5</v>
      </c>
    </row>
    <row r="47" spans="2:7" x14ac:dyDescent="0.3">
      <c r="B47" s="21" t="s">
        <v>2738</v>
      </c>
      <c r="C47" t="s">
        <v>2739</v>
      </c>
      <c r="D47" s="3" t="s">
        <v>2740</v>
      </c>
      <c r="E47" s="3">
        <v>15</v>
      </c>
      <c r="F47" s="3">
        <v>4.1154000000000003E-2</v>
      </c>
      <c r="G47" s="76">
        <v>5.5855E-5</v>
      </c>
    </row>
    <row r="48" spans="2:7" x14ac:dyDescent="0.3">
      <c r="B48" s="21" t="s">
        <v>2741</v>
      </c>
      <c r="C48" t="s">
        <v>2742</v>
      </c>
      <c r="D48" s="4" t="s">
        <v>2743</v>
      </c>
      <c r="E48" s="4">
        <v>15</v>
      </c>
      <c r="F48" s="68">
        <v>4.1154000000000003E-2</v>
      </c>
      <c r="G48" s="69">
        <v>5.5855E-5</v>
      </c>
    </row>
    <row r="49" spans="2:7" x14ac:dyDescent="0.3">
      <c r="B49" s="21" t="s">
        <v>2744</v>
      </c>
      <c r="C49" t="s">
        <v>2745</v>
      </c>
      <c r="D49" s="27" t="s">
        <v>2746</v>
      </c>
      <c r="E49" s="27">
        <v>15</v>
      </c>
      <c r="F49" s="27">
        <v>4.1154000000000003E-2</v>
      </c>
      <c r="G49" s="28">
        <v>5.5855E-5</v>
      </c>
    </row>
    <row r="50" spans="2:7" x14ac:dyDescent="0.3">
      <c r="B50" s="21" t="s">
        <v>2747</v>
      </c>
      <c r="C50" t="s">
        <v>2748</v>
      </c>
      <c r="D50" s="1" t="s">
        <v>2749</v>
      </c>
      <c r="E50" s="1" t="s">
        <v>2750</v>
      </c>
      <c r="F50" s="1" t="s">
        <v>2751</v>
      </c>
      <c r="G50" s="81" t="s">
        <v>2752</v>
      </c>
    </row>
    <row r="51" spans="2:7" x14ac:dyDescent="0.3">
      <c r="B51" s="21" t="s">
        <v>2753</v>
      </c>
      <c r="C51" t="s">
        <v>2754</v>
      </c>
      <c r="D51" s="2" t="s">
        <v>2755</v>
      </c>
      <c r="E51" s="2" t="s">
        <v>2756</v>
      </c>
      <c r="F51" s="2" t="s">
        <v>2757</v>
      </c>
      <c r="G51" s="73" t="s">
        <v>2758</v>
      </c>
    </row>
    <row r="52" spans="2:7" x14ac:dyDescent="0.3">
      <c r="B52" s="21" t="s">
        <v>2759</v>
      </c>
      <c r="C52" t="s">
        <v>2760</v>
      </c>
      <c r="D52" s="66" t="s">
        <v>2761</v>
      </c>
      <c r="E52" s="66" t="s">
        <v>2762</v>
      </c>
      <c r="F52" s="66" t="s">
        <v>2763</v>
      </c>
      <c r="G52" s="67"/>
    </row>
    <row r="53" spans="2:7" x14ac:dyDescent="0.3">
      <c r="B53" s="30" t="s">
        <v>2764</v>
      </c>
      <c r="C53" t="s">
        <v>2765</v>
      </c>
      <c r="D53" s="31" t="s">
        <v>2766</v>
      </c>
      <c r="E53" s="31">
        <v>15</v>
      </c>
      <c r="F53" s="31">
        <v>4.1154000000000003E-2</v>
      </c>
      <c r="G53" s="32">
        <v>5.5855E-5</v>
      </c>
    </row>
    <row r="54" spans="2:7" ht="15" thickBot="1" x14ac:dyDescent="0.35">
      <c r="B54" s="33" t="s">
        <v>2764</v>
      </c>
      <c r="C54" s="34" t="s">
        <v>2767</v>
      </c>
      <c r="D54" s="35" t="s">
        <v>2768</v>
      </c>
      <c r="E54" s="70">
        <v>15</v>
      </c>
      <c r="F54" s="36">
        <v>4.1154000000000003E-2</v>
      </c>
      <c r="G54"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4" location="'Filtered PRODCOM data'!A1" display="'Filtered PRODCOM data'!A1" xr:uid="{10E90DFE-AB5A-4AC1-8DF9-F7272B3062AD}"/>
    <hyperlink ref="B35" location="'Correlation EU27 2019-2022'!A1" display="'Correlation EU27 2019-2022'!A1" xr:uid="{98A2ACEB-5840-4141-AD9C-D2CBBA86D412}"/>
    <hyperlink ref="B36" location="'Split Polyamides &amp; Isocyanates'!A1" display="'Split Polyamides &amp; Isocyanates'!A1" xr:uid="{773A090A-19D3-42DC-8B76-7EEDEA334565}"/>
    <hyperlink ref="B37" location="'End-of-life fates'!A1" display="'End-of-life fates'!A1" xr:uid="{EBC96B5D-3218-48C1-8C4C-720D5912EF5F}"/>
    <hyperlink ref="B38" location="'Hotspot products export'!A1" display="'Hotspot products export'!A1" xr:uid="{AA5D8B99-4E97-443E-A7C2-70B9BA293EC5}"/>
    <hyperlink ref="B39" location="'Sensitivity analysis'!A1" display="'Sensitivity analysis'!A1" xr:uid="{7C273249-DB68-46C1-9FB7-62B1EF7CFDEF}"/>
    <hyperlink ref="B40" location="'References'!A1" display="'References'!A1" xr:uid="{26DE0EC7-BED4-441F-9D61-C78E088A8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3057</v>
      </c>
      <c r="B1" s="50" t="s">
        <v>3060</v>
      </c>
      <c r="AC1" s="44"/>
      <c r="AE1" s="44"/>
      <c r="AG1" s="44"/>
      <c r="AI1" s="44"/>
      <c r="AJ1" s="44"/>
    </row>
    <row r="2" spans="1:37" s="50" customFormat="1" x14ac:dyDescent="0.3">
      <c r="A2" s="50" t="s">
        <v>3059</v>
      </c>
      <c r="B2" s="50" t="s">
        <v>3061</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2806</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C0C99-01C6-4D27-A4D9-BFEEB79638BB}">
  <sheetPr codeName="Sheet6"/>
  <dimension ref="A1:D7"/>
  <sheetViews>
    <sheetView zoomScaleNormal="100" workbookViewId="0">
      <selection activeCell="B2" sqref="B2"/>
    </sheetView>
  </sheetViews>
  <sheetFormatPr defaultRowHeight="14.4" x14ac:dyDescent="0.3"/>
  <cols>
    <col min="1" max="1" width="9.44140625" customWidth="1"/>
    <col min="2" max="2" width="37.77734375" customWidth="1"/>
    <col min="3" max="3" width="18" customWidth="1"/>
  </cols>
  <sheetData>
    <row r="1" spans="1:4" x14ac:dyDescent="0.3">
      <c r="A1" s="50" t="s">
        <v>3057</v>
      </c>
      <c r="B1" s="50" t="s">
        <v>3112</v>
      </c>
    </row>
    <row r="3" spans="1:4" x14ac:dyDescent="0.3">
      <c r="C3" s="98" t="s">
        <v>3100</v>
      </c>
    </row>
    <row r="4" spans="1:4" x14ac:dyDescent="0.3">
      <c r="B4" t="s">
        <v>704</v>
      </c>
      <c r="C4" s="8">
        <f>SUBTOTAL(9, prodcom_data[PRODQNT + IMPQNT - EU27 - 2019])</f>
        <v>126375890323</v>
      </c>
      <c r="D4" t="s">
        <v>3099</v>
      </c>
    </row>
    <row r="5" spans="1:4" x14ac:dyDescent="0.3">
      <c r="B5" t="s">
        <v>705</v>
      </c>
      <c r="C5" s="8">
        <f>SUBTOTAL(9, prodcom_data[PRODQNT + IMPQNT - EU27 - 2022])</f>
        <v>120083372330</v>
      </c>
      <c r="D5" s="50" t="s">
        <v>3099</v>
      </c>
    </row>
    <row r="7" spans="1:4" x14ac:dyDescent="0.3">
      <c r="B7" t="s">
        <v>3101</v>
      </c>
      <c r="C7" s="71" cm="1">
        <f t="array" ref="C7">PEARSON('Filtered PRODCOM data'!AB6:AB237/'Correlation EU27 2019-2022'!C4, 'Filtered PRODCOM data'!AD6:AD237/'Correlation EU27 2019-2022'!C5)</f>
        <v>0.99211809005161777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election sqref="A1:B1"/>
    </sheetView>
  </sheetViews>
  <sheetFormatPr defaultRowHeight="14.4" x14ac:dyDescent="0.3"/>
  <cols>
    <col min="2" max="2" width="54.33203125" customWidth="1"/>
    <col min="3" max="3" width="16.109375" customWidth="1"/>
    <col min="4" max="4" width="15" customWidth="1"/>
  </cols>
  <sheetData>
    <row r="1" spans="1:5" x14ac:dyDescent="0.3">
      <c r="A1" s="50" t="s">
        <v>3057</v>
      </c>
      <c r="B1" t="s">
        <v>3062</v>
      </c>
    </row>
    <row r="2" spans="1:5" s="50" customFormat="1" x14ac:dyDescent="0.3"/>
    <row r="3" spans="1:5" ht="18" thickBot="1" x14ac:dyDescent="0.4">
      <c r="B3" s="13" t="s">
        <v>2855</v>
      </c>
    </row>
    <row r="4" spans="1:5" ht="15" thickTop="1" x14ac:dyDescent="0.3"/>
    <row r="5" spans="1:5" x14ac:dyDescent="0.3">
      <c r="B5" s="43" t="s">
        <v>635</v>
      </c>
      <c r="D5" s="10"/>
    </row>
    <row r="6" spans="1:5" x14ac:dyDescent="0.3">
      <c r="B6" s="43" t="s">
        <v>705</v>
      </c>
      <c r="C6" s="55">
        <f>'Filtered PRODCOM data'!$AD$26</f>
        <v>2370412440</v>
      </c>
      <c r="D6" s="53" t="s">
        <v>3030</v>
      </c>
    </row>
    <row r="7" spans="1:5" x14ac:dyDescent="0.3">
      <c r="D7" s="10"/>
    </row>
    <row r="8" spans="1:5" ht="15" thickBot="1" x14ac:dyDescent="0.35">
      <c r="B8" s="45" t="s">
        <v>2856</v>
      </c>
      <c r="D8" s="10"/>
    </row>
    <row r="9" spans="1:5" x14ac:dyDescent="0.3">
      <c r="D9" s="10"/>
    </row>
    <row r="10" spans="1:5" x14ac:dyDescent="0.3">
      <c r="B10" s="43" t="s">
        <v>2857</v>
      </c>
      <c r="C10" s="78">
        <v>1009</v>
      </c>
      <c r="D10" s="53" t="s">
        <v>2858</v>
      </c>
      <c r="E10" s="82" t="s">
        <v>2859</v>
      </c>
    </row>
    <row r="11" spans="1:5" x14ac:dyDescent="0.3">
      <c r="B11" s="43" t="s">
        <v>2857</v>
      </c>
      <c r="C11" s="71">
        <f>C10/1000</f>
        <v>1.0089999999999999</v>
      </c>
      <c r="D11" s="53" t="s">
        <v>2860</v>
      </c>
    </row>
    <row r="12" spans="1:5" x14ac:dyDescent="0.3">
      <c r="B12" s="43" t="s">
        <v>35</v>
      </c>
      <c r="C12" s="78">
        <v>0.95</v>
      </c>
      <c r="D12" s="53" t="s">
        <v>2861</v>
      </c>
      <c r="E12" s="82" t="s">
        <v>2862</v>
      </c>
    </row>
    <row r="13" spans="1:5" x14ac:dyDescent="0.3">
      <c r="B13" s="43" t="s">
        <v>35</v>
      </c>
      <c r="C13" s="71">
        <f>C12*C11</f>
        <v>0.9585499999999999</v>
      </c>
      <c r="D13" s="53" t="s">
        <v>2860</v>
      </c>
    </row>
    <row r="14" spans="1:5" x14ac:dyDescent="0.3">
      <c r="D14" s="10"/>
    </row>
    <row r="15" spans="1:5" x14ac:dyDescent="0.3">
      <c r="B15" s="43" t="s">
        <v>2863</v>
      </c>
      <c r="C15" s="79">
        <v>4</v>
      </c>
      <c r="D15" s="53" t="s">
        <v>2864</v>
      </c>
      <c r="E15" s="82" t="s">
        <v>2771</v>
      </c>
    </row>
    <row r="16" spans="1:5" x14ac:dyDescent="0.3">
      <c r="D16" s="10"/>
    </row>
    <row r="17" spans="2:5" ht="15" thickBot="1" x14ac:dyDescent="0.35">
      <c r="B17" s="45" t="s">
        <v>2865</v>
      </c>
      <c r="D17" s="10"/>
    </row>
    <row r="18" spans="2:5" x14ac:dyDescent="0.3">
      <c r="D18" s="10"/>
    </row>
    <row r="19" spans="2:5" x14ac:dyDescent="0.3">
      <c r="B19" s="43" t="s">
        <v>2866</v>
      </c>
      <c r="C19" s="78">
        <v>646</v>
      </c>
      <c r="D19" s="53" t="s">
        <v>2867</v>
      </c>
      <c r="E19" s="82" t="s">
        <v>2859</v>
      </c>
    </row>
    <row r="20" spans="2:5" x14ac:dyDescent="0.3">
      <c r="B20" s="43" t="s">
        <v>2868</v>
      </c>
      <c r="C20" s="78">
        <v>513</v>
      </c>
      <c r="D20" s="53" t="s">
        <v>2867</v>
      </c>
      <c r="E20" s="82" t="s">
        <v>2859</v>
      </c>
    </row>
    <row r="21" spans="2:5" x14ac:dyDescent="0.3">
      <c r="B21" s="43" t="s">
        <v>2866</v>
      </c>
      <c r="C21" s="71">
        <f>C19/1000</f>
        <v>0.64600000000000002</v>
      </c>
      <c r="D21" s="53" t="s">
        <v>2869</v>
      </c>
    </row>
    <row r="22" spans="2:5" x14ac:dyDescent="0.3">
      <c r="B22" s="43" t="s">
        <v>2868</v>
      </c>
      <c r="C22" s="71">
        <f>C20/1000</f>
        <v>0.51300000000000001</v>
      </c>
      <c r="D22" s="53" t="s">
        <v>2869</v>
      </c>
    </row>
    <row r="23" spans="2:5" x14ac:dyDescent="0.3">
      <c r="D23" s="10"/>
    </row>
    <row r="24" spans="2:5" x14ac:dyDescent="0.3">
      <c r="B24" s="43" t="s">
        <v>2870</v>
      </c>
      <c r="C24" s="79">
        <v>3.4</v>
      </c>
      <c r="D24" s="53" t="s">
        <v>2864</v>
      </c>
      <c r="E24" s="82" t="s">
        <v>2771</v>
      </c>
    </row>
    <row r="25" spans="2:5" x14ac:dyDescent="0.3">
      <c r="D25" s="10"/>
    </row>
    <row r="26" spans="2:5" ht="18" thickBot="1" x14ac:dyDescent="0.4">
      <c r="B26" s="13" t="s">
        <v>346</v>
      </c>
      <c r="D26" s="10"/>
    </row>
    <row r="27" spans="2:5" ht="15" thickTop="1" x14ac:dyDescent="0.3">
      <c r="B27" s="43"/>
      <c r="D27" s="74"/>
    </row>
    <row r="28" spans="2:5" x14ac:dyDescent="0.3">
      <c r="B28" s="43" t="s">
        <v>2871</v>
      </c>
      <c r="C28" s="79">
        <v>10</v>
      </c>
      <c r="D28" s="74" t="s">
        <v>2864</v>
      </c>
      <c r="E28" s="82" t="s">
        <v>2773</v>
      </c>
    </row>
    <row r="29" spans="2:5" x14ac:dyDescent="0.3">
      <c r="B29" s="43" t="s">
        <v>2872</v>
      </c>
      <c r="C29" s="79">
        <v>3</v>
      </c>
      <c r="D29" s="74" t="s">
        <v>2864</v>
      </c>
      <c r="E29" s="82" t="s">
        <v>2773</v>
      </c>
    </row>
    <row r="30" spans="2:5" x14ac:dyDescent="0.3">
      <c r="D30" s="10"/>
    </row>
    <row r="31" spans="2:5" x14ac:dyDescent="0.3">
      <c r="B31" s="43" t="s">
        <v>346</v>
      </c>
      <c r="D31" s="10"/>
    </row>
    <row r="32" spans="2:5" x14ac:dyDescent="0.3">
      <c r="B32" s="43" t="s">
        <v>705</v>
      </c>
      <c r="C32" s="55">
        <f>'Filtered PRODCOM data'!AD48</f>
        <v>1049281862</v>
      </c>
      <c r="D32" s="53" t="s">
        <v>3030</v>
      </c>
    </row>
    <row r="34" spans="2:5" ht="18" thickBot="1" x14ac:dyDescent="0.4">
      <c r="B34" s="46" t="s">
        <v>2873</v>
      </c>
    </row>
    <row r="35" spans="2:5" ht="15" thickTop="1" x14ac:dyDescent="0.3"/>
    <row r="36" spans="2:5" x14ac:dyDescent="0.3">
      <c r="C36" t="s">
        <v>2874</v>
      </c>
      <c r="D36" s="75"/>
    </row>
    <row r="37" spans="2:5" x14ac:dyDescent="0.3">
      <c r="B37" s="43" t="s">
        <v>2875</v>
      </c>
      <c r="C37" s="79">
        <v>12.010999999999999</v>
      </c>
      <c r="D37" s="53" t="s">
        <v>2876</v>
      </c>
      <c r="E37" s="82" t="s">
        <v>2877</v>
      </c>
    </row>
    <row r="38" spans="2:5" x14ac:dyDescent="0.3">
      <c r="B38" s="43" t="s">
        <v>2878</v>
      </c>
      <c r="C38" s="79">
        <v>15.999000000000001</v>
      </c>
      <c r="D38" s="53" t="s">
        <v>2876</v>
      </c>
      <c r="E38" s="82" t="s">
        <v>2877</v>
      </c>
    </row>
    <row r="39" spans="2:5" x14ac:dyDescent="0.3">
      <c r="B39" s="43" t="s">
        <v>2879</v>
      </c>
      <c r="C39" s="79">
        <v>1.008</v>
      </c>
      <c r="D39" s="53" t="s">
        <v>2876</v>
      </c>
      <c r="E39" s="82" t="s">
        <v>2880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547A6-99EA-4A1A-9599-61E561A583B4}">
  <sheetPr codeName="Sheet8"/>
  <dimension ref="A1:I24"/>
  <sheetViews>
    <sheetView workbookViewId="0">
      <selection activeCell="B11" sqref="B11"/>
    </sheetView>
  </sheetViews>
  <sheetFormatPr defaultRowHeight="14.4" x14ac:dyDescent="0.3"/>
  <cols>
    <col min="1" max="1" width="21.21875" customWidth="1"/>
    <col min="2" max="2" width="25.88671875" customWidth="1"/>
    <col min="5" max="5" width="20.5546875" customWidth="1"/>
    <col min="8" max="8" width="36.109375" customWidth="1"/>
  </cols>
  <sheetData>
    <row r="1" spans="1:9" x14ac:dyDescent="0.3">
      <c r="A1" s="50" t="s">
        <v>3057</v>
      </c>
      <c r="B1" s="50" t="s">
        <v>3123</v>
      </c>
    </row>
    <row r="2" spans="1:9" s="50" customFormat="1" x14ac:dyDescent="0.3"/>
    <row r="3" spans="1:9" s="50" customFormat="1" x14ac:dyDescent="0.3"/>
    <row r="4" spans="1:9" x14ac:dyDescent="0.3">
      <c r="B4" t="s">
        <v>3114</v>
      </c>
      <c r="C4" s="78">
        <v>353</v>
      </c>
      <c r="D4" s="75" t="s">
        <v>2864</v>
      </c>
      <c r="E4" s="14" t="s">
        <v>3128</v>
      </c>
    </row>
    <row r="6" spans="1:9" x14ac:dyDescent="0.3">
      <c r="B6" t="s">
        <v>3115</v>
      </c>
      <c r="C6" s="78">
        <v>55</v>
      </c>
      <c r="D6" s="75" t="s">
        <v>2864</v>
      </c>
      <c r="E6" s="14" t="s">
        <v>3128</v>
      </c>
    </row>
    <row r="7" spans="1:9" x14ac:dyDescent="0.3">
      <c r="B7" t="s">
        <v>3116</v>
      </c>
      <c r="C7" s="78">
        <v>22</v>
      </c>
      <c r="D7" s="75" t="s">
        <v>2864</v>
      </c>
      <c r="E7" s="14" t="s">
        <v>3128</v>
      </c>
    </row>
    <row r="8" spans="1:9" s="50" customFormat="1" x14ac:dyDescent="0.3">
      <c r="H8" s="50" t="s">
        <v>3131</v>
      </c>
    </row>
    <row r="9" spans="1:9" s="50" customFormat="1" x14ac:dyDescent="0.3">
      <c r="C9" s="50" t="s">
        <v>3126</v>
      </c>
      <c r="F9" t="s">
        <v>3125</v>
      </c>
      <c r="H9" s="50" t="s">
        <v>3130</v>
      </c>
      <c r="I9" s="50" t="s">
        <v>3132</v>
      </c>
    </row>
    <row r="10" spans="1:9" s="50" customFormat="1" x14ac:dyDescent="0.3">
      <c r="B10" s="50" t="s">
        <v>3129</v>
      </c>
      <c r="C10" s="71">
        <f>C6-C7</f>
        <v>33</v>
      </c>
      <c r="D10" s="75" t="s">
        <v>2864</v>
      </c>
      <c r="F10" s="106">
        <f>C10/$C$4</f>
        <v>9.3484419263456089E-2</v>
      </c>
      <c r="G10" s="50" t="s">
        <v>3127</v>
      </c>
      <c r="H10" s="49" t="s">
        <v>3133</v>
      </c>
    </row>
    <row r="11" spans="1:9" x14ac:dyDescent="0.3">
      <c r="B11" t="s">
        <v>3117</v>
      </c>
      <c r="C11" s="78">
        <v>6</v>
      </c>
      <c r="D11" s="75" t="s">
        <v>2864</v>
      </c>
      <c r="E11" s="14" t="s">
        <v>3128</v>
      </c>
      <c r="F11" s="106">
        <f>C11/$C$4</f>
        <v>1.69971671388102E-2</v>
      </c>
      <c r="G11" s="50" t="s">
        <v>3127</v>
      </c>
      <c r="H11" s="49" t="s">
        <v>3134</v>
      </c>
    </row>
    <row r="12" spans="1:9" x14ac:dyDescent="0.3">
      <c r="B12" t="s">
        <v>3118</v>
      </c>
      <c r="C12" s="78">
        <v>13</v>
      </c>
      <c r="D12" s="75" t="s">
        <v>2864</v>
      </c>
      <c r="E12" s="14" t="s">
        <v>3128</v>
      </c>
      <c r="F12" s="106">
        <f>C12/$C$4</f>
        <v>3.6827195467422094E-2</v>
      </c>
      <c r="G12" s="50" t="s">
        <v>3127</v>
      </c>
      <c r="H12" s="49" t="s">
        <v>3134</v>
      </c>
    </row>
    <row r="13" spans="1:9" x14ac:dyDescent="0.3">
      <c r="B13" t="s">
        <v>3119</v>
      </c>
      <c r="C13" s="78">
        <v>26</v>
      </c>
      <c r="D13" s="75" t="s">
        <v>2864</v>
      </c>
      <c r="E13" s="14" t="s">
        <v>3128</v>
      </c>
      <c r="F13" s="106">
        <f>C13/$C$4</f>
        <v>7.3654390934844188E-2</v>
      </c>
      <c r="G13" s="50" t="s">
        <v>3127</v>
      </c>
      <c r="H13" s="49" t="s">
        <v>3135</v>
      </c>
      <c r="I13" s="107" t="s">
        <v>3041</v>
      </c>
    </row>
    <row r="14" spans="1:9" x14ac:dyDescent="0.3">
      <c r="B14" t="s">
        <v>3120</v>
      </c>
      <c r="C14" s="78">
        <v>34</v>
      </c>
      <c r="D14" s="75" t="s">
        <v>2864</v>
      </c>
      <c r="E14" s="14" t="s">
        <v>3128</v>
      </c>
      <c r="F14" s="106">
        <f>C14/$C$4</f>
        <v>9.6317280453257784E-2</v>
      </c>
      <c r="G14" s="50" t="s">
        <v>3127</v>
      </c>
      <c r="H14" s="49" t="s">
        <v>3136</v>
      </c>
      <c r="I14" s="107" t="s">
        <v>3041</v>
      </c>
    </row>
    <row r="15" spans="1:9" x14ac:dyDescent="0.3">
      <c r="B15" t="s">
        <v>3121</v>
      </c>
      <c r="C15" s="78">
        <v>174</v>
      </c>
      <c r="D15" s="75" t="s">
        <v>2864</v>
      </c>
      <c r="E15" s="14" t="s">
        <v>3128</v>
      </c>
      <c r="F15" s="106">
        <f>C15/$C$4</f>
        <v>0.49291784702549574</v>
      </c>
      <c r="G15" s="50" t="s">
        <v>3127</v>
      </c>
      <c r="H15" s="49" t="s">
        <v>3137</v>
      </c>
      <c r="I15" s="59" t="s">
        <v>3042</v>
      </c>
    </row>
    <row r="16" spans="1:9" x14ac:dyDescent="0.3">
      <c r="B16" t="s">
        <v>3122</v>
      </c>
      <c r="C16" s="78">
        <v>67</v>
      </c>
      <c r="D16" s="75" t="s">
        <v>2864</v>
      </c>
      <c r="E16" s="14" t="s">
        <v>3128</v>
      </c>
      <c r="F16" s="106">
        <f>C16/$C$4</f>
        <v>0.18980169971671387</v>
      </c>
      <c r="G16" s="50" t="s">
        <v>3127</v>
      </c>
      <c r="H16" s="49" t="s">
        <v>3138</v>
      </c>
      <c r="I16" s="59" t="s">
        <v>3042</v>
      </c>
    </row>
    <row r="18" spans="2:7" x14ac:dyDescent="0.3">
      <c r="B18" t="s">
        <v>3124</v>
      </c>
      <c r="C18" s="71">
        <f>SUM(C10:C16)</f>
        <v>353</v>
      </c>
      <c r="D18" s="75" t="s">
        <v>2864</v>
      </c>
      <c r="E18" s="14" t="s">
        <v>3128</v>
      </c>
      <c r="F18" s="106">
        <f>SUM(F10:F16)</f>
        <v>1</v>
      </c>
      <c r="G18" s="50" t="s">
        <v>3127</v>
      </c>
    </row>
    <row r="21" spans="2:7" x14ac:dyDescent="0.3">
      <c r="B21" t="s">
        <v>3141</v>
      </c>
    </row>
    <row r="22" spans="2:7" x14ac:dyDescent="0.3">
      <c r="B22" t="s">
        <v>3139</v>
      </c>
      <c r="C22" s="78">
        <v>0.748</v>
      </c>
      <c r="D22" t="s">
        <v>3099</v>
      </c>
      <c r="E22" s="82" t="s">
        <v>3143</v>
      </c>
    </row>
    <row r="23" spans="2:7" x14ac:dyDescent="0.3">
      <c r="B23" t="s">
        <v>3140</v>
      </c>
      <c r="C23" s="78">
        <v>0.748</v>
      </c>
      <c r="D23" s="50" t="s">
        <v>3099</v>
      </c>
      <c r="E23" s="82" t="s">
        <v>3143</v>
      </c>
    </row>
    <row r="24" spans="2:7" x14ac:dyDescent="0.3">
      <c r="B24" t="s">
        <v>3142</v>
      </c>
      <c r="C24" s="78">
        <v>0.84699999999999998</v>
      </c>
      <c r="D24" s="50" t="s">
        <v>3099</v>
      </c>
      <c r="E24" s="82" t="s">
        <v>3143</v>
      </c>
    </row>
  </sheetData>
  <hyperlinks>
    <hyperlink ref="E4" r:id="rId1" display="zotero://open-pdf/library/items/HCSQXMF4?page=27&amp;annotation=KBUA3EEM" xr:uid="{4F0AC259-AFFF-43F3-9809-767B407BF0D9}"/>
    <hyperlink ref="E18" r:id="rId2" display="zotero://open-pdf/library/items/HCSQXMF4?page=27&amp;annotation=KBUA3EEM" xr:uid="{235FD0E1-FC5B-4732-961A-0D3F150DF933}"/>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zoomScaleNormal="100" workbookViewId="0">
      <selection activeCell="F32" sqref="F32"/>
    </sheetView>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3057</v>
      </c>
      <c r="B1" t="s">
        <v>3071</v>
      </c>
    </row>
    <row r="2" spans="1:31" x14ac:dyDescent="0.3">
      <c r="A2" t="s">
        <v>3059</v>
      </c>
      <c r="B2" s="90" t="s">
        <v>3066</v>
      </c>
    </row>
    <row r="3" spans="1:31" s="50" customFormat="1" x14ac:dyDescent="0.3"/>
    <row r="4" spans="1:31" s="50" customFormat="1" x14ac:dyDescent="0.3">
      <c r="A4" s="93" t="s">
        <v>3073</v>
      </c>
      <c r="B4" s="50" t="s">
        <v>3075</v>
      </c>
    </row>
    <row r="5" spans="1:31" x14ac:dyDescent="0.3">
      <c r="A5" s="94" t="s">
        <v>3068</v>
      </c>
      <c r="B5" t="s">
        <v>3074</v>
      </c>
    </row>
    <row r="6" spans="1:31" s="50" customFormat="1" x14ac:dyDescent="0.3">
      <c r="A6" s="95" t="s">
        <v>3076</v>
      </c>
      <c r="B6" s="50" t="s">
        <v>3077</v>
      </c>
    </row>
    <row r="7" spans="1:31" x14ac:dyDescent="0.3">
      <c r="F7" s="105" t="s">
        <v>705</v>
      </c>
      <c r="G7" s="105"/>
      <c r="I7" s="47" t="s">
        <v>3072</v>
      </c>
      <c r="J7" s="47"/>
    </row>
    <row r="8" spans="1:31" s="15" customFormat="1" ht="72" x14ac:dyDescent="0.3">
      <c r="A8" s="91" t="s">
        <v>3054</v>
      </c>
      <c r="B8" s="92" t="s">
        <v>2881</v>
      </c>
      <c r="C8" s="91" t="s">
        <v>2807</v>
      </c>
      <c r="D8" s="57" t="s">
        <v>2882</v>
      </c>
      <c r="E8" s="57" t="s">
        <v>2883</v>
      </c>
      <c r="F8" s="57" t="s">
        <v>3031</v>
      </c>
      <c r="G8" s="57" t="s">
        <v>3032</v>
      </c>
      <c r="H8" s="91" t="s">
        <v>3055</v>
      </c>
      <c r="I8" s="91" t="s">
        <v>3067</v>
      </c>
      <c r="J8" s="57" t="s">
        <v>2617</v>
      </c>
      <c r="K8" s="57" t="s">
        <v>2884</v>
      </c>
      <c r="L8" s="57" t="s">
        <v>2885</v>
      </c>
      <c r="M8" s="57" t="s">
        <v>2886</v>
      </c>
      <c r="N8" s="57" t="s">
        <v>2887</v>
      </c>
      <c r="O8" s="62" t="s">
        <v>2888</v>
      </c>
      <c r="P8" s="57" t="s">
        <v>3033</v>
      </c>
      <c r="Q8" s="57" t="s">
        <v>3034</v>
      </c>
      <c r="R8" s="57" t="s">
        <v>3036</v>
      </c>
      <c r="S8" s="57" t="s">
        <v>3037</v>
      </c>
      <c r="T8" s="57" t="s">
        <v>3046</v>
      </c>
      <c r="U8" s="62" t="s">
        <v>3047</v>
      </c>
      <c r="V8" s="57" t="s">
        <v>3039</v>
      </c>
      <c r="W8" s="57" t="s">
        <v>3040</v>
      </c>
      <c r="X8" s="57" t="s">
        <v>3038</v>
      </c>
      <c r="Y8" s="57" t="s">
        <v>3044</v>
      </c>
      <c r="Z8" s="57" t="s">
        <v>3048</v>
      </c>
      <c r="AA8" s="57" t="s">
        <v>3049</v>
      </c>
      <c r="AB8" s="57" t="s">
        <v>3051</v>
      </c>
      <c r="AC8" s="57" t="s">
        <v>3052</v>
      </c>
      <c r="AD8" s="57" t="s">
        <v>3064</v>
      </c>
      <c r="AE8" s="57" t="s">
        <v>3065</v>
      </c>
    </row>
    <row r="9" spans="1:31" x14ac:dyDescent="0.3">
      <c r="A9" s="64">
        <v>1</v>
      </c>
      <c r="B9" t="s">
        <v>614</v>
      </c>
      <c r="C9" s="64" t="s">
        <v>2808</v>
      </c>
      <c r="D9" t="s">
        <v>615</v>
      </c>
      <c r="E9" s="48" t="s">
        <v>2889</v>
      </c>
      <c r="F9" s="56">
        <f>INDEX(prodcom_data[PRODQNT + IMPQNT - EU27 - 2022], MATCH(B9, prodcom_data[product], 0))</f>
        <v>11059816493</v>
      </c>
      <c r="G9" s="54">
        <f>F9/1000000000</f>
        <v>11.059816493</v>
      </c>
      <c r="H9" s="96">
        <f>INDEX(prodcom_data[Local production share of available quantity (PRODQNT + IMPQNT) - EU27 - 2022], MATCH(B9, prodcom_data[product], 0))</f>
        <v>0.86402104863567564</v>
      </c>
      <c r="I9" s="49" t="s">
        <v>2643</v>
      </c>
      <c r="J9" s="49" t="s">
        <v>2642</v>
      </c>
      <c r="K9" s="79" t="s">
        <v>2890</v>
      </c>
      <c r="L9" s="79">
        <v>42.081000000000003</v>
      </c>
      <c r="M9" s="80" t="s">
        <v>2891</v>
      </c>
      <c r="N9" s="72">
        <f>M9*'Split Polyamides &amp; Isocyanates'!$C$37/L9</f>
        <v>0.85627717972481643</v>
      </c>
      <c r="O9" s="81" t="s">
        <v>2892</v>
      </c>
      <c r="P9" s="59" t="s">
        <v>3041</v>
      </c>
      <c r="Q9" s="58">
        <v>1</v>
      </c>
      <c r="R9" s="59"/>
      <c r="S9" s="60"/>
      <c r="T9" s="59"/>
      <c r="U9" s="63"/>
      <c r="V9" s="59" t="s">
        <v>3035</v>
      </c>
      <c r="W9" s="58">
        <v>0.89</v>
      </c>
      <c r="X9" s="59" t="s">
        <v>3094</v>
      </c>
      <c r="Y9" s="61">
        <f>0.05+0.01</f>
        <v>6.0000000000000005E-2</v>
      </c>
      <c r="Z9" s="59" t="s">
        <v>3042</v>
      </c>
      <c r="AA9" s="61" cm="1">
        <f t="array" ref="AA9">1-SUM(IF(ISNUMBER(V9:Y9), V9:Y9, 0))</f>
        <v>4.9999999999999933E-2</v>
      </c>
      <c r="AB9" s="59"/>
      <c r="AC9" s="60"/>
      <c r="AD9" s="59"/>
      <c r="AE9" s="60"/>
    </row>
    <row r="10" spans="1:31" x14ac:dyDescent="0.3">
      <c r="A10" s="64">
        <v>2</v>
      </c>
      <c r="B10" t="s">
        <v>8</v>
      </c>
      <c r="C10" s="64" t="s">
        <v>2809</v>
      </c>
      <c r="D10" t="s">
        <v>9</v>
      </c>
      <c r="E10" s="48" t="s">
        <v>9</v>
      </c>
      <c r="F10" s="56">
        <f>INDEX(prodcom_data[PRODQNT + IMPQNT - EU27 - 2022], MATCH(B10, prodcom_data[product], 0))</f>
        <v>10337493766</v>
      </c>
      <c r="G10" s="54">
        <f t="shared" ref="G10:G65" si="0">F10/1000000000</f>
        <v>10.337493766</v>
      </c>
      <c r="H10" s="96">
        <f>INDEX(prodcom_data[Local production share of available quantity (PRODQNT + IMPQNT) - EU27 - 2022], MATCH(B10, prodcom_data[product], 0))</f>
        <v>0.87904863332422545</v>
      </c>
      <c r="I10" s="49" t="s">
        <v>2644</v>
      </c>
      <c r="J10" s="49" t="s">
        <v>2642</v>
      </c>
      <c r="K10" s="79" t="s">
        <v>2896</v>
      </c>
      <c r="L10" s="79">
        <v>28.05</v>
      </c>
      <c r="M10" s="80" t="s">
        <v>2897</v>
      </c>
      <c r="N10" s="72">
        <f>M10*'Split Polyamides &amp; Isocyanates'!$C$37/L10</f>
        <v>0.85639928698752221</v>
      </c>
      <c r="O10" s="81" t="s">
        <v>2898</v>
      </c>
      <c r="P10" s="59" t="s">
        <v>3035</v>
      </c>
      <c r="Q10" s="58">
        <v>0.96</v>
      </c>
      <c r="R10" s="59" t="s">
        <v>3042</v>
      </c>
      <c r="S10" s="61" cm="1">
        <f t="array" ref="S10">1-SUM(IF(ISNUMBER(P10:Q10), P10:Q10, 0))</f>
        <v>4.0000000000000036E-2</v>
      </c>
      <c r="T10" s="59"/>
      <c r="U10" s="63"/>
      <c r="V10" s="59" t="s">
        <v>3043</v>
      </c>
      <c r="W10" s="58">
        <v>0.94</v>
      </c>
      <c r="X10" s="59" t="s">
        <v>3095</v>
      </c>
      <c r="Y10" s="60">
        <v>0.03</v>
      </c>
      <c r="Z10" s="59" t="s">
        <v>3053</v>
      </c>
      <c r="AA10" s="60">
        <v>0.02</v>
      </c>
      <c r="AB10" s="59" t="s">
        <v>3045</v>
      </c>
      <c r="AC10" s="60">
        <v>0.01</v>
      </c>
      <c r="AD10" s="59"/>
      <c r="AE10" s="60"/>
    </row>
    <row r="11" spans="1:31" x14ac:dyDescent="0.3">
      <c r="A11" s="64">
        <v>3</v>
      </c>
      <c r="B11" t="s">
        <v>11</v>
      </c>
      <c r="C11" s="64" t="s">
        <v>2809</v>
      </c>
      <c r="D11" t="s">
        <v>12</v>
      </c>
      <c r="E11" s="48" t="s">
        <v>2893</v>
      </c>
      <c r="F11" s="56">
        <f>INDEX(prodcom_data[PRODQNT + IMPQNT - EU27 - 2022], MATCH(B11, prodcom_data[product], 0))</f>
        <v>9081741202</v>
      </c>
      <c r="G11" s="54">
        <f t="shared" si="0"/>
        <v>9.0817412019999999</v>
      </c>
      <c r="H11" s="96">
        <f>INDEX(prodcom_data[Local production share of available quantity (PRODQNT + IMPQNT) - EU27 - 2022], MATCH(B11, prodcom_data[product], 0))</f>
        <v>0.94409418582769256</v>
      </c>
      <c r="I11" s="49" t="s">
        <v>2645</v>
      </c>
      <c r="J11" s="49" t="s">
        <v>2642</v>
      </c>
      <c r="K11" s="79" t="s">
        <v>2894</v>
      </c>
      <c r="L11" s="79">
        <v>42.08</v>
      </c>
      <c r="M11" s="80" t="s">
        <v>2891</v>
      </c>
      <c r="N11" s="72">
        <f>M11*'Split Polyamides &amp; Isocyanates'!$C$37/L11</f>
        <v>0.85629752851711038</v>
      </c>
      <c r="O11" s="81" t="s">
        <v>2895</v>
      </c>
      <c r="P11" s="59" t="s">
        <v>3035</v>
      </c>
      <c r="Q11" s="58">
        <v>0.98</v>
      </c>
      <c r="R11" s="59" t="s">
        <v>3042</v>
      </c>
      <c r="S11" s="61" cm="1">
        <f t="array" ref="S11">1-SUM(IF(ISNUMBER(P11:Q11), P11:Q11, 0))</f>
        <v>2.0000000000000018E-2</v>
      </c>
      <c r="T11" s="59"/>
      <c r="U11" s="63"/>
      <c r="V11" s="59" t="s">
        <v>3043</v>
      </c>
      <c r="W11" s="58">
        <v>0.97</v>
      </c>
      <c r="X11" s="59" t="s">
        <v>3095</v>
      </c>
      <c r="Y11" s="60">
        <v>0.01</v>
      </c>
      <c r="Z11" s="59" t="s">
        <v>3053</v>
      </c>
      <c r="AA11" s="60">
        <v>0.01</v>
      </c>
      <c r="AB11" s="59" t="s">
        <v>3042</v>
      </c>
      <c r="AC11" s="61" cm="1">
        <f t="array" ref="AC11">1-SUM(IF(ISNUMBER(V11:AA11), V11:AA11, 0))</f>
        <v>1.0000000000000009E-2</v>
      </c>
      <c r="AD11" s="59"/>
      <c r="AE11" s="60"/>
    </row>
    <row r="12" spans="1:31" x14ac:dyDescent="0.3">
      <c r="A12" s="64">
        <v>4</v>
      </c>
      <c r="B12" t="s">
        <v>539</v>
      </c>
      <c r="C12" s="64" t="s">
        <v>2810</v>
      </c>
      <c r="D12" t="s">
        <v>540</v>
      </c>
      <c r="E12" s="48" t="s">
        <v>2899</v>
      </c>
      <c r="F12" s="56">
        <f>INDEX(prodcom_data[PRODQNT + IMPQNT - EU27 - 2022], MATCH(B12, prodcom_data[product], 0))</f>
        <v>7628879471</v>
      </c>
      <c r="G12" s="54">
        <f t="shared" si="0"/>
        <v>7.6288794710000003</v>
      </c>
      <c r="H12" s="96">
        <f>INDEX(prodcom_data[Local production share of available quantity (PRODQNT + IMPQNT) - EU27 - 2022], MATCH(B12, prodcom_data[product], 0))</f>
        <v>0.78369292184089345</v>
      </c>
      <c r="I12" s="49" t="s">
        <v>2646</v>
      </c>
      <c r="J12" s="49" t="s">
        <v>2642</v>
      </c>
      <c r="K12" s="79" t="s">
        <v>2900</v>
      </c>
      <c r="L12" s="79">
        <v>28.053999999999998</v>
      </c>
      <c r="M12" s="80" t="s">
        <v>2897</v>
      </c>
      <c r="N12" s="72">
        <f>M12*'Split Polyamides &amp; Isocyanates'!$C$37/L12</f>
        <v>0.85627717972481643</v>
      </c>
      <c r="O12" s="81" t="s">
        <v>2901</v>
      </c>
      <c r="P12" s="59" t="s">
        <v>3041</v>
      </c>
      <c r="Q12" s="58">
        <v>1</v>
      </c>
      <c r="R12" s="59"/>
      <c r="S12" s="60"/>
      <c r="T12" s="59"/>
      <c r="U12" s="63"/>
      <c r="V12" s="59" t="s">
        <v>3035</v>
      </c>
      <c r="W12" s="58">
        <v>0.81</v>
      </c>
      <c r="X12" s="59" t="s">
        <v>3045</v>
      </c>
      <c r="Y12" s="60">
        <v>0.05</v>
      </c>
      <c r="Z12" s="59" t="s">
        <v>3042</v>
      </c>
      <c r="AA12" s="61" cm="1">
        <f t="array" ref="AA12">1-SUM(IF(ISNUMBER(V12:Y12), V12:Y12, 0))</f>
        <v>0.1399999999999999</v>
      </c>
      <c r="AB12" s="59"/>
      <c r="AC12" s="60"/>
      <c r="AD12" s="59"/>
      <c r="AE12" s="60"/>
    </row>
    <row r="13" spans="1:31" x14ac:dyDescent="0.3">
      <c r="A13" s="64">
        <v>5</v>
      </c>
      <c r="B13" t="s">
        <v>111</v>
      </c>
      <c r="C13" s="89" t="s">
        <v>3063</v>
      </c>
      <c r="D13" t="s">
        <v>112</v>
      </c>
      <c r="E13" s="48" t="s">
        <v>2902</v>
      </c>
      <c r="F13" s="56">
        <f>INDEX(prodcom_data[PRODQNT + IMPQNT - EU27 - 2022], MATCH(B13, prodcom_data[product], 0))</f>
        <v>6904732058</v>
      </c>
      <c r="G13" s="54">
        <f t="shared" si="0"/>
        <v>6.9047320579999996</v>
      </c>
      <c r="H13" s="96">
        <f>INDEX(prodcom_data[Local production share of available quantity (PRODQNT + IMPQNT) - EU27 - 2022], MATCH(B13, prodcom_data[product], 0))</f>
        <v>0.14193164800139446</v>
      </c>
      <c r="I13" s="49" t="s">
        <v>2647</v>
      </c>
      <c r="J13" s="49" t="s">
        <v>2642</v>
      </c>
      <c r="K13" s="79" t="s">
        <v>2903</v>
      </c>
      <c r="L13" s="79">
        <v>32.042000000000002</v>
      </c>
      <c r="M13" s="80" t="s">
        <v>2904</v>
      </c>
      <c r="N13" s="72">
        <f>M13*'Split Polyamides &amp; Isocyanates'!$C$37/L13</f>
        <v>0.3748517570688471</v>
      </c>
      <c r="O13" s="81" t="s">
        <v>2905</v>
      </c>
      <c r="P13" s="59" t="s">
        <v>3035</v>
      </c>
      <c r="Q13" s="58">
        <v>0.35</v>
      </c>
      <c r="R13" s="59" t="s">
        <v>3045</v>
      </c>
      <c r="S13" s="58">
        <v>0.23</v>
      </c>
      <c r="T13" s="59" t="s">
        <v>3042</v>
      </c>
      <c r="U13" s="61">
        <f>1-Q13-S13</f>
        <v>0.42000000000000004</v>
      </c>
      <c r="V13" s="59" t="s">
        <v>3043</v>
      </c>
      <c r="W13" s="58">
        <v>0.18</v>
      </c>
      <c r="X13" s="59" t="s">
        <v>3050</v>
      </c>
      <c r="Y13" s="58">
        <v>0.21</v>
      </c>
      <c r="Z13" s="59" t="s">
        <v>3045</v>
      </c>
      <c r="AA13" s="58">
        <v>0.23</v>
      </c>
      <c r="AB13" s="59" t="s">
        <v>3053</v>
      </c>
      <c r="AC13" s="60">
        <v>0.16</v>
      </c>
      <c r="AD13" s="59" t="s">
        <v>3042</v>
      </c>
      <c r="AE13" s="61" cm="1">
        <f t="array" ref="AE13">1-SUM(IF(ISNUMBER(V13:AC13), V13:AC13, 0))</f>
        <v>0.21999999999999997</v>
      </c>
    </row>
    <row r="14" spans="1:31" x14ac:dyDescent="0.3">
      <c r="A14" s="64">
        <v>6</v>
      </c>
      <c r="B14" t="s">
        <v>34</v>
      </c>
      <c r="C14" s="64" t="s">
        <v>2812</v>
      </c>
      <c r="D14" t="s">
        <v>35</v>
      </c>
      <c r="E14" s="48" t="s">
        <v>35</v>
      </c>
      <c r="F14" s="56">
        <f>INDEX(prodcom_data[PRODQNT + IMPQNT - EU27 - 2022], MATCH(B14, prodcom_data[product], 0))</f>
        <v>6234476067</v>
      </c>
      <c r="G14" s="54">
        <f t="shared" si="0"/>
        <v>6.2344760670000001</v>
      </c>
      <c r="H14" s="96">
        <f>INDEX(prodcom_data[Local production share of available quantity (PRODQNT + IMPQNT) - EU27 - 2022], MATCH(B14, prodcom_data[product], 0))</f>
        <v>0.88287081478020857</v>
      </c>
      <c r="I14" s="49" t="s">
        <v>2648</v>
      </c>
      <c r="J14" s="49" t="s">
        <v>2642</v>
      </c>
      <c r="K14" s="79" t="s">
        <v>2906</v>
      </c>
      <c r="L14" s="79">
        <v>78.11</v>
      </c>
      <c r="M14" s="80" t="s">
        <v>2907</v>
      </c>
      <c r="N14" s="72">
        <f>M14*'Split Polyamides &amp; Isocyanates'!$C$37/L14</f>
        <v>0.92262194341313541</v>
      </c>
      <c r="O14" s="81" t="s">
        <v>2908</v>
      </c>
      <c r="P14" s="59" t="s">
        <v>3035</v>
      </c>
      <c r="Q14" s="58">
        <v>0.93</v>
      </c>
      <c r="R14" s="59" t="s">
        <v>3042</v>
      </c>
      <c r="S14" s="61" cm="1">
        <f t="array" ref="S14">1-SUM(IF(ISNUMBER(P14:Q14), P14:Q14, 0))</f>
        <v>6.9999999999999951E-2</v>
      </c>
      <c r="T14" s="59"/>
      <c r="U14" s="63"/>
      <c r="V14" s="59" t="s">
        <v>3035</v>
      </c>
      <c r="W14" s="58">
        <v>0.93</v>
      </c>
      <c r="X14" s="59" t="s">
        <v>3042</v>
      </c>
      <c r="Y14" s="61" cm="1">
        <f t="array" ref="Y14">1-SUM(IF(ISNUMBER(V14:W14), V14:W14, 0))</f>
        <v>6.9999999999999951E-2</v>
      </c>
      <c r="Z14" s="59"/>
      <c r="AA14" s="60"/>
      <c r="AB14" s="59"/>
      <c r="AC14" s="60"/>
      <c r="AD14" s="59"/>
      <c r="AE14" s="60"/>
    </row>
    <row r="15" spans="1:31" x14ac:dyDescent="0.3">
      <c r="A15" s="64">
        <v>7</v>
      </c>
      <c r="B15" t="s">
        <v>563</v>
      </c>
      <c r="C15" s="64" t="s">
        <v>2813</v>
      </c>
      <c r="D15" t="s">
        <v>564</v>
      </c>
      <c r="E15" s="48" t="s">
        <v>2909</v>
      </c>
      <c r="F15" s="56">
        <f>INDEX(prodcom_data[PRODQNT + IMPQNT - EU27 - 2022], MATCH(B15, prodcom_data[product], 0))</f>
        <v>5008047468</v>
      </c>
      <c r="G15" s="54">
        <f t="shared" si="0"/>
        <v>5.008047468</v>
      </c>
      <c r="H15" s="96">
        <f>INDEX(prodcom_data[Local production share of available quantity (PRODQNT + IMPQNT) - EU27 - 2022], MATCH(B15, prodcom_data[product], 0))</f>
        <v>0.89272188364169869</v>
      </c>
      <c r="I15" s="49" t="s">
        <v>2650</v>
      </c>
      <c r="J15" s="49" t="s">
        <v>2642</v>
      </c>
      <c r="K15" s="79" t="s">
        <v>2910</v>
      </c>
      <c r="L15" s="79">
        <v>62.5</v>
      </c>
      <c r="M15" s="80" t="s">
        <v>2897</v>
      </c>
      <c r="N15" s="72">
        <f>M15*'Split Polyamides &amp; Isocyanates'!$C$37/L15</f>
        <v>0.38435199999999997</v>
      </c>
      <c r="O15" s="81" t="s">
        <v>2911</v>
      </c>
      <c r="P15" s="59" t="s">
        <v>3035</v>
      </c>
      <c r="Q15" s="58">
        <v>0.92</v>
      </c>
      <c r="R15" s="59" t="s">
        <v>3042</v>
      </c>
      <c r="S15" s="61" cm="1">
        <f t="array" ref="S15">1-SUM(IF(ISNUMBER(P15:Q15), P15:Q15, 0))</f>
        <v>7.999999999999996E-2</v>
      </c>
      <c r="T15" s="59"/>
      <c r="U15" s="63"/>
      <c r="V15" s="59" t="s">
        <v>3035</v>
      </c>
      <c r="W15" s="58">
        <v>0.92</v>
      </c>
      <c r="X15" s="59" t="s">
        <v>3096</v>
      </c>
      <c r="Y15" s="61">
        <f>0.03+0.03</f>
        <v>0.06</v>
      </c>
      <c r="Z15" s="59" t="s">
        <v>3042</v>
      </c>
      <c r="AA15" s="61" cm="1">
        <f t="array" ref="AA15">1-SUM(IF(ISNUMBER(V15:Y15), V15:Y15, 0))</f>
        <v>2.0000000000000018E-2</v>
      </c>
      <c r="AB15" s="59"/>
      <c r="AC15" s="60"/>
      <c r="AD15" s="59"/>
      <c r="AE15" s="60"/>
    </row>
    <row r="16" spans="1:31" x14ac:dyDescent="0.3">
      <c r="A16" s="64">
        <v>8</v>
      </c>
      <c r="B16" t="s">
        <v>536</v>
      </c>
      <c r="C16" s="64" t="s">
        <v>2811</v>
      </c>
      <c r="D16" t="s">
        <v>537</v>
      </c>
      <c r="E16" s="48" t="s">
        <v>2899</v>
      </c>
      <c r="F16" s="56">
        <f>INDEX(prodcom_data[PRODQNT + IMPQNT - EU27 - 2022], MATCH(B16, prodcom_data[product], 0))</f>
        <v>4474213876</v>
      </c>
      <c r="G16" s="54">
        <f t="shared" si="0"/>
        <v>4.4742138760000003</v>
      </c>
      <c r="H16" s="96">
        <f>INDEX(prodcom_data[Local production share of available quantity (PRODQNT + IMPQNT) - EU27 - 2022], MATCH(B16, prodcom_data[product], 0))</f>
        <v>0.7961067883023123</v>
      </c>
      <c r="I16" s="49" t="s">
        <v>2651</v>
      </c>
      <c r="J16" s="49" t="s">
        <v>2642</v>
      </c>
      <c r="K16" s="79" t="s">
        <v>2900</v>
      </c>
      <c r="L16" s="79">
        <v>28.053999999999998</v>
      </c>
      <c r="M16" s="80" t="s">
        <v>2897</v>
      </c>
      <c r="N16" s="72">
        <f>M16*'Split Polyamides &amp; Isocyanates'!$C$37/L16</f>
        <v>0.85627717972481643</v>
      </c>
      <c r="O16" s="81" t="s">
        <v>2901</v>
      </c>
      <c r="P16" s="59" t="s">
        <v>3041</v>
      </c>
      <c r="Q16" s="58">
        <v>1</v>
      </c>
      <c r="R16" s="59"/>
      <c r="S16" s="60"/>
      <c r="T16" s="59"/>
      <c r="U16" s="63"/>
      <c r="V16" s="59" t="s">
        <v>3035</v>
      </c>
      <c r="W16" s="58">
        <v>0.84</v>
      </c>
      <c r="X16" s="59" t="s">
        <v>3045</v>
      </c>
      <c r="Y16" s="60">
        <v>0.04</v>
      </c>
      <c r="Z16" s="59" t="s">
        <v>3042</v>
      </c>
      <c r="AA16" s="61" cm="1">
        <f t="array" ref="AA16">1-SUM(IF(ISNUMBER(V16:Y16), V16:Y16, 0))</f>
        <v>0.12</v>
      </c>
      <c r="AB16" s="59"/>
      <c r="AC16" s="60"/>
      <c r="AD16" s="59"/>
      <c r="AE16" s="60"/>
    </row>
    <row r="17" spans="1:31" x14ac:dyDescent="0.3">
      <c r="A17" s="64">
        <v>9</v>
      </c>
      <c r="B17" t="s">
        <v>533</v>
      </c>
      <c r="C17" s="64" t="s">
        <v>2811</v>
      </c>
      <c r="D17" t="s">
        <v>534</v>
      </c>
      <c r="E17" s="48" t="s">
        <v>2899</v>
      </c>
      <c r="F17" s="56">
        <f>INDEX(prodcom_data[PRODQNT + IMPQNT - EU27 - 2022], MATCH(B17, prodcom_data[product], 0))</f>
        <v>4238710053</v>
      </c>
      <c r="G17" s="54">
        <f t="shared" si="0"/>
        <v>4.2387100530000001</v>
      </c>
      <c r="H17" s="96">
        <f>INDEX(prodcom_data[Local production share of available quantity (PRODQNT + IMPQNT) - EU27 - 2022], MATCH(B17, prodcom_data[product], 0))</f>
        <v>0.8225375065540016</v>
      </c>
      <c r="I17" s="49" t="s">
        <v>2653</v>
      </c>
      <c r="J17" s="49" t="s">
        <v>2642</v>
      </c>
      <c r="K17" s="79" t="s">
        <v>2900</v>
      </c>
      <c r="L17" s="79">
        <v>28.053999999999998</v>
      </c>
      <c r="M17" s="80" t="s">
        <v>2897</v>
      </c>
      <c r="N17" s="72">
        <f>M17*'Split Polyamides &amp; Isocyanates'!$C$37/L17</f>
        <v>0.85627717972481643</v>
      </c>
      <c r="O17" s="81" t="s">
        <v>2901</v>
      </c>
      <c r="P17" s="59" t="s">
        <v>3041</v>
      </c>
      <c r="Q17" s="58">
        <v>1</v>
      </c>
      <c r="R17" s="59"/>
      <c r="S17" s="60"/>
      <c r="T17" s="59"/>
      <c r="U17" s="63"/>
      <c r="V17" s="59" t="s">
        <v>3041</v>
      </c>
      <c r="W17" s="58">
        <v>1</v>
      </c>
      <c r="X17" s="59"/>
      <c r="Y17" s="60"/>
      <c r="Z17" s="59"/>
      <c r="AA17" s="60"/>
      <c r="AB17" s="59"/>
      <c r="AC17" s="60"/>
      <c r="AD17" s="59"/>
      <c r="AE17" s="60"/>
    </row>
    <row r="18" spans="1:31" x14ac:dyDescent="0.3">
      <c r="A18" s="64">
        <v>10</v>
      </c>
      <c r="B18" t="s">
        <v>49</v>
      </c>
      <c r="C18" s="64" t="s">
        <v>2814</v>
      </c>
      <c r="D18" t="s">
        <v>50</v>
      </c>
      <c r="E18" s="48" t="s">
        <v>50</v>
      </c>
      <c r="F18" s="56">
        <f>INDEX(prodcom_data[PRODQNT + IMPQNT - EU27 - 2022], MATCH(B18, prodcom_data[product], 0))</f>
        <v>3627976392</v>
      </c>
      <c r="G18" s="54">
        <f t="shared" si="0"/>
        <v>3.6279763919999999</v>
      </c>
      <c r="H18" s="96">
        <f>INDEX(prodcom_data[Local production share of available quantity (PRODQNT + IMPQNT) - EU27 - 2022], MATCH(B18, prodcom_data[product], 0))</f>
        <v>0.82690725513409014</v>
      </c>
      <c r="I18" s="49" t="s">
        <v>2654</v>
      </c>
      <c r="J18" s="49" t="s">
        <v>2642</v>
      </c>
      <c r="K18" s="79" t="s">
        <v>2920</v>
      </c>
      <c r="L18" s="79">
        <v>104.15</v>
      </c>
      <c r="M18" s="80" t="s">
        <v>2914</v>
      </c>
      <c r="N18" s="72">
        <f>M18*'Split Polyamides &amp; Isocyanates'!$C$37/L18</f>
        <v>0.92259241478636567</v>
      </c>
      <c r="O18" s="81" t="s">
        <v>2921</v>
      </c>
      <c r="P18" s="59" t="s">
        <v>3035</v>
      </c>
      <c r="Q18" s="58">
        <v>0.84</v>
      </c>
      <c r="R18" s="59" t="s">
        <v>3042</v>
      </c>
      <c r="S18" s="61" cm="1">
        <f t="array" ref="S18">1-SUM(IF(ISNUMBER(P18:Q18), P18:Q18, 0))</f>
        <v>0.16000000000000003</v>
      </c>
      <c r="T18" s="59"/>
      <c r="U18" s="63"/>
      <c r="V18" s="59" t="s">
        <v>3035</v>
      </c>
      <c r="W18" s="58">
        <v>0.84</v>
      </c>
      <c r="X18" s="59" t="s">
        <v>3045</v>
      </c>
      <c r="Y18" s="60">
        <v>0.06</v>
      </c>
      <c r="Z18" s="59" t="s">
        <v>3097</v>
      </c>
      <c r="AA18" s="60">
        <v>0.03</v>
      </c>
      <c r="AB18" s="59" t="s">
        <v>3042</v>
      </c>
      <c r="AC18" s="61" cm="1">
        <f t="array" ref="AC18">1-SUM(IF(ISNUMBER(V18:AA18), V18:AA18, 0))</f>
        <v>7.0000000000000062E-2</v>
      </c>
      <c r="AD18" s="59"/>
      <c r="AE18" s="60"/>
    </row>
    <row r="19" spans="1:31" x14ac:dyDescent="0.3">
      <c r="A19" s="64">
        <v>11</v>
      </c>
      <c r="B19" t="s">
        <v>263</v>
      </c>
      <c r="C19" s="64" t="s">
        <v>2815</v>
      </c>
      <c r="D19" t="s">
        <v>264</v>
      </c>
      <c r="E19" s="48" t="s">
        <v>2912</v>
      </c>
      <c r="F19" s="56">
        <f>INDEX(prodcom_data[PRODQNT + IMPQNT - EU27 - 2022], MATCH(B19, prodcom_data[product], 0))</f>
        <v>3491283735</v>
      </c>
      <c r="G19" s="54">
        <f t="shared" si="0"/>
        <v>3.4912837350000001</v>
      </c>
      <c r="H19" s="96">
        <f>INDEX(prodcom_data[Local production share of available quantity (PRODQNT + IMPQNT) - EU27 - 2022], MATCH(B19, prodcom_data[product], 0))</f>
        <v>0.80199726304971886</v>
      </c>
      <c r="I19" s="49" t="s">
        <v>2655</v>
      </c>
      <c r="J19" s="49" t="s">
        <v>2656</v>
      </c>
      <c r="K19" s="79" t="s">
        <v>2913</v>
      </c>
      <c r="L19" s="79">
        <v>166.13</v>
      </c>
      <c r="M19" s="80" t="s">
        <v>2914</v>
      </c>
      <c r="N19" s="72">
        <f>M19*'Split Polyamides &amp; Isocyanates'!$C$37/L19</f>
        <v>0.57839041714320105</v>
      </c>
      <c r="O19" s="81" t="s">
        <v>2915</v>
      </c>
      <c r="P19" s="59" t="s">
        <v>3041</v>
      </c>
      <c r="Q19" s="58">
        <v>1</v>
      </c>
      <c r="R19" s="59"/>
      <c r="S19" s="60"/>
      <c r="T19" s="59"/>
      <c r="U19" s="63"/>
      <c r="V19" s="59" t="s">
        <v>3041</v>
      </c>
      <c r="W19" s="58">
        <v>1</v>
      </c>
      <c r="X19" s="59"/>
      <c r="Y19" s="60"/>
      <c r="Z19" s="59"/>
      <c r="AA19" s="60"/>
      <c r="AB19" s="59"/>
      <c r="AC19" s="60"/>
      <c r="AD19" s="59"/>
      <c r="AE19" s="60"/>
    </row>
    <row r="20" spans="1:31" x14ac:dyDescent="0.3">
      <c r="A20" s="64">
        <v>12</v>
      </c>
      <c r="B20" t="s">
        <v>599</v>
      </c>
      <c r="C20" s="64" t="s">
        <v>2816</v>
      </c>
      <c r="D20" t="s">
        <v>600</v>
      </c>
      <c r="E20" s="48" t="s">
        <v>2916</v>
      </c>
      <c r="F20" s="56">
        <f>INDEX(prodcom_data[PRODQNT + IMPQNT - EU27 - 2022], MATCH(B20, prodcom_data[product], 0))</f>
        <v>3349184970</v>
      </c>
      <c r="G20" s="54">
        <f t="shared" si="0"/>
        <v>3.34918497</v>
      </c>
      <c r="H20" s="96">
        <f>INDEX(prodcom_data[Local production share of available quantity (PRODQNT + IMPQNT) - EU27 - 2022], MATCH(B20, prodcom_data[product], 0))</f>
        <v>0.6568762309953875</v>
      </c>
      <c r="I20" s="49" t="s">
        <v>2657</v>
      </c>
      <c r="J20" s="49" t="s">
        <v>2642</v>
      </c>
      <c r="K20" s="79" t="s">
        <v>2917</v>
      </c>
      <c r="L20" s="79">
        <v>222.24</v>
      </c>
      <c r="M20" s="80" t="s">
        <v>2918</v>
      </c>
      <c r="N20" s="72">
        <f>M20*'Split Polyamides &amp; Isocyanates'!$C$37/L20</f>
        <v>0.64854211663066952</v>
      </c>
      <c r="O20" s="81" t="s">
        <v>2919</v>
      </c>
      <c r="P20" s="59" t="s">
        <v>3041</v>
      </c>
      <c r="Q20" s="58">
        <v>1</v>
      </c>
      <c r="R20" s="59"/>
      <c r="S20" s="60"/>
      <c r="T20" s="59"/>
      <c r="U20" s="63"/>
      <c r="V20" s="59" t="s">
        <v>3041</v>
      </c>
      <c r="W20" s="58">
        <v>1</v>
      </c>
      <c r="X20" s="59"/>
      <c r="Y20" s="60"/>
      <c r="Z20" s="59"/>
      <c r="AA20" s="60"/>
      <c r="AB20" s="59"/>
      <c r="AC20" s="60"/>
      <c r="AD20" s="59"/>
      <c r="AE20" s="60"/>
    </row>
    <row r="21" spans="1:31" x14ac:dyDescent="0.3">
      <c r="A21" s="64">
        <v>13</v>
      </c>
      <c r="B21" t="s">
        <v>17</v>
      </c>
      <c r="C21" s="64" t="s">
        <v>2817</v>
      </c>
      <c r="D21" t="s">
        <v>18</v>
      </c>
      <c r="E21" s="48" t="s">
        <v>2922</v>
      </c>
      <c r="F21" s="56">
        <f>INDEX(prodcom_data[PRODQNT + IMPQNT - EU27 - 2022], MATCH(B21, prodcom_data[product], 0))</f>
        <v>2808940257</v>
      </c>
      <c r="G21" s="54">
        <f t="shared" si="0"/>
        <v>2.8089402570000002</v>
      </c>
      <c r="H21" s="96">
        <f>INDEX(prodcom_data[Local production share of available quantity (PRODQNT + IMPQNT) - EU27 - 2022], MATCH(B21, prodcom_data[product], 0))</f>
        <v>0.9968172135460267</v>
      </c>
      <c r="I21" s="49" t="s">
        <v>2659</v>
      </c>
      <c r="J21" s="49" t="s">
        <v>2660</v>
      </c>
      <c r="K21" s="79" t="s">
        <v>2923</v>
      </c>
      <c r="L21" s="79">
        <v>54.09</v>
      </c>
      <c r="M21" s="80" t="s">
        <v>2924</v>
      </c>
      <c r="N21" s="72">
        <f>M21*'Split Polyamides &amp; Isocyanates'!$C$37/L21</f>
        <v>0.88822333148456267</v>
      </c>
      <c r="O21" s="81" t="s">
        <v>2925</v>
      </c>
      <c r="P21" s="59" t="s">
        <v>3035</v>
      </c>
      <c r="Q21" s="58">
        <v>1</v>
      </c>
      <c r="R21" s="59"/>
      <c r="S21" s="60"/>
      <c r="T21" s="59"/>
      <c r="U21" s="63"/>
      <c r="V21" s="59" t="s">
        <v>3043</v>
      </c>
      <c r="W21" s="58">
        <v>1</v>
      </c>
      <c r="X21" s="59"/>
      <c r="Y21" s="60"/>
      <c r="Z21" s="59"/>
      <c r="AA21" s="60"/>
      <c r="AB21" s="59"/>
      <c r="AC21" s="60"/>
      <c r="AD21" s="59"/>
      <c r="AE21" s="60"/>
    </row>
    <row r="22" spans="1:31" x14ac:dyDescent="0.3">
      <c r="A22" s="64">
        <v>14</v>
      </c>
      <c r="B22" t="s">
        <v>14</v>
      </c>
      <c r="C22" s="64" t="s">
        <v>2819</v>
      </c>
      <c r="D22" t="s">
        <v>15</v>
      </c>
      <c r="E22" s="48" t="s">
        <v>2926</v>
      </c>
      <c r="F22" s="56">
        <f>INDEX(prodcom_data[PRODQNT + IMPQNT - EU27 - 2022], MATCH(B22, prodcom_data[product], 0))</f>
        <v>2000046666</v>
      </c>
      <c r="G22" s="54">
        <f t="shared" si="0"/>
        <v>2.0000466659999998</v>
      </c>
      <c r="H22" s="96">
        <f>INDEX(prodcom_data[Local production share of available quantity (PRODQNT + IMPQNT) - EU27 - 2022], MATCH(B22, prodcom_data[product], 0))</f>
        <v>0.99997666754441616</v>
      </c>
      <c r="I22" s="49" t="s">
        <v>2662</v>
      </c>
      <c r="J22" s="49" t="s">
        <v>2642</v>
      </c>
      <c r="K22" s="79" t="s">
        <v>2927</v>
      </c>
      <c r="L22" s="79">
        <v>112.21</v>
      </c>
      <c r="M22" s="80" t="s">
        <v>2914</v>
      </c>
      <c r="N22" s="72">
        <f>M22*'Split Polyamides &amp; Isocyanates'!$C$37/L22</f>
        <v>0.85632296586756973</v>
      </c>
      <c r="O22" s="81" t="s">
        <v>2928</v>
      </c>
      <c r="P22" s="59" t="s">
        <v>3035</v>
      </c>
      <c r="Q22" s="58">
        <v>1</v>
      </c>
      <c r="R22" s="59"/>
      <c r="S22" s="60"/>
      <c r="T22" s="59"/>
      <c r="U22" s="63"/>
      <c r="V22" s="59" t="s">
        <v>3043</v>
      </c>
      <c r="W22" s="58">
        <v>1</v>
      </c>
      <c r="X22" s="59"/>
      <c r="Y22" s="60"/>
      <c r="Z22" s="59"/>
      <c r="AA22" s="60"/>
      <c r="AB22" s="59"/>
      <c r="AC22" s="60"/>
      <c r="AD22" s="59"/>
      <c r="AE22" s="60"/>
    </row>
    <row r="23" spans="1:31" x14ac:dyDescent="0.3">
      <c r="A23" s="64">
        <v>15</v>
      </c>
      <c r="B23" t="s">
        <v>548</v>
      </c>
      <c r="C23" s="64" t="s">
        <v>2820</v>
      </c>
      <c r="D23" t="s">
        <v>549</v>
      </c>
      <c r="E23" s="48" t="s">
        <v>2929</v>
      </c>
      <c r="F23" s="56">
        <f>INDEX(prodcom_data[PRODQNT + IMPQNT - EU27 - 2022], MATCH(B23, prodcom_data[product], 0))</f>
        <v>1864065177</v>
      </c>
      <c r="G23" s="54">
        <f t="shared" si="0"/>
        <v>1.8640651770000001</v>
      </c>
      <c r="H23" s="96">
        <f>INDEX(prodcom_data[Local production share of available quantity (PRODQNT + IMPQNT) - EU27 - 2022], MATCH(B23, prodcom_data[product], 0))</f>
        <v>0.88707249478326589</v>
      </c>
      <c r="I23" s="49" t="s">
        <v>2663</v>
      </c>
      <c r="J23" s="49" t="s">
        <v>2642</v>
      </c>
      <c r="K23" s="79" t="s">
        <v>2930</v>
      </c>
      <c r="L23" s="79">
        <v>104.15199999999999</v>
      </c>
      <c r="M23" s="80" t="s">
        <v>2914</v>
      </c>
      <c r="N23" s="72">
        <f>M23*'Split Polyamides &amp; Isocyanates'!$C$37/L23</f>
        <v>0.92257469851755136</v>
      </c>
      <c r="O23" s="81" t="s">
        <v>2931</v>
      </c>
      <c r="P23" s="59" t="s">
        <v>3041</v>
      </c>
      <c r="Q23" s="58">
        <v>1</v>
      </c>
      <c r="R23" s="59"/>
      <c r="S23" s="60"/>
      <c r="T23" s="59"/>
      <c r="U23" s="63"/>
      <c r="V23" s="59" t="s">
        <v>3035</v>
      </c>
      <c r="W23" s="58">
        <v>0.91</v>
      </c>
      <c r="X23" s="59" t="s">
        <v>3042</v>
      </c>
      <c r="Y23" s="61" cm="1">
        <f t="array" ref="Y23">1-SUM(IF(ISNUMBER(V23:W23), V23:W23, 0))</f>
        <v>8.9999999999999969E-2</v>
      </c>
      <c r="Z23" s="59"/>
      <c r="AA23" s="60"/>
      <c r="AB23" s="59"/>
      <c r="AC23" s="60"/>
      <c r="AD23" s="59"/>
      <c r="AE23" s="60"/>
    </row>
    <row r="24" spans="1:31" x14ac:dyDescent="0.3">
      <c r="A24" s="64">
        <v>16</v>
      </c>
      <c r="B24" t="s">
        <v>132</v>
      </c>
      <c r="C24" s="64" t="s">
        <v>2821</v>
      </c>
      <c r="D24" t="s">
        <v>133</v>
      </c>
      <c r="E24" s="48" t="s">
        <v>2935</v>
      </c>
      <c r="F24" s="56">
        <f>INDEX(prodcom_data[PRODQNT + IMPQNT - EU27 - 2022], MATCH(B24, prodcom_data[product], 0))</f>
        <v>1795747967</v>
      </c>
      <c r="G24" s="54">
        <f t="shared" si="0"/>
        <v>1.7957479670000001</v>
      </c>
      <c r="H24" s="96">
        <f>INDEX(prodcom_data[Local production share of available quantity (PRODQNT + IMPQNT) - EU27 - 2022], MATCH(B24, prodcom_data[product], 0))</f>
        <v>0.55687101886052137</v>
      </c>
      <c r="I24" s="49" t="s">
        <v>2664</v>
      </c>
      <c r="J24" s="49" t="s">
        <v>2642</v>
      </c>
      <c r="K24" s="79" t="s">
        <v>2936</v>
      </c>
      <c r="L24" s="79">
        <v>62.07</v>
      </c>
      <c r="M24" s="80" t="s">
        <v>2897</v>
      </c>
      <c r="N24" s="72">
        <f>M24*'Split Polyamides &amp; Isocyanates'!$C$37/L24</f>
        <v>0.38701466086676328</v>
      </c>
      <c r="O24" s="81" t="s">
        <v>2937</v>
      </c>
      <c r="P24" s="59" t="s">
        <v>3035</v>
      </c>
      <c r="Q24" s="60">
        <v>0.56000000000000005</v>
      </c>
      <c r="R24" s="59" t="s">
        <v>3042</v>
      </c>
      <c r="S24" s="61" cm="1">
        <f t="array" ref="S24">1-SUM(IF(ISNUMBER(P24:Q24), P24:Q24, 0))</f>
        <v>0.43999999999999995</v>
      </c>
      <c r="T24" s="59"/>
      <c r="U24" s="63"/>
      <c r="V24" s="59" t="s">
        <v>3035</v>
      </c>
      <c r="W24" s="60">
        <v>0.56000000000000005</v>
      </c>
      <c r="X24" s="59" t="s">
        <v>3042</v>
      </c>
      <c r="Y24" s="61" cm="1">
        <f t="array" ref="Y24">1-SUM(IF(ISNUMBER(V24:W24), V24:W24, 0))</f>
        <v>0.43999999999999995</v>
      </c>
      <c r="Z24" s="59"/>
      <c r="AA24" s="60"/>
      <c r="AB24" s="59"/>
      <c r="AC24" s="60"/>
      <c r="AD24" s="59"/>
      <c r="AE24" s="60"/>
    </row>
    <row r="25" spans="1:31" x14ac:dyDescent="0.3">
      <c r="A25" s="64">
        <v>17</v>
      </c>
      <c r="B25" t="s">
        <v>476</v>
      </c>
      <c r="C25" s="64" t="s">
        <v>2822</v>
      </c>
      <c r="D25" t="s">
        <v>477</v>
      </c>
      <c r="E25" s="48" t="s">
        <v>2932</v>
      </c>
      <c r="F25" s="56">
        <f>INDEX(prodcom_data[PRODQNT + IMPQNT - EU27 - 2022], MATCH(B25, prodcom_data[product], 0))</f>
        <v>1650938177</v>
      </c>
      <c r="G25" s="54">
        <f t="shared" si="0"/>
        <v>1.650938177</v>
      </c>
      <c r="H25" s="96">
        <f>INDEX(prodcom_data[Local production share of available quantity (PRODQNT + IMPQNT) - EU27 - 2022], MATCH(B25, prodcom_data[product], 0))</f>
        <v>0.98168669522505081</v>
      </c>
      <c r="I25" s="49" t="s">
        <v>2665</v>
      </c>
      <c r="J25" s="49" t="s">
        <v>2642</v>
      </c>
      <c r="K25" s="79" t="s">
        <v>2933</v>
      </c>
      <c r="L25" s="79">
        <v>58.08</v>
      </c>
      <c r="M25" s="80" t="s">
        <v>2891</v>
      </c>
      <c r="N25" s="72">
        <f>M25*'Split Polyamides &amp; Isocyanates'!$C$37/L25</f>
        <v>0.62040289256198355</v>
      </c>
      <c r="O25" s="81" t="s">
        <v>2934</v>
      </c>
      <c r="P25" s="59" t="s">
        <v>3035</v>
      </c>
      <c r="Q25" s="58">
        <v>0.98</v>
      </c>
      <c r="R25" s="59" t="s">
        <v>3042</v>
      </c>
      <c r="S25" s="61" cm="1">
        <f t="array" ref="S25">1-SUM(IF(ISNUMBER(P25:Q25), P25:Q25, 0))</f>
        <v>2.0000000000000018E-2</v>
      </c>
      <c r="T25" s="59"/>
      <c r="U25" s="63"/>
      <c r="V25" s="59" t="s">
        <v>3035</v>
      </c>
      <c r="W25" s="58">
        <v>0.98</v>
      </c>
      <c r="X25" s="59" t="s">
        <v>3045</v>
      </c>
      <c r="Y25" s="60">
        <v>0.02</v>
      </c>
      <c r="Z25" s="59"/>
      <c r="AA25" s="60"/>
      <c r="AB25" s="59"/>
      <c r="AC25" s="60"/>
      <c r="AD25" s="59"/>
      <c r="AE25" s="60"/>
    </row>
    <row r="26" spans="1:31" x14ac:dyDescent="0.3">
      <c r="A26" s="64">
        <v>18</v>
      </c>
      <c r="B26" t="s">
        <v>551</v>
      </c>
      <c r="C26" s="64" t="s">
        <v>2823</v>
      </c>
      <c r="D26" t="s">
        <v>552</v>
      </c>
      <c r="E26" s="48" t="s">
        <v>2929</v>
      </c>
      <c r="F26" s="56">
        <f>INDEX(prodcom_data[PRODQNT + IMPQNT - EU27 - 2022], MATCH(B26, prodcom_data[product], 0))</f>
        <v>1592476459</v>
      </c>
      <c r="G26" s="54">
        <f t="shared" si="0"/>
        <v>1.592476459</v>
      </c>
      <c r="H26" s="96">
        <f>INDEX(prodcom_data[Local production share of available quantity (PRODQNT + IMPQNT) - EU27 - 2022], MATCH(B26, prodcom_data[product], 0))</f>
        <v>0.93163807390386044</v>
      </c>
      <c r="I26" s="49" t="s">
        <v>2666</v>
      </c>
      <c r="J26" s="49" t="s">
        <v>2642</v>
      </c>
      <c r="K26" s="79" t="s">
        <v>2930</v>
      </c>
      <c r="L26" s="79">
        <v>104.15199999999999</v>
      </c>
      <c r="M26" s="80" t="s">
        <v>2914</v>
      </c>
      <c r="N26" s="72">
        <f>M26*'Split Polyamides &amp; Isocyanates'!$C$37/L26</f>
        <v>0.92257469851755136</v>
      </c>
      <c r="O26" s="81" t="s">
        <v>2931</v>
      </c>
      <c r="P26" s="59" t="s">
        <v>3041</v>
      </c>
      <c r="Q26" s="58">
        <v>1</v>
      </c>
      <c r="R26" s="59"/>
      <c r="S26" s="60"/>
      <c r="T26" s="59"/>
      <c r="U26" s="63"/>
      <c r="V26" s="59" t="s">
        <v>3041</v>
      </c>
      <c r="W26" s="58">
        <v>1</v>
      </c>
      <c r="X26" s="59"/>
      <c r="Y26" s="60"/>
      <c r="Z26" s="59"/>
      <c r="AA26" s="60"/>
      <c r="AB26" s="59"/>
      <c r="AC26" s="60"/>
      <c r="AD26" s="59"/>
      <c r="AE26" s="60"/>
    </row>
    <row r="27" spans="1:31" x14ac:dyDescent="0.3">
      <c r="A27" s="64">
        <v>19</v>
      </c>
      <c r="B27" t="s">
        <v>72</v>
      </c>
      <c r="C27" s="64" t="s">
        <v>2824</v>
      </c>
      <c r="D27" t="s">
        <v>73</v>
      </c>
      <c r="E27" s="48" t="s">
        <v>2942</v>
      </c>
      <c r="F27" s="56">
        <f>INDEX(prodcom_data[PRODQNT + IMPQNT - EU27 - 2022], MATCH(B27, prodcom_data[product], 0))</f>
        <v>1202939382</v>
      </c>
      <c r="G27" s="54">
        <f t="shared" si="0"/>
        <v>1.2029393820000001</v>
      </c>
      <c r="H27" s="96">
        <f>INDEX(prodcom_data[Local production share of available quantity (PRODQNT + IMPQNT) - EU27 - 2022], MATCH(B27, prodcom_data[product], 0))</f>
        <v>0.7564803460728331</v>
      </c>
      <c r="I27" s="49" t="s">
        <v>2667</v>
      </c>
      <c r="J27" s="49" t="s">
        <v>2642</v>
      </c>
      <c r="K27" s="79" t="s">
        <v>2943</v>
      </c>
      <c r="L27" s="79">
        <v>98.96</v>
      </c>
      <c r="M27" s="80" t="s">
        <v>2897</v>
      </c>
      <c r="N27" s="72">
        <f>M27*'Split Polyamides &amp; Isocyanates'!$C$37/L27</f>
        <v>0.24274454324979791</v>
      </c>
      <c r="O27" s="81" t="s">
        <v>2944</v>
      </c>
      <c r="P27" s="59" t="s">
        <v>3035</v>
      </c>
      <c r="Q27" s="58">
        <v>0.86</v>
      </c>
      <c r="R27" s="59" t="s">
        <v>3042</v>
      </c>
      <c r="S27" s="61" cm="1">
        <f t="array" ref="S27">1-SUM(IF(ISNUMBER(P27:Q27), P27:Q27, 0))</f>
        <v>0.14000000000000001</v>
      </c>
      <c r="T27" s="59"/>
      <c r="U27" s="63"/>
      <c r="V27" s="59" t="s">
        <v>3035</v>
      </c>
      <c r="W27" s="58">
        <v>0.86</v>
      </c>
      <c r="X27" s="59" t="s">
        <v>3042</v>
      </c>
      <c r="Y27" s="61" cm="1">
        <f t="array" ref="Y27">1-SUM(IF(ISNUMBER(V27:W27), V27:W27, 0))</f>
        <v>0.14000000000000001</v>
      </c>
      <c r="Z27" s="59"/>
      <c r="AA27" s="60"/>
      <c r="AB27" s="59"/>
      <c r="AC27" s="60"/>
      <c r="AD27" s="59"/>
      <c r="AE27" s="60"/>
    </row>
    <row r="28" spans="1:31" x14ac:dyDescent="0.3">
      <c r="A28" s="64">
        <v>20</v>
      </c>
      <c r="B28" t="s">
        <v>43</v>
      </c>
      <c r="C28" s="64" t="s">
        <v>2825</v>
      </c>
      <c r="D28" t="s">
        <v>44</v>
      </c>
      <c r="E28" s="48" t="s">
        <v>44</v>
      </c>
      <c r="F28" s="56">
        <f>INDEX(prodcom_data[PRODQNT + IMPQNT - EU27 - 2022], MATCH(B28, prodcom_data[product], 0))</f>
        <v>1191905947</v>
      </c>
      <c r="G28" s="54">
        <f t="shared" si="0"/>
        <v>1.191905947</v>
      </c>
      <c r="H28" s="96">
        <f>INDEX(prodcom_data[Local production share of available quantity (PRODQNT + IMPQNT) - EU27 - 2022], MATCH(B28, prodcom_data[product], 0))</f>
        <v>0.46597635861951109</v>
      </c>
      <c r="I28" s="49" t="s">
        <v>2668</v>
      </c>
      <c r="J28" s="49" t="s">
        <v>2642</v>
      </c>
      <c r="K28" s="79" t="s">
        <v>2979</v>
      </c>
      <c r="L28" s="79">
        <v>106.16</v>
      </c>
      <c r="M28" s="80" t="s">
        <v>2914</v>
      </c>
      <c r="N28" s="72">
        <f>M28*'Split Polyamides &amp; Isocyanates'!$C$37/L28</f>
        <v>0.90512434061793512</v>
      </c>
      <c r="O28" s="81" t="s">
        <v>2980</v>
      </c>
      <c r="P28" s="59" t="s">
        <v>3035</v>
      </c>
      <c r="Q28" s="58">
        <v>0.48</v>
      </c>
      <c r="R28" s="59" t="s">
        <v>3042</v>
      </c>
      <c r="S28" s="61" cm="1">
        <f t="array" ref="S28">1-SUM(IF(ISNUMBER(P28:Q28), P28:Q28, 0))</f>
        <v>0.52</v>
      </c>
      <c r="T28" s="59"/>
      <c r="U28" s="63"/>
      <c r="V28" s="59" t="s">
        <v>3035</v>
      </c>
      <c r="W28" s="58">
        <v>0.48</v>
      </c>
      <c r="X28" s="59" t="s">
        <v>3042</v>
      </c>
      <c r="Y28" s="61" cm="1">
        <f t="array" ref="Y28">1-SUM(IF(ISNUMBER(V28:W28), V28:W28, 0))</f>
        <v>0.52</v>
      </c>
      <c r="Z28" s="59"/>
      <c r="AA28" s="60"/>
      <c r="AB28" s="59"/>
      <c r="AC28" s="60"/>
      <c r="AD28" s="59"/>
      <c r="AE28" s="60"/>
    </row>
    <row r="29" spans="1:31" x14ac:dyDescent="0.3">
      <c r="A29" s="64">
        <v>21</v>
      </c>
      <c r="B29" t="s">
        <v>37</v>
      </c>
      <c r="C29" s="64" t="s">
        <v>2826</v>
      </c>
      <c r="D29" t="s">
        <v>38</v>
      </c>
      <c r="E29" s="48" t="s">
        <v>38</v>
      </c>
      <c r="F29" s="56">
        <f>INDEX(prodcom_data[PRODQNT + IMPQNT - EU27 - 2022], MATCH(B29, prodcom_data[product], 0))</f>
        <v>1120381615</v>
      </c>
      <c r="G29" s="54">
        <f t="shared" si="0"/>
        <v>1.1203816150000001</v>
      </c>
      <c r="H29" s="96">
        <f>INDEX(prodcom_data[Local production share of available quantity (PRODQNT + IMPQNT) - EU27 - 2022], MATCH(B29, prodcom_data[product], 0))</f>
        <v>0.97878773028598831</v>
      </c>
      <c r="I29" s="49" t="s">
        <v>2669</v>
      </c>
      <c r="J29" s="49" t="s">
        <v>2642</v>
      </c>
      <c r="K29" s="79" t="s">
        <v>2945</v>
      </c>
      <c r="L29" s="79">
        <v>92.14</v>
      </c>
      <c r="M29" s="80" t="s">
        <v>2946</v>
      </c>
      <c r="N29" s="72">
        <f>M29*'Split Polyamides &amp; Isocyanates'!$C$37/L29</f>
        <v>0.91249186021271977</v>
      </c>
      <c r="O29" s="81" t="s">
        <v>2947</v>
      </c>
      <c r="P29" s="59" t="s">
        <v>3035</v>
      </c>
      <c r="Q29" s="58">
        <v>1</v>
      </c>
      <c r="R29" s="59"/>
      <c r="S29" s="60"/>
      <c r="T29" s="59"/>
      <c r="U29" s="63"/>
      <c r="V29" s="59" t="s">
        <v>3035</v>
      </c>
      <c r="W29" s="58">
        <v>1</v>
      </c>
      <c r="X29" s="59"/>
      <c r="Y29" s="60"/>
      <c r="Z29" s="59"/>
      <c r="AA29" s="60"/>
      <c r="AB29" s="59"/>
      <c r="AC29" s="60"/>
      <c r="AD29" s="59"/>
      <c r="AE29" s="60"/>
    </row>
    <row r="30" spans="1:31" x14ac:dyDescent="0.3">
      <c r="A30" s="64">
        <v>22</v>
      </c>
      <c r="B30" t="s">
        <v>420</v>
      </c>
      <c r="C30" s="64" t="s">
        <v>2827</v>
      </c>
      <c r="D30" t="s">
        <v>421</v>
      </c>
      <c r="E30" s="48" t="s">
        <v>421</v>
      </c>
      <c r="F30" s="56">
        <f>INDEX(prodcom_data[PRODQNT + IMPQNT - EU27 - 2022], MATCH(B30, prodcom_data[product], 0))</f>
        <v>1090852807</v>
      </c>
      <c r="G30" s="54">
        <f t="shared" si="0"/>
        <v>1.0908528070000001</v>
      </c>
      <c r="H30" s="96">
        <f>INDEX(prodcom_data[Local production share of available quantity (PRODQNT + IMPQNT) - EU27 - 2022], MATCH(B30, prodcom_data[product], 0))</f>
        <v>0.92846915963429333</v>
      </c>
      <c r="I30" s="49" t="s">
        <v>2670</v>
      </c>
      <c r="J30" s="49" t="s">
        <v>2642</v>
      </c>
      <c r="K30" s="79" t="s">
        <v>2933</v>
      </c>
      <c r="L30" s="79">
        <v>58.08</v>
      </c>
      <c r="M30" s="80" t="s">
        <v>2891</v>
      </c>
      <c r="N30" s="72">
        <f>M30*'Split Polyamides &amp; Isocyanates'!$C$37/L30</f>
        <v>0.62040289256198355</v>
      </c>
      <c r="O30" s="81" t="s">
        <v>2941</v>
      </c>
      <c r="P30" s="59" t="s">
        <v>3035</v>
      </c>
      <c r="Q30" s="58">
        <v>0.93</v>
      </c>
      <c r="R30" s="59" t="s">
        <v>3042</v>
      </c>
      <c r="S30" s="61" cm="1">
        <f t="array" ref="S30">1-SUM(IF(ISNUMBER(P30:Q30), P30:Q30, 0))</f>
        <v>6.9999999999999951E-2</v>
      </c>
      <c r="T30" s="59"/>
      <c r="U30" s="63"/>
      <c r="V30" s="59" t="s">
        <v>3035</v>
      </c>
      <c r="W30" s="58">
        <v>0.93</v>
      </c>
      <c r="X30" s="59" t="s">
        <v>3042</v>
      </c>
      <c r="Y30" s="61" cm="1">
        <f t="array" ref="Y30">1-SUM(IF(ISNUMBER(V30:W30), V30:W30, 0))</f>
        <v>6.9999999999999951E-2</v>
      </c>
      <c r="Z30" s="59"/>
      <c r="AA30" s="60"/>
      <c r="AB30" s="59"/>
      <c r="AC30" s="60"/>
      <c r="AD30" s="59"/>
      <c r="AE30" s="60"/>
    </row>
    <row r="31" spans="1:31" x14ac:dyDescent="0.3">
      <c r="A31" s="64">
        <v>23</v>
      </c>
      <c r="B31" t="s">
        <v>387</v>
      </c>
      <c r="C31" s="64" t="s">
        <v>2829</v>
      </c>
      <c r="D31" t="s">
        <v>388</v>
      </c>
      <c r="E31" s="48" t="s">
        <v>2951</v>
      </c>
      <c r="F31" s="56">
        <f>INDEX(prodcom_data[PRODQNT + IMPQNT - EU27 - 2022], MATCH(B31, prodcom_data[product], 0))</f>
        <v>931200527</v>
      </c>
      <c r="G31" s="54">
        <f t="shared" si="0"/>
        <v>0.931200527</v>
      </c>
      <c r="H31" s="96">
        <f>INDEX(prodcom_data[Local production share of available quantity (PRODQNT + IMPQNT) - EU27 - 2022], MATCH(B31, prodcom_data[product], 0))</f>
        <v>0.97723312392412343</v>
      </c>
      <c r="I31" s="49" t="s">
        <v>2672</v>
      </c>
      <c r="J31" s="49" t="s">
        <v>2642</v>
      </c>
      <c r="K31" s="79" t="s">
        <v>2952</v>
      </c>
      <c r="L31" s="79">
        <v>30.026</v>
      </c>
      <c r="M31" s="80" t="s">
        <v>2904</v>
      </c>
      <c r="N31" s="72">
        <f>M31*'Split Polyamides &amp; Isocyanates'!$C$37/L31</f>
        <v>0.40001998268167588</v>
      </c>
      <c r="O31" s="81" t="s">
        <v>2953</v>
      </c>
      <c r="P31" s="59" t="s">
        <v>3035</v>
      </c>
      <c r="Q31" s="58">
        <v>0.99</v>
      </c>
      <c r="R31" s="59" t="s">
        <v>3042</v>
      </c>
      <c r="S31" s="61" cm="1">
        <f t="array" ref="S31">1-SUM(IF(ISNUMBER(P31:Q31), P31:Q31, 0))</f>
        <v>1.0000000000000009E-2</v>
      </c>
      <c r="T31" s="59"/>
      <c r="U31" s="63"/>
      <c r="V31" s="59" t="s">
        <v>3035</v>
      </c>
      <c r="W31" s="58">
        <v>0.99</v>
      </c>
      <c r="X31" s="59" t="s">
        <v>3042</v>
      </c>
      <c r="Y31" s="61" cm="1">
        <f t="array" ref="Y31">1-SUM(IF(ISNUMBER(V31:W31), V31:W31, 0))</f>
        <v>1.0000000000000009E-2</v>
      </c>
      <c r="Z31" s="59"/>
      <c r="AA31" s="60"/>
      <c r="AB31" s="59"/>
      <c r="AC31" s="60"/>
      <c r="AD31" s="59"/>
      <c r="AE31" s="60"/>
    </row>
    <row r="32" spans="1:31" x14ac:dyDescent="0.3">
      <c r="A32" s="64">
        <v>24</v>
      </c>
      <c r="B32" t="s">
        <v>620</v>
      </c>
      <c r="C32" s="64" t="s">
        <v>2830</v>
      </c>
      <c r="D32" t="s">
        <v>621</v>
      </c>
      <c r="E32" s="48" t="s">
        <v>2938</v>
      </c>
      <c r="F32" s="56">
        <f>INDEX(prodcom_data[PRODQNT + IMPQNT - EU27 - 2022], MATCH(B32, prodcom_data[product], 0))</f>
        <v>914892768</v>
      </c>
      <c r="G32" s="54">
        <f t="shared" si="0"/>
        <v>0.91489276799999997</v>
      </c>
      <c r="H32" s="96">
        <f>INDEX(prodcom_data[Local production share of available quantity (PRODQNT + IMPQNT) - EU27 - 2022], MATCH(B32, prodcom_data[product], 0))</f>
        <v>0.98372184312642852</v>
      </c>
      <c r="I32" s="49" t="s">
        <v>2673</v>
      </c>
      <c r="J32" s="49" t="s">
        <v>2642</v>
      </c>
      <c r="K32" s="79" t="s">
        <v>2939</v>
      </c>
      <c r="L32" s="79">
        <v>86.09</v>
      </c>
      <c r="M32" s="80" t="s">
        <v>2924</v>
      </c>
      <c r="N32" s="72">
        <f>M32*'Split Polyamides &amp; Isocyanates'!$C$37/L32</f>
        <v>0.55806713904053895</v>
      </c>
      <c r="O32" s="81" t="s">
        <v>2940</v>
      </c>
      <c r="P32" s="59" t="s">
        <v>3035</v>
      </c>
      <c r="Q32" s="58">
        <v>0.99</v>
      </c>
      <c r="R32" s="59" t="s">
        <v>3042</v>
      </c>
      <c r="S32" s="61" cm="1">
        <f t="array" ref="S32">1-SUM(IF(ISNUMBER(P32:Q32), P32:Q32, 0))</f>
        <v>1.0000000000000009E-2</v>
      </c>
      <c r="T32" s="59"/>
      <c r="U32" s="63"/>
      <c r="V32" s="59" t="s">
        <v>3035</v>
      </c>
      <c r="W32" s="58">
        <v>0.99</v>
      </c>
      <c r="X32" s="59" t="s">
        <v>3042</v>
      </c>
      <c r="Y32" s="61" cm="1">
        <f t="array" ref="Y32">1-SUM(IF(ISNUMBER(V32:W32), V32:W32, 0))</f>
        <v>1.0000000000000009E-2</v>
      </c>
      <c r="Z32" s="59"/>
      <c r="AA32" s="60"/>
      <c r="AB32" s="59"/>
      <c r="AC32" s="60"/>
      <c r="AD32" s="59"/>
      <c r="AE32" s="60"/>
    </row>
    <row r="33" spans="1:31" x14ac:dyDescent="0.3">
      <c r="A33" s="64">
        <v>25</v>
      </c>
      <c r="B33" t="s">
        <v>205</v>
      </c>
      <c r="C33" s="64" t="s">
        <v>2831</v>
      </c>
      <c r="D33" t="s">
        <v>206</v>
      </c>
      <c r="E33" s="48" t="s">
        <v>206</v>
      </c>
      <c r="F33" s="56">
        <f>INDEX(prodcom_data[PRODQNT + IMPQNT - EU27 - 2022], MATCH(B33, prodcom_data[product], 0))</f>
        <v>888564975</v>
      </c>
      <c r="G33" s="54">
        <f t="shared" si="0"/>
        <v>0.88856497499999998</v>
      </c>
      <c r="H33" s="96">
        <f>INDEX(prodcom_data[Local production share of available quantity (PRODQNT + IMPQNT) - EU27 - 2022], MATCH(B33, prodcom_data[product], 0))</f>
        <v>0.16881151544376369</v>
      </c>
      <c r="I33" s="49" t="s">
        <v>2674</v>
      </c>
      <c r="J33" s="49" t="s">
        <v>2642</v>
      </c>
      <c r="K33" s="79" t="s">
        <v>2954</v>
      </c>
      <c r="L33" s="79">
        <v>60.05</v>
      </c>
      <c r="M33" s="80" t="s">
        <v>2897</v>
      </c>
      <c r="N33" s="72">
        <f>M33*'Split Polyamides &amp; Isocyanates'!$C$37/L33</f>
        <v>0.40003330557868444</v>
      </c>
      <c r="O33" s="81" t="s">
        <v>2955</v>
      </c>
      <c r="P33" s="59" t="s">
        <v>3041</v>
      </c>
      <c r="Q33" s="58">
        <v>1</v>
      </c>
      <c r="R33" s="59"/>
      <c r="S33" s="60"/>
      <c r="T33" s="59"/>
      <c r="U33" s="63"/>
      <c r="V33" s="59" t="s">
        <v>3041</v>
      </c>
      <c r="W33" s="58">
        <v>1</v>
      </c>
      <c r="X33" s="59"/>
      <c r="Y33" s="60"/>
      <c r="Z33" s="59"/>
      <c r="AA33" s="60"/>
      <c r="AB33" s="59"/>
      <c r="AC33" s="60"/>
      <c r="AD33" s="59"/>
      <c r="AE33" s="60"/>
    </row>
    <row r="34" spans="1:31" x14ac:dyDescent="0.3">
      <c r="A34" s="64">
        <v>26</v>
      </c>
      <c r="B34" t="s">
        <v>473</v>
      </c>
      <c r="C34" s="64" t="s">
        <v>2832</v>
      </c>
      <c r="D34" t="s">
        <v>474</v>
      </c>
      <c r="E34" s="48" t="s">
        <v>2961</v>
      </c>
      <c r="F34" s="56">
        <f>INDEX(prodcom_data[PRODQNT + IMPQNT - EU27 - 2022], MATCH(B34, prodcom_data[product], 0))</f>
        <v>886759378</v>
      </c>
      <c r="G34" s="54">
        <f t="shared" si="0"/>
        <v>0.88675937800000004</v>
      </c>
      <c r="H34" s="96">
        <f>INDEX(prodcom_data[Local production share of available quantity (PRODQNT + IMPQNT) - EU27 - 2022], MATCH(B34, prodcom_data[product], 0))</f>
        <v>0.9949802605865421</v>
      </c>
      <c r="I34" s="49" t="s">
        <v>2675</v>
      </c>
      <c r="J34" s="49" t="s">
        <v>2642</v>
      </c>
      <c r="K34" s="79" t="s">
        <v>2962</v>
      </c>
      <c r="L34" s="79">
        <v>44.05</v>
      </c>
      <c r="M34" s="80" t="s">
        <v>2897</v>
      </c>
      <c r="N34" s="72">
        <f>M34*'Split Polyamides &amp; Isocyanates'!$C$37/L34</f>
        <v>0.54533484676503974</v>
      </c>
      <c r="O34" s="81" t="s">
        <v>2963</v>
      </c>
      <c r="P34" s="59" t="s">
        <v>3035</v>
      </c>
      <c r="Q34" s="58">
        <v>1</v>
      </c>
      <c r="R34" s="59"/>
      <c r="S34" s="60"/>
      <c r="T34" s="59"/>
      <c r="U34" s="63"/>
      <c r="V34" s="59" t="s">
        <v>3043</v>
      </c>
      <c r="W34" s="58">
        <v>1</v>
      </c>
      <c r="X34" s="59"/>
      <c r="Y34" s="60"/>
      <c r="Z34" s="59"/>
      <c r="AA34" s="60"/>
      <c r="AB34" s="59"/>
      <c r="AC34" s="60"/>
      <c r="AD34" s="59"/>
      <c r="AE34" s="60"/>
    </row>
    <row r="35" spans="1:31" x14ac:dyDescent="0.3">
      <c r="A35" s="64">
        <v>27</v>
      </c>
      <c r="B35" t="s">
        <v>78</v>
      </c>
      <c r="C35" s="64" t="s">
        <v>2833</v>
      </c>
      <c r="D35" t="s">
        <v>79</v>
      </c>
      <c r="E35" s="48" t="s">
        <v>2960</v>
      </c>
      <c r="F35" s="56">
        <f>INDEX(prodcom_data[PRODQNT + IMPQNT - EU27 - 2022], MATCH(B35, prodcom_data[product], 0))</f>
        <v>882272543</v>
      </c>
      <c r="G35" s="54">
        <f t="shared" si="0"/>
        <v>0.88227254300000002</v>
      </c>
      <c r="H35" s="96">
        <f>INDEX(prodcom_data[Local production share of available quantity (PRODQNT + IMPQNT) - EU27 - 2022], MATCH(B35, prodcom_data[product], 0))</f>
        <v>0.90674928778782138</v>
      </c>
      <c r="I35" s="49" t="s">
        <v>2676</v>
      </c>
      <c r="J35" s="49" t="s">
        <v>2642</v>
      </c>
      <c r="K35" s="79" t="s">
        <v>2910</v>
      </c>
      <c r="L35" s="79">
        <v>62.5</v>
      </c>
      <c r="M35" s="80" t="s">
        <v>2897</v>
      </c>
      <c r="N35" s="72">
        <f>M35*'Split Polyamides &amp; Isocyanates'!$C$37/L35</f>
        <v>0.38435199999999997</v>
      </c>
      <c r="O35" s="81" t="s">
        <v>2911</v>
      </c>
      <c r="P35" s="59" t="s">
        <v>3035</v>
      </c>
      <c r="Q35" s="58">
        <v>0.98</v>
      </c>
      <c r="R35" s="59" t="s">
        <v>3042</v>
      </c>
      <c r="S35" s="61" cm="1">
        <f t="array" ref="S35">1-SUM(IF(ISNUMBER(P35:Q35), P35:Q35, 0))</f>
        <v>2.0000000000000018E-2</v>
      </c>
      <c r="T35" s="59"/>
      <c r="U35" s="63"/>
      <c r="V35" s="59" t="s">
        <v>3035</v>
      </c>
      <c r="W35" s="58">
        <v>0.98</v>
      </c>
      <c r="X35" s="59" t="s">
        <v>3094</v>
      </c>
      <c r="Y35" s="60">
        <v>0.01</v>
      </c>
      <c r="Z35" s="59" t="s">
        <v>3042</v>
      </c>
      <c r="AA35" s="61" cm="1">
        <f t="array" ref="AA35">1-SUM(IF(ISNUMBER(V35:Y35), V35:Y35, 0))</f>
        <v>1.0000000000000009E-2</v>
      </c>
      <c r="AB35" s="59"/>
      <c r="AC35" s="60"/>
      <c r="AD35" s="59"/>
      <c r="AE35" s="60"/>
    </row>
    <row r="36" spans="1:31" x14ac:dyDescent="0.3">
      <c r="A36" s="64">
        <v>28</v>
      </c>
      <c r="B36" t="s">
        <v>293</v>
      </c>
      <c r="C36" s="64" t="s">
        <v>2834</v>
      </c>
      <c r="D36" t="s">
        <v>294</v>
      </c>
      <c r="E36" s="48" t="s">
        <v>2948</v>
      </c>
      <c r="F36" s="56">
        <f>INDEX(prodcom_data[PRODQNT + IMPQNT - EU27 - 2022], MATCH(B36, prodcom_data[product], 0))</f>
        <v>881884158</v>
      </c>
      <c r="G36" s="54">
        <f t="shared" si="0"/>
        <v>0.88188415799999997</v>
      </c>
      <c r="H36" s="96">
        <f>INDEX(prodcom_data[Local production share of available quantity (PRODQNT + IMPQNT) - EU27 - 2022], MATCH(B36, prodcom_data[product], 0))</f>
        <v>0.54958148029233567</v>
      </c>
      <c r="I36" s="49" t="s">
        <v>2677</v>
      </c>
      <c r="J36" s="49" t="s">
        <v>2642</v>
      </c>
      <c r="K36" s="79" t="s">
        <v>2949</v>
      </c>
      <c r="L36" s="79">
        <v>93.13</v>
      </c>
      <c r="M36" s="80" t="s">
        <v>2907</v>
      </c>
      <c r="N36" s="72">
        <f>M36*'Split Polyamides &amp; Isocyanates'!$C$37/L36</f>
        <v>0.77382153978309898</v>
      </c>
      <c r="O36" s="81" t="s">
        <v>2950</v>
      </c>
      <c r="P36" s="59" t="s">
        <v>3035</v>
      </c>
      <c r="Q36" s="58">
        <v>0.8</v>
      </c>
      <c r="R36" s="59" t="s">
        <v>3042</v>
      </c>
      <c r="S36" s="61" cm="1">
        <f t="array" ref="S36">1-SUM(IF(ISNUMBER(P36:Q36), P36:Q36, 0))</f>
        <v>0.19999999999999996</v>
      </c>
      <c r="T36" s="59"/>
      <c r="U36" s="63"/>
      <c r="V36" s="59" t="s">
        <v>3035</v>
      </c>
      <c r="W36" s="58">
        <v>0.8</v>
      </c>
      <c r="X36" s="59" t="s">
        <v>3042</v>
      </c>
      <c r="Y36" s="61" cm="1">
        <f t="array" ref="Y36">1-SUM(IF(ISNUMBER(V36:W36), V36:W36, 0))</f>
        <v>0.19999999999999996</v>
      </c>
      <c r="Z36" s="59"/>
      <c r="AA36" s="60"/>
      <c r="AB36" s="59"/>
      <c r="AC36" s="60"/>
      <c r="AD36" s="59"/>
      <c r="AE36" s="60"/>
    </row>
    <row r="37" spans="1:31" x14ac:dyDescent="0.3">
      <c r="A37" s="64">
        <v>29</v>
      </c>
      <c r="B37" t="s">
        <v>602</v>
      </c>
      <c r="C37" s="64" t="s">
        <v>2835</v>
      </c>
      <c r="D37" t="s">
        <v>603</v>
      </c>
      <c r="E37" s="48" t="s">
        <v>2916</v>
      </c>
      <c r="F37" s="56">
        <f>INDEX(prodcom_data[PRODQNT + IMPQNT - EU27 - 2022], MATCH(B37, prodcom_data[product], 0))</f>
        <v>872335906</v>
      </c>
      <c r="G37" s="54">
        <f t="shared" si="0"/>
        <v>0.87233590599999999</v>
      </c>
      <c r="H37" s="96">
        <f>INDEX(prodcom_data[Local production share of available quantity (PRODQNT + IMPQNT) - EU27 - 2022], MATCH(B37, prodcom_data[product], 0))</f>
        <v>0.50439285712492499</v>
      </c>
      <c r="I37" s="49" t="s">
        <v>2657</v>
      </c>
      <c r="J37" s="49" t="s">
        <v>2642</v>
      </c>
      <c r="K37" s="79" t="s">
        <v>2917</v>
      </c>
      <c r="L37" s="79">
        <v>222.24</v>
      </c>
      <c r="M37" s="80" t="s">
        <v>2918</v>
      </c>
      <c r="N37" s="72">
        <f>M37*'Split Polyamides &amp; Isocyanates'!$C$37/L37</f>
        <v>0.64854211663066952</v>
      </c>
      <c r="O37" s="81" t="s">
        <v>2919</v>
      </c>
      <c r="P37" s="59" t="s">
        <v>3041</v>
      </c>
      <c r="Q37" s="58">
        <v>1</v>
      </c>
      <c r="R37" s="59"/>
      <c r="S37" s="60"/>
      <c r="T37" s="59"/>
      <c r="U37" s="63"/>
      <c r="V37" s="59" t="s">
        <v>3041</v>
      </c>
      <c r="W37" s="58">
        <v>1</v>
      </c>
      <c r="X37" s="59"/>
      <c r="Y37" s="60"/>
      <c r="Z37" s="59"/>
      <c r="AA37" s="60"/>
      <c r="AB37" s="59"/>
      <c r="AC37" s="60"/>
      <c r="AD37" s="59"/>
      <c r="AE37" s="60"/>
    </row>
    <row r="38" spans="1:31" x14ac:dyDescent="0.3">
      <c r="A38" s="64">
        <v>30</v>
      </c>
      <c r="B38" t="s">
        <v>135</v>
      </c>
      <c r="C38" s="64" t="s">
        <v>2836</v>
      </c>
      <c r="D38" t="s">
        <v>136</v>
      </c>
      <c r="E38" s="48" t="s">
        <v>2982</v>
      </c>
      <c r="F38" s="56">
        <f>INDEX(prodcom_data[PRODQNT + IMPQNT - EU27 - 2022], MATCH(B38, prodcom_data[product], 0))</f>
        <v>848026699</v>
      </c>
      <c r="G38" s="54">
        <f t="shared" si="0"/>
        <v>0.84802669900000005</v>
      </c>
      <c r="H38" s="96">
        <f>INDEX(prodcom_data[Local production share of available quantity (PRODQNT + IMPQNT) - EU27 - 2022], MATCH(B38, prodcom_data[product], 0))</f>
        <v>0.94336652483154892</v>
      </c>
      <c r="I38" s="49" t="s">
        <v>2678</v>
      </c>
      <c r="J38" s="49" t="s">
        <v>2642</v>
      </c>
      <c r="K38" s="79" t="s">
        <v>2983</v>
      </c>
      <c r="L38" s="79">
        <v>76.09</v>
      </c>
      <c r="M38" s="80" t="s">
        <v>2891</v>
      </c>
      <c r="N38" s="72">
        <f>M38*'Split Polyamides &amp; Isocyanates'!$C$37/L38</f>
        <v>0.47355762912340649</v>
      </c>
      <c r="O38" s="81" t="s">
        <v>2984</v>
      </c>
      <c r="P38" s="59" t="s">
        <v>3035</v>
      </c>
      <c r="Q38" s="58">
        <v>0.95</v>
      </c>
      <c r="R38" s="59" t="s">
        <v>3042</v>
      </c>
      <c r="S38" s="61" cm="1">
        <f t="array" ref="S38">1-SUM(IF(ISNUMBER(P38:Q38), P38:Q38, 0))</f>
        <v>5.0000000000000044E-2</v>
      </c>
      <c r="T38" s="59"/>
      <c r="U38" s="63"/>
      <c r="V38" s="59" t="s">
        <v>3035</v>
      </c>
      <c r="W38" s="58">
        <v>0.95</v>
      </c>
      <c r="X38" s="59" t="s">
        <v>3042</v>
      </c>
      <c r="Y38" s="61" cm="1">
        <f t="array" ref="Y38">1-SUM(IF(ISNUMBER(V38:W38), V38:W38, 0))</f>
        <v>5.0000000000000044E-2</v>
      </c>
      <c r="Z38" s="59"/>
      <c r="AA38" s="60"/>
      <c r="AB38" s="59"/>
      <c r="AC38" s="60"/>
      <c r="AD38" s="59"/>
      <c r="AE38" s="60"/>
    </row>
    <row r="39" spans="1:31" x14ac:dyDescent="0.3">
      <c r="A39" s="64">
        <v>31</v>
      </c>
      <c r="B39" t="s">
        <v>557</v>
      </c>
      <c r="C39" s="64" t="s">
        <v>2837</v>
      </c>
      <c r="D39" t="s">
        <v>558</v>
      </c>
      <c r="E39" s="48" t="s">
        <v>2956</v>
      </c>
      <c r="F39" s="56">
        <f>INDEX(prodcom_data[PRODQNT + IMPQNT - EU27 - 2022], MATCH(B39, prodcom_data[product], 0))</f>
        <v>846217183</v>
      </c>
      <c r="G39" s="54">
        <f t="shared" si="0"/>
        <v>0.84621718300000004</v>
      </c>
      <c r="H39" s="96">
        <f>INDEX(prodcom_data[Local production share of available quantity (PRODQNT + IMPQNT) - EU27 - 2022], MATCH(B39, prodcom_data[product], 0))</f>
        <v>0.71535186139088358</v>
      </c>
      <c r="I39" s="49" t="s">
        <v>2679</v>
      </c>
      <c r="J39" s="49" t="s">
        <v>2642</v>
      </c>
      <c r="K39" s="79" t="s">
        <v>2957</v>
      </c>
      <c r="L39" s="79">
        <v>211.3</v>
      </c>
      <c r="M39" s="80" t="s">
        <v>2958</v>
      </c>
      <c r="N39" s="72">
        <f>M39*'Split Polyamides &amp; Isocyanates'!$C$37/L39</f>
        <v>0.85265026029342161</v>
      </c>
      <c r="O39" s="81" t="s">
        <v>2959</v>
      </c>
      <c r="P39" s="59" t="s">
        <v>3041</v>
      </c>
      <c r="Q39" s="58">
        <v>1</v>
      </c>
      <c r="R39" s="59"/>
      <c r="S39" s="60"/>
      <c r="T39" s="59"/>
      <c r="U39" s="63"/>
      <c r="V39" s="59" t="s">
        <v>3041</v>
      </c>
      <c r="W39" s="58">
        <v>1</v>
      </c>
      <c r="X39" s="59"/>
      <c r="Y39" s="60"/>
      <c r="Z39" s="59"/>
      <c r="AA39" s="60"/>
      <c r="AB39" s="59"/>
      <c r="AC39" s="60"/>
      <c r="AD39" s="59"/>
      <c r="AE39" s="60"/>
    </row>
    <row r="40" spans="1:31" x14ac:dyDescent="0.3">
      <c r="A40" s="64">
        <v>32</v>
      </c>
      <c r="B40" t="s">
        <v>46</v>
      </c>
      <c r="C40" s="64" t="s">
        <v>2838</v>
      </c>
      <c r="D40" t="s">
        <v>47</v>
      </c>
      <c r="E40" s="48" t="s">
        <v>2991</v>
      </c>
      <c r="F40" s="56">
        <f>INDEX(prodcom_data[PRODQNT + IMPQNT - EU27 - 2022], MATCH(B40, prodcom_data[product], 0))</f>
        <v>821433537</v>
      </c>
      <c r="G40" s="54">
        <f t="shared" si="0"/>
        <v>0.82143353699999999</v>
      </c>
      <c r="H40" s="96">
        <f>INDEX(prodcom_data[Local production share of available quantity (PRODQNT + IMPQNT) - EU27 - 2022], MATCH(B40, prodcom_data[product], 0))</f>
        <v>0.97390715616715806</v>
      </c>
      <c r="I40" s="49" t="s">
        <v>2680</v>
      </c>
      <c r="J40" s="49" t="s">
        <v>2642</v>
      </c>
      <c r="K40" s="79" t="s">
        <v>2979</v>
      </c>
      <c r="L40" s="79">
        <v>106.16</v>
      </c>
      <c r="M40" s="80" t="s">
        <v>2914</v>
      </c>
      <c r="N40" s="72">
        <f>M40*'Split Polyamides &amp; Isocyanates'!$C$37/L40</f>
        <v>0.90512434061793512</v>
      </c>
      <c r="O40" s="81" t="s">
        <v>2992</v>
      </c>
      <c r="P40" s="59" t="s">
        <v>3035</v>
      </c>
      <c r="Q40" s="58">
        <v>0.97</v>
      </c>
      <c r="R40" s="59" t="s">
        <v>3042</v>
      </c>
      <c r="S40" s="61" cm="1">
        <f t="array" ref="S40">1-SUM(IF(ISNUMBER(P40:Q40), P40:Q40, 0))</f>
        <v>3.0000000000000027E-2</v>
      </c>
      <c r="T40" s="59"/>
      <c r="U40" s="63"/>
      <c r="V40" s="59" t="s">
        <v>3035</v>
      </c>
      <c r="W40" s="58">
        <v>0.97</v>
      </c>
      <c r="X40" s="59" t="s">
        <v>3042</v>
      </c>
      <c r="Y40" s="61" cm="1">
        <f t="array" ref="Y40">1-SUM(IF(ISNUMBER(V40:W40), V40:W40, 0))</f>
        <v>3.0000000000000027E-2</v>
      </c>
      <c r="Z40" s="59"/>
      <c r="AA40" s="60"/>
      <c r="AB40" s="59"/>
      <c r="AC40" s="60"/>
      <c r="AD40" s="59"/>
      <c r="AE40" s="60"/>
    </row>
    <row r="41" spans="1:31" x14ac:dyDescent="0.3">
      <c r="A41" s="64">
        <v>33</v>
      </c>
      <c r="B41" t="s">
        <v>569</v>
      </c>
      <c r="C41" s="64" t="s">
        <v>2839</v>
      </c>
      <c r="D41" t="s">
        <v>570</v>
      </c>
      <c r="E41" s="48" t="s">
        <v>2909</v>
      </c>
      <c r="F41" s="56">
        <f>INDEX(prodcom_data[PRODQNT + IMPQNT - EU27 - 2022], MATCH(B41, prodcom_data[product], 0))</f>
        <v>790721030</v>
      </c>
      <c r="G41" s="54">
        <f t="shared" si="0"/>
        <v>0.79072103000000005</v>
      </c>
      <c r="H41" s="96">
        <f>INDEX(prodcom_data[Local production share of available quantity (PRODQNT + IMPQNT) - EU27 - 2022], MATCH(B41, prodcom_data[product], 0))</f>
        <v>0.93548794446506622</v>
      </c>
      <c r="I41" s="49" t="s">
        <v>2681</v>
      </c>
      <c r="J41" s="49" t="s">
        <v>2642</v>
      </c>
      <c r="K41" s="79" t="s">
        <v>2910</v>
      </c>
      <c r="L41" s="79">
        <v>62.5</v>
      </c>
      <c r="M41" s="80" t="s">
        <v>2897</v>
      </c>
      <c r="N41" s="72">
        <f>M41*'Split Polyamides &amp; Isocyanates'!$C$37/L41</f>
        <v>0.38435199999999997</v>
      </c>
      <c r="O41" s="81" t="s">
        <v>2911</v>
      </c>
      <c r="P41" s="59" t="s">
        <v>3035</v>
      </c>
      <c r="Q41" s="58">
        <v>0.98</v>
      </c>
      <c r="R41" s="59" t="s">
        <v>3042</v>
      </c>
      <c r="S41" s="61" cm="1">
        <f t="array" ref="S41">1-SUM(IF(ISNUMBER(P41:Q41), P41:Q41, 0))</f>
        <v>2.0000000000000018E-2</v>
      </c>
      <c r="T41" s="59"/>
      <c r="U41" s="63"/>
      <c r="V41" s="59" t="s">
        <v>3035</v>
      </c>
      <c r="W41" s="58">
        <v>0.98</v>
      </c>
      <c r="X41" s="59" t="s">
        <v>3042</v>
      </c>
      <c r="Y41" s="61" cm="1">
        <f t="array" ref="Y41">1-SUM(IF(ISNUMBER(V41:W41), V41:W41, 0))</f>
        <v>2.0000000000000018E-2</v>
      </c>
      <c r="Z41" s="59"/>
      <c r="AA41" s="60"/>
      <c r="AB41" s="59"/>
      <c r="AC41" s="60"/>
      <c r="AD41" s="59"/>
      <c r="AE41" s="60"/>
    </row>
    <row r="42" spans="1:31" x14ac:dyDescent="0.3">
      <c r="A42" s="64">
        <v>34</v>
      </c>
      <c r="B42" t="s">
        <v>55</v>
      </c>
      <c r="C42" s="64" t="s">
        <v>2840</v>
      </c>
      <c r="D42" t="s">
        <v>56</v>
      </c>
      <c r="E42" s="48" t="s">
        <v>56</v>
      </c>
      <c r="F42" s="56">
        <f>INDEX(prodcom_data[PRODQNT + IMPQNT - EU27 - 2022], MATCH(B42, prodcom_data[product], 0))</f>
        <v>778495527</v>
      </c>
      <c r="G42" s="54">
        <f t="shared" si="0"/>
        <v>0.77849552700000002</v>
      </c>
      <c r="H42" s="96">
        <f>INDEX(prodcom_data[Local production share of available quantity (PRODQNT + IMPQNT) - EU27 - 2022], MATCH(B42, prodcom_data[product], 0))</f>
        <v>0.9345821199560983</v>
      </c>
      <c r="I42" s="49" t="s">
        <v>2682</v>
      </c>
      <c r="J42" s="49" t="s">
        <v>2642</v>
      </c>
      <c r="K42" s="79" t="s">
        <v>2972</v>
      </c>
      <c r="L42" s="79">
        <v>120.19</v>
      </c>
      <c r="M42" s="80" t="s">
        <v>2973</v>
      </c>
      <c r="N42" s="72">
        <f>M42*'Split Polyamides &amp; Isocyanates'!$C$37/L42</f>
        <v>0.89940094849821106</v>
      </c>
      <c r="O42" s="81" t="s">
        <v>2974</v>
      </c>
      <c r="P42" s="59" t="s">
        <v>3035</v>
      </c>
      <c r="Q42" s="58">
        <v>0.94</v>
      </c>
      <c r="R42" s="59" t="s">
        <v>3042</v>
      </c>
      <c r="S42" s="61" cm="1">
        <f t="array" ref="S42">1-SUM(IF(ISNUMBER(P42:Q42), P42:Q42, 0))</f>
        <v>6.0000000000000053E-2</v>
      </c>
      <c r="T42" s="59"/>
      <c r="U42" s="63"/>
      <c r="V42" s="59" t="s">
        <v>3035</v>
      </c>
      <c r="W42" s="58">
        <v>0.94</v>
      </c>
      <c r="X42" s="59" t="s">
        <v>3042</v>
      </c>
      <c r="Y42" s="61" cm="1">
        <f t="array" ref="Y42">1-SUM(IF(ISNUMBER(V42:W42), V42:W42, 0))</f>
        <v>6.0000000000000053E-2</v>
      </c>
      <c r="Z42" s="59"/>
      <c r="AA42" s="60"/>
      <c r="AB42" s="59"/>
      <c r="AC42" s="60"/>
      <c r="AD42" s="59"/>
      <c r="AE42" s="60"/>
    </row>
    <row r="43" spans="1:31" x14ac:dyDescent="0.3">
      <c r="A43" s="64">
        <v>35</v>
      </c>
      <c r="B43" t="s">
        <v>332</v>
      </c>
      <c r="C43" s="64" t="s">
        <v>2841</v>
      </c>
      <c r="D43" t="s">
        <v>333</v>
      </c>
      <c r="E43" s="48" t="s">
        <v>333</v>
      </c>
      <c r="F43" s="56">
        <f>INDEX(prodcom_data[PRODQNT + IMPQNT - EU27 - 2022], MATCH(B43, prodcom_data[product], 0))</f>
        <v>705069102</v>
      </c>
      <c r="G43" s="54">
        <f t="shared" si="0"/>
        <v>0.70506910199999995</v>
      </c>
      <c r="H43" s="96">
        <f>INDEX(prodcom_data[Local production share of available quantity (PRODQNT + IMPQNT) - EU27 - 2022], MATCH(B43, prodcom_data[product], 0))</f>
        <v>0.85098041922137724</v>
      </c>
      <c r="I43" s="49" t="s">
        <v>2683</v>
      </c>
      <c r="J43" s="49" t="s">
        <v>2642</v>
      </c>
      <c r="K43" s="79" t="s">
        <v>2997</v>
      </c>
      <c r="L43" s="79">
        <v>53.06</v>
      </c>
      <c r="M43" s="80" t="s">
        <v>2891</v>
      </c>
      <c r="N43" s="72">
        <f>M43*'Split Polyamides &amp; Isocyanates'!$C$37/L43</f>
        <v>0.67909913305691672</v>
      </c>
      <c r="O43" s="81" t="s">
        <v>2998</v>
      </c>
      <c r="P43" s="59" t="s">
        <v>3041</v>
      </c>
      <c r="Q43" s="58">
        <v>1</v>
      </c>
      <c r="R43" s="59"/>
      <c r="S43" s="60"/>
      <c r="T43" s="59"/>
      <c r="U43" s="63"/>
      <c r="V43" s="59" t="s">
        <v>3041</v>
      </c>
      <c r="W43" s="58">
        <v>1</v>
      </c>
      <c r="X43" s="59"/>
      <c r="Y43" s="60"/>
      <c r="Z43" s="59"/>
      <c r="AA43" s="60"/>
      <c r="AB43" s="59"/>
      <c r="AC43" s="60"/>
      <c r="AD43" s="59"/>
      <c r="AE43" s="60"/>
    </row>
    <row r="44" spans="1:31" x14ac:dyDescent="0.3">
      <c r="A44" s="64">
        <v>36</v>
      </c>
      <c r="B44" t="s">
        <v>28</v>
      </c>
      <c r="C44" s="64" t="s">
        <v>2842</v>
      </c>
      <c r="D44" t="s">
        <v>29</v>
      </c>
      <c r="E44" s="48" t="s">
        <v>29</v>
      </c>
      <c r="F44" s="56">
        <f>INDEX(prodcom_data[PRODQNT + IMPQNT - EU27 - 2022], MATCH(B44, prodcom_data[product], 0))</f>
        <v>683315016</v>
      </c>
      <c r="G44" s="54">
        <f t="shared" si="0"/>
        <v>0.683315016</v>
      </c>
      <c r="H44" s="96">
        <f>INDEX(prodcom_data[Local production share of available quantity (PRODQNT + IMPQNT) - EU27 - 2022], MATCH(B44, prodcom_data[product], 0))</f>
        <v>0.35122892718634474</v>
      </c>
      <c r="I44" s="49" t="s">
        <v>2684</v>
      </c>
      <c r="J44" s="49" t="s">
        <v>2642</v>
      </c>
      <c r="K44" s="79" t="s">
        <v>2975</v>
      </c>
      <c r="L44" s="79">
        <v>84.16</v>
      </c>
      <c r="M44" s="80" t="s">
        <v>2907</v>
      </c>
      <c r="N44" s="72">
        <f>M44*'Split Polyamides &amp; Isocyanates'!$C$37/L44</f>
        <v>0.85629752851711038</v>
      </c>
      <c r="O44" s="81" t="s">
        <v>2976</v>
      </c>
      <c r="P44" s="59" t="s">
        <v>3041</v>
      </c>
      <c r="Q44" s="58">
        <v>1</v>
      </c>
      <c r="R44" s="59"/>
      <c r="S44" s="60"/>
      <c r="T44" s="59"/>
      <c r="U44" s="63"/>
      <c r="V44" s="59" t="s">
        <v>3041</v>
      </c>
      <c r="W44" s="58">
        <v>1</v>
      </c>
      <c r="X44" s="59"/>
      <c r="Y44" s="60"/>
      <c r="Z44" s="59"/>
      <c r="AA44" s="60"/>
      <c r="AB44" s="59"/>
      <c r="AC44" s="60"/>
      <c r="AD44" s="59"/>
      <c r="AE44" s="60"/>
    </row>
    <row r="45" spans="1:31" x14ac:dyDescent="0.3">
      <c r="A45" s="64">
        <v>37</v>
      </c>
      <c r="B45" t="s">
        <v>252</v>
      </c>
      <c r="C45" s="64" t="s">
        <v>2843</v>
      </c>
      <c r="D45" t="s">
        <v>253</v>
      </c>
      <c r="E45" s="48" t="s">
        <v>2866</v>
      </c>
      <c r="F45" s="56">
        <f>INDEX(prodcom_data[PRODQNT + IMPQNT - EU27 - 2022], MATCH(B45, prodcom_data[product], 0))</f>
        <v>667655569</v>
      </c>
      <c r="G45" s="54">
        <f t="shared" si="0"/>
        <v>0.667655569</v>
      </c>
      <c r="H45" s="96">
        <f>INDEX(prodcom_data[Local production share of available quantity (PRODQNT + IMPQNT) - EU27 - 2022], MATCH(B45, prodcom_data[product], 0))</f>
        <v>0.85514301162071182</v>
      </c>
      <c r="I45" s="49" t="s">
        <v>2685</v>
      </c>
      <c r="J45" s="49" t="s">
        <v>2642</v>
      </c>
      <c r="K45" s="79" t="s">
        <v>2977</v>
      </c>
      <c r="L45" s="79">
        <v>146.13999999999999</v>
      </c>
      <c r="M45" s="80" t="s">
        <v>2907</v>
      </c>
      <c r="N45" s="72">
        <f>M45*'Split Polyamides &amp; Isocyanates'!$C$37/L45</f>
        <v>0.49312987546188591</v>
      </c>
      <c r="O45" s="81" t="s">
        <v>2978</v>
      </c>
      <c r="P45" s="59" t="s">
        <v>3041</v>
      </c>
      <c r="Q45" s="58">
        <v>1</v>
      </c>
      <c r="R45" s="59"/>
      <c r="S45" s="60"/>
      <c r="T45" s="59"/>
      <c r="U45" s="63"/>
      <c r="V45" s="59" t="s">
        <v>3041</v>
      </c>
      <c r="W45" s="58">
        <v>1</v>
      </c>
      <c r="X45" s="59"/>
      <c r="Y45" s="60"/>
      <c r="Z45" s="59"/>
      <c r="AA45" s="60"/>
      <c r="AB45" s="59"/>
      <c r="AC45" s="60"/>
      <c r="AD45" s="59"/>
      <c r="AE45" s="60"/>
    </row>
    <row r="46" spans="1:31" x14ac:dyDescent="0.3">
      <c r="A46" s="64">
        <v>38</v>
      </c>
      <c r="B46" t="s">
        <v>114</v>
      </c>
      <c r="C46" s="64" t="s">
        <v>2844</v>
      </c>
      <c r="D46" t="s">
        <v>115</v>
      </c>
      <c r="E46" s="48" t="s">
        <v>2969</v>
      </c>
      <c r="F46" s="56">
        <f>INDEX(prodcom_data[PRODQNT + IMPQNT - EU27 - 2022], MATCH(B46, prodcom_data[product], 0))</f>
        <v>667347651</v>
      </c>
      <c r="G46" s="54">
        <f t="shared" si="0"/>
        <v>0.66734765100000004</v>
      </c>
      <c r="H46" s="96">
        <f>INDEX(prodcom_data[Local production share of available quantity (PRODQNT + IMPQNT) - EU27 - 2022], MATCH(B46, prodcom_data[product], 0))</f>
        <v>0.80917344833809868</v>
      </c>
      <c r="I46" s="49" t="s">
        <v>2686</v>
      </c>
      <c r="J46" s="49" t="s">
        <v>2687</v>
      </c>
      <c r="K46" s="79" t="s">
        <v>2970</v>
      </c>
      <c r="L46" s="79">
        <v>60.1</v>
      </c>
      <c r="M46" s="80" t="s">
        <v>2891</v>
      </c>
      <c r="N46" s="72">
        <f>M46*'Split Polyamides &amp; Isocyanates'!$C$37/L46</f>
        <v>0.59955074875207992</v>
      </c>
      <c r="O46" s="81" t="s">
        <v>2971</v>
      </c>
      <c r="P46" s="59" t="s">
        <v>3035</v>
      </c>
      <c r="Q46" s="58">
        <v>0.82</v>
      </c>
      <c r="R46" s="59" t="s">
        <v>3042</v>
      </c>
      <c r="S46" s="61" cm="1">
        <f t="array" ref="S46">1-SUM(IF(ISNUMBER(P46:Q46), P46:Q46, 0))</f>
        <v>0.18000000000000005</v>
      </c>
      <c r="T46" s="59"/>
      <c r="U46" s="63"/>
      <c r="V46" s="59" t="s">
        <v>3035</v>
      </c>
      <c r="W46" s="58">
        <v>0.82</v>
      </c>
      <c r="X46" s="59" t="s">
        <v>3042</v>
      </c>
      <c r="Y46" s="61" cm="1">
        <f t="array" ref="Y46">1-SUM(IF(ISNUMBER(V46:W46), V46:W46, 0))</f>
        <v>0.18000000000000005</v>
      </c>
      <c r="Z46" s="59"/>
      <c r="AA46" s="60"/>
      <c r="AB46" s="59"/>
      <c r="AC46" s="60"/>
      <c r="AD46" s="59"/>
      <c r="AE46" s="60"/>
    </row>
    <row r="47" spans="1:31" x14ac:dyDescent="0.3">
      <c r="A47" s="64">
        <v>39</v>
      </c>
      <c r="B47" t="s">
        <v>52</v>
      </c>
      <c r="C47" s="64" t="s">
        <v>2845</v>
      </c>
      <c r="D47" t="s">
        <v>53</v>
      </c>
      <c r="E47" s="48" t="s">
        <v>53</v>
      </c>
      <c r="F47" s="56">
        <f>INDEX(prodcom_data[PRODQNT + IMPQNT - EU27 - 2022], MATCH(B47, prodcom_data[product], 0))</f>
        <v>642497260</v>
      </c>
      <c r="G47" s="54">
        <f t="shared" si="0"/>
        <v>0.64249725999999996</v>
      </c>
      <c r="H47" s="96">
        <f>INDEX(prodcom_data[Local production share of available quantity (PRODQNT + IMPQNT) - EU27 - 2022], MATCH(B47, prodcom_data[product], 0))</f>
        <v>0.93385612259264728</v>
      </c>
      <c r="I47" s="49" t="s">
        <v>2688</v>
      </c>
      <c r="J47" s="49" t="s">
        <v>2642</v>
      </c>
      <c r="K47" s="79" t="s">
        <v>2979</v>
      </c>
      <c r="L47" s="79">
        <v>106.16</v>
      </c>
      <c r="M47" s="80" t="s">
        <v>2914</v>
      </c>
      <c r="N47" s="72">
        <f>M47*'Split Polyamides &amp; Isocyanates'!$C$37/L47</f>
        <v>0.90512434061793512</v>
      </c>
      <c r="O47" s="81" t="s">
        <v>2981</v>
      </c>
      <c r="P47" s="59" t="s">
        <v>3035</v>
      </c>
      <c r="Q47" s="58">
        <v>0.99</v>
      </c>
      <c r="R47" s="59" t="s">
        <v>3042</v>
      </c>
      <c r="S47" s="61" cm="1">
        <f t="array" ref="S47">1-SUM(IF(ISNUMBER(P47:Q47), P47:Q47, 0))</f>
        <v>1.0000000000000009E-2</v>
      </c>
      <c r="T47" s="59"/>
      <c r="U47" s="63"/>
      <c r="V47" s="59" t="s">
        <v>3035</v>
      </c>
      <c r="W47" s="58">
        <v>0.99</v>
      </c>
      <c r="X47" s="59" t="s">
        <v>3045</v>
      </c>
      <c r="Y47" s="60">
        <v>0.01</v>
      </c>
      <c r="Z47" s="59"/>
      <c r="AA47" s="60"/>
      <c r="AB47" s="59"/>
      <c r="AC47" s="60"/>
      <c r="AD47" s="59"/>
      <c r="AE47" s="60"/>
    </row>
    <row r="48" spans="1:31" x14ac:dyDescent="0.3">
      <c r="A48" s="64">
        <v>40</v>
      </c>
      <c r="B48" t="s">
        <v>220</v>
      </c>
      <c r="C48" s="64" t="s">
        <v>2846</v>
      </c>
      <c r="D48" t="s">
        <v>221</v>
      </c>
      <c r="E48" s="48" t="s">
        <v>221</v>
      </c>
      <c r="F48" s="56">
        <f>INDEX(prodcom_data[PRODQNT + IMPQNT - EU27 - 2022], MATCH(B48, prodcom_data[product], 0))</f>
        <v>604861873</v>
      </c>
      <c r="G48" s="54">
        <f t="shared" si="0"/>
        <v>0.60486187300000005</v>
      </c>
      <c r="H48" s="96">
        <f>INDEX(prodcom_data[Local production share of available quantity (PRODQNT + IMPQNT) - EU27 - 2022], MATCH(B48, prodcom_data[product], 0))</f>
        <v>0.66130800742337414</v>
      </c>
      <c r="I48" s="49" t="s">
        <v>2652</v>
      </c>
      <c r="J48" s="49" t="s">
        <v>2689</v>
      </c>
      <c r="K48" s="79" t="s">
        <v>2967</v>
      </c>
      <c r="L48" s="79">
        <v>128.16900000000001</v>
      </c>
      <c r="M48" s="80" t="s">
        <v>2946</v>
      </c>
      <c r="N48" s="72">
        <f>M48*'Split Polyamides &amp; Isocyanates'!$C$37/L48</f>
        <v>0.6559854567016985</v>
      </c>
      <c r="O48" s="81" t="s">
        <v>2968</v>
      </c>
      <c r="P48" s="59" t="s">
        <v>3035</v>
      </c>
      <c r="Q48" s="58">
        <v>0.72</v>
      </c>
      <c r="R48" s="59" t="s">
        <v>3042</v>
      </c>
      <c r="S48" s="61" cm="1">
        <f t="array" ref="S48">1-SUM(IF(ISNUMBER(P48:Q48), P48:Q48, 0))</f>
        <v>0.28000000000000003</v>
      </c>
      <c r="T48" s="59"/>
      <c r="U48" s="63"/>
      <c r="V48" s="59" t="s">
        <v>3035</v>
      </c>
      <c r="W48" s="58">
        <v>0.72</v>
      </c>
      <c r="X48" s="59" t="s">
        <v>3042</v>
      </c>
      <c r="Y48" s="61" cm="1">
        <f t="array" ref="Y48">1-SUM(IF(ISNUMBER(V48:W48), V48:W48, 0))</f>
        <v>0.28000000000000003</v>
      </c>
      <c r="Z48" s="59"/>
      <c r="AA48" s="60"/>
      <c r="AB48" s="59"/>
      <c r="AC48" s="60"/>
      <c r="AD48" s="59"/>
      <c r="AE48" s="60"/>
    </row>
    <row r="49" spans="1:32" x14ac:dyDescent="0.3">
      <c r="A49" s="64">
        <v>41</v>
      </c>
      <c r="B49" t="s">
        <v>542</v>
      </c>
      <c r="C49" s="64" t="s">
        <v>2847</v>
      </c>
      <c r="D49" t="s">
        <v>543</v>
      </c>
      <c r="E49" s="48" t="s">
        <v>2964</v>
      </c>
      <c r="F49" s="56">
        <f>INDEX(prodcom_data[PRODQNT + IMPQNT - EU27 - 2022], MATCH(B49, prodcom_data[product], 0))</f>
        <v>593659673</v>
      </c>
      <c r="G49" s="54">
        <f t="shared" si="0"/>
        <v>0.593659673</v>
      </c>
      <c r="H49" s="96">
        <f>INDEX(prodcom_data[Local production share of available quantity (PRODQNT + IMPQNT) - EU27 - 2022], MATCH(B49, prodcom_data[product], 0))</f>
        <v>0.84223339185782964</v>
      </c>
      <c r="I49" s="49" t="s">
        <v>2690</v>
      </c>
      <c r="J49" s="49" t="s">
        <v>2642</v>
      </c>
      <c r="K49" s="79" t="s">
        <v>2965</v>
      </c>
      <c r="L49" s="79">
        <v>114.14</v>
      </c>
      <c r="M49" s="80" t="s">
        <v>2907</v>
      </c>
      <c r="N49" s="72">
        <f>M49*'Split Polyamides &amp; Isocyanates'!$C$37/L49</f>
        <v>0.63138251270369727</v>
      </c>
      <c r="O49" s="81" t="s">
        <v>2966</v>
      </c>
      <c r="P49" s="59" t="s">
        <v>3035</v>
      </c>
      <c r="Q49" s="58">
        <v>0.87</v>
      </c>
      <c r="R49" s="59" t="s">
        <v>3042</v>
      </c>
      <c r="S49" s="61" cm="1">
        <f t="array" ref="S49">1-SUM(IF(ISNUMBER(P49:Q49), P49:Q49, 0))</f>
        <v>0.13</v>
      </c>
      <c r="T49" s="59"/>
      <c r="U49" s="63"/>
      <c r="V49" s="59" t="s">
        <v>3035</v>
      </c>
      <c r="W49" s="58">
        <v>0.87</v>
      </c>
      <c r="X49" s="59" t="s">
        <v>3042</v>
      </c>
      <c r="Y49" s="61" cm="1">
        <f t="array" ref="Y49">1-SUM(IF(ISNUMBER(V49:W49), V49:W49, 0))</f>
        <v>0.13</v>
      </c>
      <c r="Z49" s="59"/>
      <c r="AA49" s="60"/>
      <c r="AB49" s="59"/>
      <c r="AC49" s="60"/>
      <c r="AD49" s="59"/>
      <c r="AE49" s="60"/>
    </row>
    <row r="50" spans="1:32" x14ac:dyDescent="0.3">
      <c r="A50" s="64">
        <v>42</v>
      </c>
      <c r="B50" t="s">
        <v>117</v>
      </c>
      <c r="C50" s="64" t="s">
        <v>2848</v>
      </c>
      <c r="D50" t="s">
        <v>118</v>
      </c>
      <c r="E50" s="48" t="s">
        <v>2985</v>
      </c>
      <c r="F50" s="56">
        <f>INDEX(prodcom_data[PRODQNT + IMPQNT - EU27 - 2022], MATCH(B50, prodcom_data[product], 0))</f>
        <v>507331541</v>
      </c>
      <c r="G50" s="54">
        <f t="shared" si="0"/>
        <v>0.507331541</v>
      </c>
      <c r="H50" s="96">
        <f>INDEX(prodcom_data[Local production share of available quantity (PRODQNT + IMPQNT) - EU27 - 2022], MATCH(B50, prodcom_data[product], 0))</f>
        <v>0.78843905350643284</v>
      </c>
      <c r="I50" s="49" t="s">
        <v>2691</v>
      </c>
      <c r="J50" s="49" t="s">
        <v>2642</v>
      </c>
      <c r="K50" s="79" t="s">
        <v>2986</v>
      </c>
      <c r="L50" s="79">
        <v>74.12</v>
      </c>
      <c r="M50" s="80" t="s">
        <v>2924</v>
      </c>
      <c r="N50" s="72">
        <f>M50*'Split Polyamides &amp; Isocyanates'!$C$37/L50</f>
        <v>0.64819212088505118</v>
      </c>
      <c r="O50" s="81" t="s">
        <v>2987</v>
      </c>
      <c r="P50" s="59" t="s">
        <v>3041</v>
      </c>
      <c r="Q50" s="58">
        <v>1</v>
      </c>
      <c r="R50" s="59"/>
      <c r="S50" s="60"/>
      <c r="T50" s="59"/>
      <c r="U50" s="63"/>
      <c r="V50" s="59" t="s">
        <v>3041</v>
      </c>
      <c r="W50" s="58">
        <v>1</v>
      </c>
      <c r="X50" s="59"/>
      <c r="Y50" s="60"/>
      <c r="Z50" s="59"/>
      <c r="AA50" s="60"/>
      <c r="AB50" s="59"/>
      <c r="AC50" s="60"/>
      <c r="AD50" s="59"/>
      <c r="AE50" s="60"/>
    </row>
    <row r="51" spans="1:32" x14ac:dyDescent="0.3">
      <c r="A51" s="64">
        <v>43</v>
      </c>
      <c r="B51" t="s">
        <v>284</v>
      </c>
      <c r="C51" s="64" t="s">
        <v>2849</v>
      </c>
      <c r="D51" t="s">
        <v>285</v>
      </c>
      <c r="E51" s="48" t="s">
        <v>2988</v>
      </c>
      <c r="F51" s="56">
        <f>INDEX(prodcom_data[PRODQNT + IMPQNT - EU27 - 2022], MATCH(B51, prodcom_data[product], 0))</f>
        <v>443739559</v>
      </c>
      <c r="G51" s="54">
        <f t="shared" si="0"/>
        <v>0.44373955900000001</v>
      </c>
      <c r="H51" s="96">
        <f>INDEX(prodcom_data[Local production share of available quantity (PRODQNT + IMPQNT) - EU27 - 2022], MATCH(B51, prodcom_data[product], 0))</f>
        <v>0.9014296604554024</v>
      </c>
      <c r="I51" s="49" t="s">
        <v>2692</v>
      </c>
      <c r="J51" s="49" t="s">
        <v>2693</v>
      </c>
      <c r="K51" s="79" t="s">
        <v>2989</v>
      </c>
      <c r="L51" s="79">
        <v>116.2</v>
      </c>
      <c r="M51" s="80" t="s">
        <v>2907</v>
      </c>
      <c r="N51" s="72">
        <f>M51*'Split Polyamides &amp; Isocyanates'!$C$37/L51</f>
        <v>0.6201893287435456</v>
      </c>
      <c r="O51" s="81" t="s">
        <v>2990</v>
      </c>
      <c r="P51" s="59" t="s">
        <v>3035</v>
      </c>
      <c r="Q51" s="58">
        <v>0.91</v>
      </c>
      <c r="R51" s="59" t="s">
        <v>3042</v>
      </c>
      <c r="S51" s="61" cm="1">
        <f t="array" ref="S51">1-SUM(IF(ISNUMBER(P51:Q51), P51:Q51, 0))</f>
        <v>8.9999999999999969E-2</v>
      </c>
      <c r="T51" s="59"/>
      <c r="U51" s="63"/>
      <c r="V51" s="59" t="s">
        <v>3035</v>
      </c>
      <c r="W51" s="58">
        <v>0.91</v>
      </c>
      <c r="X51" s="59" t="s">
        <v>3042</v>
      </c>
      <c r="Y51" s="61" cm="1">
        <f t="array" ref="Y51">1-SUM(IF(ISNUMBER(V51:W51), V51:W51, 0))</f>
        <v>8.9999999999999969E-2</v>
      </c>
      <c r="Z51" s="59"/>
      <c r="AA51" s="60"/>
      <c r="AB51" s="59"/>
      <c r="AC51" s="60"/>
      <c r="AD51" s="59"/>
      <c r="AE51" s="60"/>
    </row>
    <row r="52" spans="1:32" x14ac:dyDescent="0.3">
      <c r="A52" s="64">
        <v>44</v>
      </c>
      <c r="B52" t="s">
        <v>186</v>
      </c>
      <c r="C52" s="64" t="s">
        <v>2850</v>
      </c>
      <c r="D52" t="s">
        <v>187</v>
      </c>
      <c r="E52" s="48" t="s">
        <v>187</v>
      </c>
      <c r="F52" s="56">
        <f>INDEX(prodcom_data[PRODQNT + IMPQNT - EU27 - 2022], MATCH(B52, prodcom_data[product], 0))</f>
        <v>377601386</v>
      </c>
      <c r="G52" s="54">
        <f t="shared" si="0"/>
        <v>0.37760138599999998</v>
      </c>
      <c r="H52" s="96">
        <f>INDEX(prodcom_data[Local production share of available quantity (PRODQNT + IMPQNT) - EU27 - 2022], MATCH(B52, prodcom_data[product], 0))</f>
        <v>0.11917329138193365</v>
      </c>
      <c r="I52" s="49" t="s">
        <v>2694</v>
      </c>
      <c r="J52" s="49" t="s">
        <v>2642</v>
      </c>
      <c r="K52" s="79" t="s">
        <v>3003</v>
      </c>
      <c r="L52" s="79">
        <v>88.11</v>
      </c>
      <c r="M52" s="80" t="s">
        <v>2924</v>
      </c>
      <c r="N52" s="72">
        <f>M52*'Split Polyamides &amp; Isocyanates'!$C$37/L52</f>
        <v>0.54527295426171829</v>
      </c>
      <c r="O52" s="81" t="s">
        <v>3004</v>
      </c>
      <c r="P52" s="59" t="s">
        <v>3041</v>
      </c>
      <c r="Q52" s="58">
        <v>1</v>
      </c>
      <c r="R52" s="59"/>
      <c r="S52" s="60"/>
      <c r="T52" s="59"/>
      <c r="U52" s="63"/>
      <c r="V52" s="59" t="s">
        <v>3041</v>
      </c>
      <c r="W52" s="58">
        <v>1</v>
      </c>
      <c r="X52" s="59"/>
      <c r="Y52" s="60"/>
      <c r="Z52" s="59"/>
      <c r="AA52" s="60"/>
      <c r="AB52" s="59"/>
      <c r="AC52" s="60"/>
      <c r="AD52" s="59"/>
      <c r="AE52" s="60"/>
    </row>
    <row r="53" spans="1:32" x14ac:dyDescent="0.3">
      <c r="A53" s="64">
        <v>45</v>
      </c>
      <c r="B53" t="s">
        <v>581</v>
      </c>
      <c r="C53" s="64" t="s">
        <v>2851</v>
      </c>
      <c r="D53" t="s">
        <v>582</v>
      </c>
      <c r="E53" s="48" t="s">
        <v>2999</v>
      </c>
      <c r="F53" s="56">
        <f>INDEX(prodcom_data[PRODQNT + IMPQNT - EU27 - 2022], MATCH(B53, prodcom_data[product], 0))</f>
        <v>334412816</v>
      </c>
      <c r="G53" s="54">
        <f t="shared" si="0"/>
        <v>0.334412816</v>
      </c>
      <c r="H53" s="96">
        <f>INDEX(prodcom_data[Local production share of available quantity (PRODQNT + IMPQNT) - EU27 - 2022], MATCH(B53, prodcom_data[product], 0))</f>
        <v>0.59226283959165005</v>
      </c>
      <c r="I53" s="51" t="s">
        <v>3000</v>
      </c>
      <c r="J53" s="49" t="s">
        <v>2695</v>
      </c>
      <c r="K53" s="79" t="s">
        <v>3001</v>
      </c>
      <c r="L53" s="79">
        <v>30.026</v>
      </c>
      <c r="M53" s="80" t="s">
        <v>2904</v>
      </c>
      <c r="N53" s="72">
        <f>M53*'Split Polyamides &amp; Isocyanates'!$C$37/L53</f>
        <v>0.40001998268167588</v>
      </c>
      <c r="O53" s="81" t="s">
        <v>3002</v>
      </c>
      <c r="P53" s="59"/>
      <c r="Q53" s="60"/>
      <c r="R53" s="59"/>
      <c r="S53" s="60"/>
      <c r="T53" s="59"/>
      <c r="U53" s="63"/>
      <c r="V53" s="59"/>
      <c r="W53" s="60"/>
      <c r="X53" s="59"/>
      <c r="Y53" s="60"/>
      <c r="Z53" s="59"/>
      <c r="AA53" s="60"/>
      <c r="AB53" s="59"/>
      <c r="AC53" s="60"/>
      <c r="AD53" s="59"/>
      <c r="AE53" s="60"/>
    </row>
    <row r="54" spans="1:32" x14ac:dyDescent="0.3">
      <c r="A54" s="64">
        <v>46</v>
      </c>
      <c r="B54" t="s">
        <v>459</v>
      </c>
      <c r="C54" s="64" t="s">
        <v>2852</v>
      </c>
      <c r="D54" t="s">
        <v>460</v>
      </c>
      <c r="E54" s="48" t="s">
        <v>3005</v>
      </c>
      <c r="F54" s="56">
        <f>INDEX(prodcom_data[PRODQNT + IMPQNT - EU27 - 2022], MATCH(B54, prodcom_data[product], 0))</f>
        <v>321846701</v>
      </c>
      <c r="G54" s="54">
        <f t="shared" si="0"/>
        <v>0.32184670100000001</v>
      </c>
      <c r="H54" s="96">
        <f>INDEX(prodcom_data[Local production share of available quantity (PRODQNT + IMPQNT) - EU27 - 2022], MATCH(B54, prodcom_data[product], 0))</f>
        <v>0.18642415725740188</v>
      </c>
      <c r="I54" s="49" t="s">
        <v>2696</v>
      </c>
      <c r="J54" s="49" t="s">
        <v>2642</v>
      </c>
      <c r="K54" s="79" t="s">
        <v>3006</v>
      </c>
      <c r="L54" s="79">
        <v>106.12</v>
      </c>
      <c r="M54" s="80" t="s">
        <v>2924</v>
      </c>
      <c r="N54" s="72">
        <f>M54*'Split Polyamides &amp; Isocyanates'!$C$37/L54</f>
        <v>0.45273275537127777</v>
      </c>
      <c r="O54" s="81" t="s">
        <v>3007</v>
      </c>
      <c r="P54" s="59" t="s">
        <v>3035</v>
      </c>
      <c r="Q54" s="58">
        <v>0.21</v>
      </c>
      <c r="R54" s="59" t="s">
        <v>3042</v>
      </c>
      <c r="S54" s="61" cm="1">
        <f t="array" ref="S54">1-SUM(IF(ISNUMBER(P54:Q54), P54:Q54, 0))</f>
        <v>0.79</v>
      </c>
      <c r="T54" s="59"/>
      <c r="U54" s="63"/>
      <c r="V54" s="59" t="s">
        <v>3035</v>
      </c>
      <c r="W54" s="58">
        <v>0.21</v>
      </c>
      <c r="X54" s="59" t="s">
        <v>3042</v>
      </c>
      <c r="Y54" s="61" cm="1">
        <f t="array" ref="Y54">1-SUM(IF(ISNUMBER(V54:W54), V54:W54, 0))</f>
        <v>0.79</v>
      </c>
      <c r="Z54" s="59"/>
      <c r="AA54" s="60"/>
      <c r="AB54" s="59"/>
      <c r="AC54" s="60"/>
      <c r="AD54" s="59"/>
      <c r="AE54" s="60"/>
    </row>
    <row r="55" spans="1:32" x14ac:dyDescent="0.3">
      <c r="A55" s="64">
        <v>47</v>
      </c>
      <c r="B55" t="s">
        <v>226</v>
      </c>
      <c r="C55" s="64" t="s">
        <v>2853</v>
      </c>
      <c r="D55" t="s">
        <v>227</v>
      </c>
      <c r="E55" s="48" t="s">
        <v>2993</v>
      </c>
      <c r="F55" s="56">
        <f>INDEX(prodcom_data[PRODQNT + IMPQNT - EU27 - 2022], MATCH(B55, prodcom_data[product], 0))</f>
        <v>321638245</v>
      </c>
      <c r="G55" s="54">
        <f t="shared" si="0"/>
        <v>0.32163824499999999</v>
      </c>
      <c r="H55" s="96">
        <f>INDEX(prodcom_data[Local production share of available quantity (PRODQNT + IMPQNT) - EU27 - 2022], MATCH(B55, prodcom_data[product], 0))</f>
        <v>0.27981747008972768</v>
      </c>
      <c r="I55" s="49" t="s">
        <v>2697</v>
      </c>
      <c r="J55" s="49" t="s">
        <v>2698</v>
      </c>
      <c r="K55" s="79" t="s">
        <v>2994</v>
      </c>
      <c r="L55" s="79">
        <v>100.12</v>
      </c>
      <c r="M55" s="80" t="s">
        <v>2995</v>
      </c>
      <c r="N55" s="72">
        <f>M55*'Split Polyamides &amp; Isocyanates'!$C$37/L55</f>
        <v>0.59983020375549334</v>
      </c>
      <c r="O55" s="81" t="s">
        <v>2996</v>
      </c>
      <c r="P55" s="59" t="s">
        <v>3035</v>
      </c>
      <c r="Q55" s="58">
        <v>0.35</v>
      </c>
      <c r="R55" s="59" t="s">
        <v>3042</v>
      </c>
      <c r="S55" s="61" cm="1">
        <f t="array" ref="S55">1-SUM(IF(ISNUMBER(P55:Q55), P55:Q55, 0))</f>
        <v>0.65</v>
      </c>
      <c r="T55" s="59"/>
      <c r="U55" s="63"/>
      <c r="V55" s="59" t="s">
        <v>3035</v>
      </c>
      <c r="W55" s="58">
        <v>0.35</v>
      </c>
      <c r="X55" s="59" t="s">
        <v>3042</v>
      </c>
      <c r="Y55" s="61" cm="1">
        <f t="array" ref="Y55">1-SUM(IF(ISNUMBER(V55:W55), V55:W55, 0))</f>
        <v>0.65</v>
      </c>
      <c r="Z55" s="59"/>
      <c r="AA55" s="60"/>
      <c r="AB55" s="59"/>
      <c r="AC55" s="60"/>
      <c r="AD55" s="59"/>
      <c r="AE55" s="60"/>
    </row>
    <row r="56" spans="1:32" x14ac:dyDescent="0.3">
      <c r="A56" s="64">
        <v>48</v>
      </c>
      <c r="B56" t="s">
        <v>40</v>
      </c>
      <c r="C56" s="64" t="s">
        <v>2854</v>
      </c>
      <c r="D56" t="s">
        <v>41</v>
      </c>
      <c r="E56" s="48" t="s">
        <v>41</v>
      </c>
      <c r="F56" s="56">
        <f>INDEX(prodcom_data[PRODQNT + IMPQNT - EU27 - 2022], MATCH(B56, prodcom_data[product], 0))</f>
        <v>318208407</v>
      </c>
      <c r="G56" s="54">
        <f t="shared" si="0"/>
        <v>0.31820840700000003</v>
      </c>
      <c r="H56" s="96">
        <f>INDEX(prodcom_data[Local production share of available quantity (PRODQNT + IMPQNT) - EU27 - 2022], MATCH(B56, prodcom_data[product], 0))</f>
        <v>0.44804616680036363</v>
      </c>
      <c r="I56" s="49" t="s">
        <v>2699</v>
      </c>
      <c r="J56" s="49" t="s">
        <v>2642</v>
      </c>
      <c r="K56" s="79" t="s">
        <v>2979</v>
      </c>
      <c r="L56" s="79">
        <v>106.16</v>
      </c>
      <c r="M56" s="80" t="s">
        <v>2914</v>
      </c>
      <c r="N56" s="72">
        <f>M56*'Split Polyamides &amp; Isocyanates'!$C$37/L56</f>
        <v>0.90512434061793512</v>
      </c>
      <c r="O56" s="81" t="s">
        <v>3008</v>
      </c>
      <c r="P56" s="59" t="s">
        <v>3035</v>
      </c>
      <c r="Q56" s="58">
        <v>0.51</v>
      </c>
      <c r="R56" s="59" t="s">
        <v>3042</v>
      </c>
      <c r="S56" s="61" cm="1">
        <f t="array" ref="S56">1-SUM(IF(ISNUMBER(P56:Q56), P56:Q56, 0))</f>
        <v>0.49</v>
      </c>
      <c r="T56" s="59"/>
      <c r="U56" s="63"/>
      <c r="V56" s="59" t="s">
        <v>3035</v>
      </c>
      <c r="W56" s="58">
        <v>0.51</v>
      </c>
      <c r="X56" s="59" t="s">
        <v>3042</v>
      </c>
      <c r="Y56" s="61" cm="1">
        <f t="array" ref="Y56">1-SUM(IF(ISNUMBER(V56:W56), V56:W56, 0))</f>
        <v>0.49</v>
      </c>
      <c r="Z56" s="59"/>
      <c r="AA56" s="60"/>
      <c r="AB56" s="59"/>
      <c r="AC56" s="60"/>
      <c r="AD56" s="59"/>
      <c r="AE56" s="60"/>
    </row>
    <row r="57" spans="1:32" s="50" customFormat="1" x14ac:dyDescent="0.3">
      <c r="A57" s="64">
        <v>49</v>
      </c>
      <c r="B57" s="50" t="s">
        <v>61</v>
      </c>
      <c r="C57" s="64">
        <v>290311</v>
      </c>
      <c r="D57" s="50" t="s">
        <v>62</v>
      </c>
      <c r="E57" s="48" t="s">
        <v>3079</v>
      </c>
      <c r="F57" s="56">
        <f>INDEX(prodcom_data[PRODQNT + IMPQNT - EU27 - 2022], MATCH(B57, prodcom_data[product], 0))</f>
        <v>300894106</v>
      </c>
      <c r="G57" s="54">
        <f t="shared" si="0"/>
        <v>0.30089410599999999</v>
      </c>
      <c r="H57" s="96">
        <f>INDEX(prodcom_data[Local production share of available quantity (PRODQNT + IMPQNT) - EU27 - 2022], MATCH(B57, prodcom_data[product], 0))</f>
        <v>0.99702850277831634</v>
      </c>
      <c r="I57" s="49" t="s">
        <v>3084</v>
      </c>
      <c r="J57" s="49" t="s">
        <v>3085</v>
      </c>
      <c r="K57" s="79" t="s">
        <v>3086</v>
      </c>
      <c r="L57" s="79">
        <v>50.49</v>
      </c>
      <c r="M57" s="97">
        <v>1</v>
      </c>
      <c r="N57" s="72">
        <f>M57*'Split Polyamides &amp; Isocyanates'!$C$37/L57</f>
        <v>0.23788869082986727</v>
      </c>
      <c r="O57" s="81" t="s">
        <v>3087</v>
      </c>
      <c r="P57" s="59" t="s">
        <v>3035</v>
      </c>
      <c r="Q57" s="58">
        <v>1</v>
      </c>
      <c r="R57" s="59"/>
      <c r="S57" s="59"/>
      <c r="T57" s="59"/>
      <c r="U57" s="63"/>
      <c r="V57" s="59" t="s">
        <v>3035</v>
      </c>
      <c r="W57" s="58">
        <v>1</v>
      </c>
      <c r="X57" s="59"/>
      <c r="Y57" s="59"/>
      <c r="Z57" s="59"/>
      <c r="AA57" s="60"/>
      <c r="AB57" s="59"/>
      <c r="AC57" s="60"/>
      <c r="AD57" s="59"/>
      <c r="AE57" s="60"/>
      <c r="AF57"/>
    </row>
    <row r="58" spans="1:32" s="50" customFormat="1" x14ac:dyDescent="0.3">
      <c r="A58" s="64">
        <v>50</v>
      </c>
      <c r="B58" s="50" t="s">
        <v>393</v>
      </c>
      <c r="C58" s="64">
        <v>291219</v>
      </c>
      <c r="D58" s="50" t="s">
        <v>394</v>
      </c>
      <c r="E58" s="48" t="s">
        <v>3080</v>
      </c>
      <c r="F58" s="56">
        <f>INDEX(prodcom_data[PRODQNT + IMPQNT - EU27 - 2022], MATCH(B58, prodcom_data[product], 0))</f>
        <v>300000000</v>
      </c>
      <c r="G58" s="54">
        <f t="shared" si="0"/>
        <v>0.3</v>
      </c>
      <c r="H58" s="96">
        <f>INDEX(prodcom_data[Local production share of available quantity (PRODQNT + IMPQNT) - EU27 - 2022], MATCH(B58, prodcom_data[product], 0))</f>
        <v>1</v>
      </c>
      <c r="I58" s="49" t="s">
        <v>2691</v>
      </c>
      <c r="J58" s="49"/>
      <c r="K58" s="79" t="s">
        <v>3092</v>
      </c>
      <c r="L58" s="79">
        <v>72.11</v>
      </c>
      <c r="M58" s="80" t="s">
        <v>2924</v>
      </c>
      <c r="N58" s="72">
        <f>M58*'Split Polyamides &amp; Isocyanates'!$C$37/L58</f>
        <v>0.66625988073776177</v>
      </c>
      <c r="O58" s="81" t="s">
        <v>3093</v>
      </c>
      <c r="P58" s="59" t="s">
        <v>3041</v>
      </c>
      <c r="Q58" s="58">
        <v>1</v>
      </c>
      <c r="R58" s="59"/>
      <c r="S58" s="59"/>
      <c r="T58" s="59"/>
      <c r="U58" s="63"/>
      <c r="V58" s="59" t="s">
        <v>3041</v>
      </c>
      <c r="W58" s="58">
        <v>1</v>
      </c>
      <c r="X58" s="59"/>
      <c r="Y58" s="59"/>
      <c r="Z58" s="59"/>
      <c r="AA58" s="60"/>
      <c r="AB58" s="59"/>
      <c r="AC58" s="60"/>
      <c r="AD58" s="59"/>
      <c r="AE58" s="60"/>
      <c r="AF58"/>
    </row>
    <row r="59" spans="1:32" s="50" customFormat="1" x14ac:dyDescent="0.3">
      <c r="A59" s="64">
        <v>51</v>
      </c>
      <c r="B59" s="50" t="s">
        <v>164</v>
      </c>
      <c r="C59" s="64">
        <v>290723</v>
      </c>
      <c r="D59" s="50" t="s">
        <v>165</v>
      </c>
      <c r="E59" s="48" t="s">
        <v>3081</v>
      </c>
      <c r="F59" s="56">
        <f>INDEX(prodcom_data[PRODQNT + IMPQNT - EU27 - 2022], MATCH(B59, prodcom_data[product], 0))</f>
        <v>258032226</v>
      </c>
      <c r="G59" s="54">
        <f t="shared" si="0"/>
        <v>0.25803222599999998</v>
      </c>
      <c r="H59" s="96">
        <f>INDEX(prodcom_data[Local production share of available quantity (PRODQNT + IMPQNT) - EU27 - 2022], MATCH(B59, prodcom_data[product], 0))</f>
        <v>0.77509698342872879</v>
      </c>
      <c r="I59" s="49" t="s">
        <v>3082</v>
      </c>
      <c r="J59" s="49"/>
      <c r="K59" s="79" t="s">
        <v>3090</v>
      </c>
      <c r="L59" s="79">
        <v>228.29</v>
      </c>
      <c r="M59" s="80" t="s">
        <v>2958</v>
      </c>
      <c r="N59" s="72">
        <f>M59*'Split Polyamides &amp; Isocyanates'!$C$37/L59</f>
        <v>0.78919356958254849</v>
      </c>
      <c r="O59" s="81" t="s">
        <v>3091</v>
      </c>
      <c r="P59" s="59" t="s">
        <v>3035</v>
      </c>
      <c r="Q59" s="58">
        <v>0.78</v>
      </c>
      <c r="R59" s="59" t="s">
        <v>3042</v>
      </c>
      <c r="S59" s="61" cm="1">
        <f t="array" ref="S59">1-SUM(IF(ISNUMBER(P59:Q59), P59:Q59, 0))</f>
        <v>0.21999999999999997</v>
      </c>
      <c r="T59" s="59"/>
      <c r="U59" s="63"/>
      <c r="V59" s="59" t="s">
        <v>3035</v>
      </c>
      <c r="W59" s="58">
        <v>0.78</v>
      </c>
      <c r="X59" s="59" t="s">
        <v>3042</v>
      </c>
      <c r="Y59" s="61" cm="1">
        <f t="array" ref="Y59">1-SUM(IF(ISNUMBER(V59:W59), V59:W59, 0))</f>
        <v>0.21999999999999997</v>
      </c>
      <c r="Z59" s="59"/>
      <c r="AA59" s="60"/>
      <c r="AB59" s="59"/>
      <c r="AC59" s="60"/>
      <c r="AD59" s="59"/>
      <c r="AE59" s="60"/>
      <c r="AF59"/>
    </row>
    <row r="60" spans="1:32" s="50" customFormat="1" x14ac:dyDescent="0.3">
      <c r="A60" s="64">
        <v>52</v>
      </c>
      <c r="B60" s="50" t="s">
        <v>623</v>
      </c>
      <c r="C60" s="64">
        <v>390519</v>
      </c>
      <c r="D60" s="50" t="s">
        <v>624</v>
      </c>
      <c r="E60" s="48" t="s">
        <v>2938</v>
      </c>
      <c r="F60" s="56">
        <f>INDEX(prodcom_data[PRODQNT + IMPQNT - EU27 - 2022], MATCH(B60, prodcom_data[product], 0))</f>
        <v>250743096</v>
      </c>
      <c r="G60" s="54">
        <f t="shared" si="0"/>
        <v>0.250743096</v>
      </c>
      <c r="H60" s="96">
        <f>INDEX(prodcom_data[Local production share of available quantity (PRODQNT + IMPQNT) - EU27 - 2022], MATCH(B60, prodcom_data[product], 0))</f>
        <v>0.79762913990660789</v>
      </c>
      <c r="I60" s="49" t="s">
        <v>2673</v>
      </c>
      <c r="J60" s="49"/>
      <c r="K60" s="79" t="s">
        <v>2939</v>
      </c>
      <c r="L60" s="79">
        <v>86.08905</v>
      </c>
      <c r="M60" s="80" t="s">
        <v>2924</v>
      </c>
      <c r="N60" s="72">
        <f>M60*'Split Polyamides &amp; Isocyanates'!$C$37/L60</f>
        <v>0.55807329735895561</v>
      </c>
      <c r="O60" s="81" t="s">
        <v>2940</v>
      </c>
      <c r="P60" s="59" t="s">
        <v>3035</v>
      </c>
      <c r="Q60" s="58">
        <v>0.87</v>
      </c>
      <c r="R60" s="59" t="s">
        <v>3042</v>
      </c>
      <c r="S60" s="61" cm="1">
        <f t="array" ref="S60">1-SUM(IF(ISNUMBER(P60:Q60), P60:Q60, 0))</f>
        <v>0.13</v>
      </c>
      <c r="T60" s="59"/>
      <c r="U60" s="63"/>
      <c r="V60" s="59" t="s">
        <v>3035</v>
      </c>
      <c r="W60" s="58">
        <v>0.87</v>
      </c>
      <c r="X60" s="59" t="s">
        <v>3042</v>
      </c>
      <c r="Y60" s="61" cm="1">
        <f t="array" ref="Y60">1-SUM(IF(ISNUMBER(V60:W60), V60:W60, 0))</f>
        <v>0.13</v>
      </c>
      <c r="Z60" s="59"/>
      <c r="AA60" s="60"/>
      <c r="AB60" s="59"/>
      <c r="AC60" s="60"/>
      <c r="AD60" s="59"/>
      <c r="AE60" s="60"/>
      <c r="AF60"/>
    </row>
    <row r="61" spans="1:32" s="50" customFormat="1" x14ac:dyDescent="0.3">
      <c r="A61" s="64">
        <v>53</v>
      </c>
      <c r="B61" s="50" t="s">
        <v>208</v>
      </c>
      <c r="C61" s="64">
        <v>291524</v>
      </c>
      <c r="D61" s="50" t="s">
        <v>209</v>
      </c>
      <c r="E61" s="48" t="s">
        <v>209</v>
      </c>
      <c r="F61" s="56">
        <f>INDEX(prodcom_data[PRODQNT + IMPQNT - EU27 - 2022], MATCH(B61, prodcom_data[product], 0))</f>
        <v>215273632</v>
      </c>
      <c r="G61" s="54">
        <f t="shared" si="0"/>
        <v>0.21527363199999999</v>
      </c>
      <c r="H61" s="96">
        <f>INDEX(prodcom_data[Local production share of available quantity (PRODQNT + IMPQNT) - EU27 - 2022], MATCH(B61, prodcom_data[product], 0))</f>
        <v>1.1148601794389756E-2</v>
      </c>
      <c r="I61" s="49" t="s">
        <v>3083</v>
      </c>
      <c r="J61" s="49"/>
      <c r="K61" s="79" t="s">
        <v>3088</v>
      </c>
      <c r="L61" s="79">
        <v>102.09</v>
      </c>
      <c r="M61" s="80" t="s">
        <v>2924</v>
      </c>
      <c r="N61" s="72">
        <f>M61*'Split Polyamides &amp; Isocyanates'!$C$37/L61</f>
        <v>0.47060436869428929</v>
      </c>
      <c r="O61" s="81" t="s">
        <v>3089</v>
      </c>
      <c r="P61" s="59" t="s">
        <v>3041</v>
      </c>
      <c r="Q61" s="58">
        <v>1</v>
      </c>
      <c r="R61" s="59"/>
      <c r="S61" s="59"/>
      <c r="T61" s="59"/>
      <c r="U61" s="63"/>
      <c r="V61" s="59" t="s">
        <v>3041</v>
      </c>
      <c r="W61" s="58">
        <v>1</v>
      </c>
      <c r="X61" s="59"/>
      <c r="Y61" s="59"/>
      <c r="Z61" s="59"/>
      <c r="AA61" s="60"/>
      <c r="AB61" s="59"/>
      <c r="AC61" s="60"/>
      <c r="AD61" s="59"/>
      <c r="AE61" s="60"/>
      <c r="AF61"/>
    </row>
    <row r="62" spans="1:32" x14ac:dyDescent="0.3">
      <c r="A62" s="64">
        <v>54</v>
      </c>
      <c r="B62" s="65" t="s">
        <v>345</v>
      </c>
      <c r="C62" s="64" t="s">
        <v>2828</v>
      </c>
      <c r="D62" s="52" t="s">
        <v>3009</v>
      </c>
      <c r="E62" s="48" t="s">
        <v>3010</v>
      </c>
      <c r="F62" s="56">
        <f>'Split Polyamides &amp; Isocyanates'!C32*('Split Polyamides &amp; Isocyanates'!C29/SUM('Split Polyamides &amp; Isocyanates'!$C$28:$C$29))</f>
        <v>242141968.15384617</v>
      </c>
      <c r="G62" s="54">
        <f t="shared" si="0"/>
        <v>0.24214196815384617</v>
      </c>
      <c r="H62" s="96">
        <f>INDEX(prodcom_data[Local production share of available quantity (PRODQNT + IMPQNT) - EU27 - 2022], MATCH(B62, prodcom_data[product], 0))</f>
        <v>0.88632047658515611</v>
      </c>
      <c r="I62" s="48" t="s">
        <v>3011</v>
      </c>
      <c r="J62" s="49" t="s">
        <v>2671</v>
      </c>
      <c r="K62" s="79" t="s">
        <v>3012</v>
      </c>
      <c r="L62" s="79">
        <v>174.16</v>
      </c>
      <c r="M62" s="80" t="s">
        <v>2973</v>
      </c>
      <c r="N62" s="72">
        <f>M62*'Split Polyamides &amp; Isocyanates'!$C$37/L62</f>
        <v>0.6206878732200275</v>
      </c>
      <c r="O62" s="81" t="s">
        <v>3013</v>
      </c>
      <c r="P62" s="59" t="s">
        <v>3035</v>
      </c>
      <c r="Q62" s="58">
        <v>0.88</v>
      </c>
      <c r="R62" s="59" t="s">
        <v>3042</v>
      </c>
      <c r="S62" s="61" cm="1">
        <f t="array" ref="S62">1-SUM(IF(ISNUMBER(P62:Q62), P62:Q62, 0))</f>
        <v>0.12</v>
      </c>
      <c r="T62" s="59"/>
      <c r="U62" s="63"/>
      <c r="V62" s="59" t="s">
        <v>3035</v>
      </c>
      <c r="W62" s="58">
        <v>0.88</v>
      </c>
      <c r="X62" s="59" t="s">
        <v>3042</v>
      </c>
      <c r="Y62" s="61" cm="1">
        <f t="array" ref="Y62">1-SUM(IF(ISNUMBER(V62:W62), V62:W62, 0))</f>
        <v>0.12</v>
      </c>
      <c r="Z62" s="59"/>
      <c r="AA62" s="60"/>
      <c r="AB62" s="59"/>
      <c r="AC62" s="60"/>
      <c r="AD62" s="59"/>
      <c r="AE62" s="60"/>
    </row>
    <row r="63" spans="1:32" x14ac:dyDescent="0.3">
      <c r="A63" s="64">
        <v>55</v>
      </c>
      <c r="B63" s="65" t="s">
        <v>345</v>
      </c>
      <c r="C63" s="64" t="s">
        <v>2828</v>
      </c>
      <c r="D63" s="52" t="s">
        <v>3014</v>
      </c>
      <c r="E63" s="48" t="s">
        <v>3015</v>
      </c>
      <c r="F63" s="56">
        <f>'Split Polyamides &amp; Isocyanates'!C32*('Split Polyamides &amp; Isocyanates'!C28/SUM('Split Polyamides &amp; Isocyanates'!$C$28:$C$29))</f>
        <v>807139893.84615386</v>
      </c>
      <c r="G63" s="54">
        <f t="shared" si="0"/>
        <v>0.80713989384615381</v>
      </c>
      <c r="H63" s="96">
        <f>INDEX(prodcom_data[Local production share of available quantity (PRODQNT + IMPQNT) - EU27 - 2022], MATCH(B63, prodcom_data[product], 0))</f>
        <v>0.88632047658515611</v>
      </c>
      <c r="I63" s="48" t="s">
        <v>3016</v>
      </c>
      <c r="J63" s="49" t="s">
        <v>2671</v>
      </c>
      <c r="K63" s="79" t="s">
        <v>3017</v>
      </c>
      <c r="L63" s="79">
        <v>250.25</v>
      </c>
      <c r="M63" s="80" t="s">
        <v>2958</v>
      </c>
      <c r="N63" s="72">
        <f>M63*'Split Polyamides &amp; Isocyanates'!$C$37/L63</f>
        <v>0.71994005994005994</v>
      </c>
      <c r="O63" s="81" t="s">
        <v>3018</v>
      </c>
      <c r="P63" s="59" t="s">
        <v>3035</v>
      </c>
      <c r="Q63" s="58">
        <v>0.88</v>
      </c>
      <c r="R63" s="59" t="s">
        <v>3042</v>
      </c>
      <c r="S63" s="61" cm="1">
        <f t="array" ref="S63">1-SUM(IF(ISNUMBER(P63:Q63), P63:Q63, 0))</f>
        <v>0.12</v>
      </c>
      <c r="T63" s="59"/>
      <c r="U63" s="63"/>
      <c r="V63" s="59" t="s">
        <v>3035</v>
      </c>
      <c r="W63" s="58">
        <v>0.88</v>
      </c>
      <c r="X63" s="59" t="s">
        <v>3042</v>
      </c>
      <c r="Y63" s="61" cm="1">
        <f t="array" ref="Y63">1-SUM(IF(ISNUMBER(V63:W63), V63:W63, 0))</f>
        <v>0.12</v>
      </c>
      <c r="Z63" s="59"/>
      <c r="AA63" s="60"/>
      <c r="AB63" s="59"/>
      <c r="AC63" s="60"/>
      <c r="AD63" s="59"/>
      <c r="AE63" s="60"/>
    </row>
    <row r="64" spans="1:32" x14ac:dyDescent="0.3">
      <c r="A64" s="64">
        <v>56</v>
      </c>
      <c r="B64" s="65" t="s">
        <v>634</v>
      </c>
      <c r="C64" s="64" t="s">
        <v>2818</v>
      </c>
      <c r="D64" s="52" t="s">
        <v>3019</v>
      </c>
      <c r="E64" s="48" t="s">
        <v>3020</v>
      </c>
      <c r="F64" s="56">
        <f>'Split Polyamides &amp; Isocyanates'!C6*('Split Polyamides &amp; Isocyanates'!C24/('Split Polyamides &amp; Isocyanates'!C15+'Split Polyamides &amp; Isocyanates'!C24))</f>
        <v>1089108418.3783784</v>
      </c>
      <c r="G64" s="54">
        <f t="shared" si="0"/>
        <v>1.0891084183783784</v>
      </c>
      <c r="H64" s="96">
        <f>INDEX(prodcom_data[Local production share of available quantity (PRODQNT + IMPQNT) - EU27 - 2022], MATCH(B64, prodcom_data[product], 0))</f>
        <v>0.87748442629671652</v>
      </c>
      <c r="I64" s="48" t="s">
        <v>3021</v>
      </c>
      <c r="J64" s="49" t="s">
        <v>2661</v>
      </c>
      <c r="K64" s="79" t="s">
        <v>3022</v>
      </c>
      <c r="L64" s="79">
        <v>224.3</v>
      </c>
      <c r="M64" s="80" t="s">
        <v>2918</v>
      </c>
      <c r="N64" s="72">
        <f>M64*'Split Polyamides &amp; Isocyanates'!$C$37/L64</f>
        <v>0.64258582255907271</v>
      </c>
      <c r="O64" s="81" t="s">
        <v>3023</v>
      </c>
      <c r="P64" s="59" t="s">
        <v>3035</v>
      </c>
      <c r="Q64" s="58">
        <v>0.91</v>
      </c>
      <c r="R64" s="59" t="s">
        <v>3042</v>
      </c>
      <c r="S64" s="61" cm="1">
        <f t="array" ref="S64">1-SUM(IF(ISNUMBER(P64:Q64), P64:Q64, 0))</f>
        <v>8.9999999999999969E-2</v>
      </c>
      <c r="T64" s="59"/>
      <c r="U64" s="63"/>
      <c r="V64" s="59" t="s">
        <v>3035</v>
      </c>
      <c r="W64" s="58">
        <v>0.91</v>
      </c>
      <c r="X64" s="59" t="s">
        <v>3042</v>
      </c>
      <c r="Y64" s="61" cm="1">
        <f t="array" ref="Y64">1-SUM(IF(ISNUMBER(V64:W64), V64:W64, 0))</f>
        <v>8.9999999999999969E-2</v>
      </c>
      <c r="Z64" s="59"/>
      <c r="AA64" s="60"/>
      <c r="AB64" s="59"/>
      <c r="AC64" s="60"/>
      <c r="AD64" s="59"/>
      <c r="AE64" s="60"/>
    </row>
    <row r="65" spans="1:31" x14ac:dyDescent="0.3">
      <c r="A65" s="64">
        <v>57</v>
      </c>
      <c r="B65" s="65" t="s">
        <v>634</v>
      </c>
      <c r="C65" s="64" t="s">
        <v>2818</v>
      </c>
      <c r="D65" s="52" t="s">
        <v>3024</v>
      </c>
      <c r="E65" s="48" t="s">
        <v>3025</v>
      </c>
      <c r="F65" s="56">
        <f>'Split Polyamides &amp; Isocyanates'!C6*('Split Polyamides &amp; Isocyanates'!C15/('Split Polyamides &amp; Isocyanates'!C15+'Split Polyamides &amp; Isocyanates'!C24))</f>
        <v>1281304021.6216214</v>
      </c>
      <c r="G65" s="54">
        <f t="shared" si="0"/>
        <v>1.2813040216216214</v>
      </c>
      <c r="H65" s="96">
        <f>INDEX(prodcom_data[Local production share of available quantity (PRODQNT + IMPQNT) - EU27 - 2022], MATCH(B65, prodcom_data[product], 0))</f>
        <v>0.87748442629671652</v>
      </c>
      <c r="I65" s="48" t="s">
        <v>3026</v>
      </c>
      <c r="J65" s="49" t="s">
        <v>2661</v>
      </c>
      <c r="K65" s="79" t="s">
        <v>3027</v>
      </c>
      <c r="L65" s="79">
        <v>582.79999999999995</v>
      </c>
      <c r="M65" s="80" t="s">
        <v>3028</v>
      </c>
      <c r="N65" s="72">
        <f>M65*'Split Polyamides &amp; Isocyanates'!$C$37/L65</f>
        <v>0.61827385037748805</v>
      </c>
      <c r="O65" s="81" t="s">
        <v>3029</v>
      </c>
      <c r="P65" s="59" t="s">
        <v>3035</v>
      </c>
      <c r="Q65" s="58">
        <v>0.91</v>
      </c>
      <c r="R65" s="59" t="s">
        <v>3042</v>
      </c>
      <c r="S65" s="61" cm="1">
        <f t="array" ref="S65">1-SUM(IF(ISNUMBER(P65:Q65), P65:Q65, 0))</f>
        <v>8.9999999999999969E-2</v>
      </c>
      <c r="T65" s="59"/>
      <c r="U65" s="63"/>
      <c r="V65" s="59" t="s">
        <v>3035</v>
      </c>
      <c r="W65" s="58">
        <v>0.91</v>
      </c>
      <c r="X65" s="59" t="s">
        <v>3042</v>
      </c>
      <c r="Y65" s="61" cm="1">
        <f t="array" ref="Y65">1-SUM(IF(ISNUMBER(V65:W65), V65:W65, 0))</f>
        <v>8.9999999999999969E-2</v>
      </c>
      <c r="Z65" s="59"/>
      <c r="AA65" s="60"/>
      <c r="AB65" s="59"/>
      <c r="AC65" s="60"/>
      <c r="AD65" s="59"/>
      <c r="AE65" s="60"/>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8DADF-14EE-46ED-AB80-15A77CD37A67}">
  <sheetPr codeName="Sheet7"/>
  <dimension ref="A1:I149"/>
  <sheetViews>
    <sheetView zoomScaleNormal="100" workbookViewId="0"/>
  </sheetViews>
  <sheetFormatPr defaultRowHeight="14.4" x14ac:dyDescent="0.3"/>
  <cols>
    <col min="1" max="1" width="8.88671875" style="50"/>
    <col min="2" max="2" width="41.21875" style="50" customWidth="1"/>
    <col min="3" max="4" width="33.6640625" style="50" customWidth="1"/>
    <col min="5" max="6" width="14.88671875" style="50" customWidth="1"/>
    <col min="7" max="7" width="12" style="50" bestFit="1" customWidth="1"/>
    <col min="8" max="8" width="34.6640625" style="50" customWidth="1"/>
    <col min="9" max="16384" width="8.88671875" style="50"/>
  </cols>
  <sheetData>
    <row r="1" spans="1:9" x14ac:dyDescent="0.3">
      <c r="A1" s="50" t="s">
        <v>3057</v>
      </c>
      <c r="B1" s="50" t="s">
        <v>3105</v>
      </c>
    </row>
    <row r="2" spans="1:9" x14ac:dyDescent="0.3">
      <c r="A2" s="50" t="s">
        <v>3059</v>
      </c>
      <c r="B2" s="50" t="s">
        <v>3106</v>
      </c>
    </row>
    <row r="4" spans="1:9" ht="43.2" x14ac:dyDescent="0.3">
      <c r="A4" s="99" t="s">
        <v>1</v>
      </c>
      <c r="B4" s="99" t="s">
        <v>2</v>
      </c>
      <c r="C4" s="99" t="s">
        <v>704</v>
      </c>
      <c r="D4" s="99" t="s">
        <v>705</v>
      </c>
      <c r="E4" s="99" t="s">
        <v>3102</v>
      </c>
      <c r="F4" s="99" t="s">
        <v>3103</v>
      </c>
    </row>
    <row r="5" spans="1:9" x14ac:dyDescent="0.3">
      <c r="A5" s="100" t="s">
        <v>614</v>
      </c>
      <c r="B5" s="100" t="s">
        <v>615</v>
      </c>
      <c r="C5" s="102" cm="1">
        <f t="array" aca="1" ref="C5:C147" ca="1">_xlfn.LET(_xlpm.x, 'Filtered PRODCOM data'!AB6:AB237, _xlfn._xlws.FILTER(_xlpm.x,SUBTOTAL(103,OFFSET(_xlpm.x,_xlfn.SEQUENCE(ROWS(_xlpm.x))-1,0,1))))</f>
        <v>11040770827</v>
      </c>
      <c r="D5" s="102" cm="1">
        <f t="array" aca="1" ref="D5:D147" ca="1">_xlfn.LET(_xlpm.x, 'Filtered PRODCOM data'!AD6:AD237, _xlfn._xlws.FILTER(_xlpm.x,SUBTOTAL(103,OFFSET(_xlpm.x,_xlfn.SEQUENCE(ROWS(_xlpm.x))-1,0,1))))</f>
        <v>11059816493</v>
      </c>
      <c r="E5" s="103">
        <f ca="1">C5/C$149</f>
        <v>8.7364534475533703E-2</v>
      </c>
      <c r="F5" s="103">
        <f ca="1">D5/D$149</f>
        <v>9.2101148380531989E-2</v>
      </c>
      <c r="G5"/>
      <c r="H5" s="50" t="s">
        <v>3104</v>
      </c>
      <c r="I5" s="104">
        <f ca="1">PEARSON(E5:E147, F5:F147)</f>
        <v>0.99350674883878221</v>
      </c>
    </row>
    <row r="6" spans="1:9" x14ac:dyDescent="0.3">
      <c r="A6" s="101" t="s">
        <v>8</v>
      </c>
      <c r="B6" s="101" t="s">
        <v>9</v>
      </c>
      <c r="C6" s="102">
        <f ca="1"/>
        <v>11236268617</v>
      </c>
      <c r="D6" s="102">
        <f ca="1"/>
        <v>10337493766</v>
      </c>
      <c r="E6" s="103">
        <f t="shared" ref="E6:F69" ca="1" si="0">C6/C$149</f>
        <v>8.891148927443035E-2</v>
      </c>
      <c r="F6" s="103">
        <f t="shared" ca="1" si="0"/>
        <v>8.6085971483142801E-2</v>
      </c>
    </row>
    <row r="7" spans="1:9" x14ac:dyDescent="0.3">
      <c r="A7" s="100" t="s">
        <v>11</v>
      </c>
      <c r="B7" s="100" t="s">
        <v>12</v>
      </c>
      <c r="C7" s="102">
        <f ca="1"/>
        <v>10638016027</v>
      </c>
      <c r="D7" s="102">
        <f ca="1"/>
        <v>9081741202</v>
      </c>
      <c r="E7" s="103">
        <f t="shared" ca="1" si="0"/>
        <v>8.4177575325567577E-2</v>
      </c>
      <c r="F7" s="103">
        <f t="shared" ca="1" si="0"/>
        <v>7.5628632222640713E-2</v>
      </c>
    </row>
    <row r="8" spans="1:9" x14ac:dyDescent="0.3">
      <c r="A8" s="101" t="s">
        <v>539</v>
      </c>
      <c r="B8" s="101" t="s">
        <v>540</v>
      </c>
      <c r="C8" s="102">
        <f ca="1"/>
        <v>7504219963</v>
      </c>
      <c r="D8" s="102">
        <f ca="1"/>
        <v>7628879471</v>
      </c>
      <c r="E8" s="103">
        <f t="shared" ca="1" si="0"/>
        <v>5.9380155058217275E-2</v>
      </c>
      <c r="F8" s="103">
        <f t="shared" ca="1" si="0"/>
        <v>6.3529856989984812E-2</v>
      </c>
    </row>
    <row r="9" spans="1:9" x14ac:dyDescent="0.3">
      <c r="A9" s="100" t="s">
        <v>111</v>
      </c>
      <c r="B9" s="100" t="s">
        <v>112</v>
      </c>
      <c r="C9" s="102">
        <f ca="1"/>
        <v>7704716635</v>
      </c>
      <c r="D9" s="102">
        <f ca="1"/>
        <v>6904732058</v>
      </c>
      <c r="E9" s="103">
        <f t="shared" ca="1" si="0"/>
        <v>6.0966665519093612E-2</v>
      </c>
      <c r="F9" s="103">
        <f t="shared" ca="1" si="0"/>
        <v>5.749948493306109E-2</v>
      </c>
    </row>
    <row r="10" spans="1:9" x14ac:dyDescent="0.3">
      <c r="A10" s="101" t="s">
        <v>34</v>
      </c>
      <c r="B10" s="101" t="s">
        <v>35</v>
      </c>
      <c r="C10" s="102">
        <f ca="1"/>
        <v>6436740843</v>
      </c>
      <c r="D10" s="102">
        <f ca="1"/>
        <v>6234476067</v>
      </c>
      <c r="E10" s="103">
        <f t="shared" ca="1" si="0"/>
        <v>5.0933297692689207E-2</v>
      </c>
      <c r="F10" s="103">
        <f t="shared" ca="1" si="0"/>
        <v>5.1917896258501919E-2</v>
      </c>
    </row>
    <row r="11" spans="1:9" x14ac:dyDescent="0.3">
      <c r="A11" s="100" t="s">
        <v>563</v>
      </c>
      <c r="B11" s="100" t="s">
        <v>564</v>
      </c>
      <c r="C11" s="102">
        <f ca="1"/>
        <v>5458423542</v>
      </c>
      <c r="D11" s="102">
        <f ca="1"/>
        <v>5008047468</v>
      </c>
      <c r="E11" s="103">
        <f t="shared" ca="1" si="0"/>
        <v>4.3191969038152721E-2</v>
      </c>
      <c r="F11" s="103">
        <f t="shared" ca="1" si="0"/>
        <v>4.1704753712590879E-2</v>
      </c>
    </row>
    <row r="12" spans="1:9" x14ac:dyDescent="0.3">
      <c r="A12" s="101" t="s">
        <v>536</v>
      </c>
      <c r="B12" s="101" t="s">
        <v>537</v>
      </c>
      <c r="C12" s="102">
        <f ca="1"/>
        <v>4651264479</v>
      </c>
      <c r="D12" s="102">
        <f ca="1"/>
        <v>4474213876</v>
      </c>
      <c r="E12" s="103">
        <f t="shared" ca="1" si="0"/>
        <v>3.6804998699609438E-2</v>
      </c>
      <c r="F12" s="103">
        <f t="shared" ca="1" si="0"/>
        <v>3.7259229060493525E-2</v>
      </c>
    </row>
    <row r="13" spans="1:9" x14ac:dyDescent="0.3">
      <c r="A13" s="100" t="s">
        <v>533</v>
      </c>
      <c r="B13" s="100" t="s">
        <v>534</v>
      </c>
      <c r="C13" s="102">
        <f ca="1"/>
        <v>2630915453</v>
      </c>
      <c r="D13" s="102">
        <f ca="1"/>
        <v>4238710053</v>
      </c>
      <c r="E13" s="103">
        <f t="shared" ca="1" si="0"/>
        <v>2.0818175415229356E-2</v>
      </c>
      <c r="F13" s="103">
        <f t="shared" ca="1" si="0"/>
        <v>3.5298059762609267E-2</v>
      </c>
    </row>
    <row r="14" spans="1:9" x14ac:dyDescent="0.3">
      <c r="A14" s="101" t="s">
        <v>49</v>
      </c>
      <c r="B14" s="101" t="s">
        <v>50</v>
      </c>
      <c r="C14" s="102">
        <f ca="1"/>
        <v>3661349747</v>
      </c>
      <c r="D14" s="102">
        <f ca="1"/>
        <v>3627976392</v>
      </c>
      <c r="E14" s="103">
        <f t="shared" ca="1" si="0"/>
        <v>2.8971900713356608E-2</v>
      </c>
      <c r="F14" s="103">
        <f t="shared" ca="1" si="0"/>
        <v>3.0212146124860582E-2</v>
      </c>
    </row>
    <row r="15" spans="1:9" x14ac:dyDescent="0.3">
      <c r="A15" s="100" t="s">
        <v>263</v>
      </c>
      <c r="B15" s="100" t="s">
        <v>264</v>
      </c>
      <c r="C15" s="102">
        <f ca="1"/>
        <v>3991929739</v>
      </c>
      <c r="D15" s="102">
        <f ca="1"/>
        <v>3491283735</v>
      </c>
      <c r="E15" s="103">
        <f t="shared" ca="1" si="0"/>
        <v>3.1587747700903689E-2</v>
      </c>
      <c r="F15" s="103">
        <f t="shared" ca="1" si="0"/>
        <v>2.9073831516037339E-2</v>
      </c>
    </row>
    <row r="16" spans="1:9" x14ac:dyDescent="0.3">
      <c r="A16" s="101" t="s">
        <v>599</v>
      </c>
      <c r="B16" s="101" t="s">
        <v>600</v>
      </c>
      <c r="C16" s="102">
        <f ca="1"/>
        <v>3608586975</v>
      </c>
      <c r="D16" s="102">
        <f ca="1"/>
        <v>3349184970</v>
      </c>
      <c r="E16" s="103">
        <f t="shared" ca="1" si="0"/>
        <v>2.8554394084005508E-2</v>
      </c>
      <c r="F16" s="103">
        <f t="shared" ca="1" si="0"/>
        <v>2.7890497285470429E-2</v>
      </c>
    </row>
    <row r="17" spans="1:6" x14ac:dyDescent="0.3">
      <c r="A17" s="100" t="s">
        <v>17</v>
      </c>
      <c r="B17" s="100" t="s">
        <v>18</v>
      </c>
      <c r="C17" s="102">
        <f ca="1"/>
        <v>2770747674</v>
      </c>
      <c r="D17" s="102">
        <f ca="1"/>
        <v>2808940257</v>
      </c>
      <c r="E17" s="103">
        <f t="shared" ca="1" si="0"/>
        <v>2.1924654037398565E-2</v>
      </c>
      <c r="F17" s="103">
        <f t="shared" ca="1" si="0"/>
        <v>2.3391583718025317E-2</v>
      </c>
    </row>
    <row r="18" spans="1:6" x14ac:dyDescent="0.3">
      <c r="A18" s="101" t="s">
        <v>634</v>
      </c>
      <c r="B18" s="101" t="s">
        <v>635</v>
      </c>
      <c r="C18" s="102">
        <f ca="1"/>
        <v>2102028618</v>
      </c>
      <c r="D18" s="102">
        <f ca="1"/>
        <v>2370412440</v>
      </c>
      <c r="E18" s="103">
        <f t="shared" ca="1" si="0"/>
        <v>1.6633145868468216E-2</v>
      </c>
      <c r="F18" s="103">
        <f t="shared" ca="1" si="0"/>
        <v>1.9739722444552035E-2</v>
      </c>
    </row>
    <row r="19" spans="1:6" x14ac:dyDescent="0.3">
      <c r="A19" s="100" t="s">
        <v>14</v>
      </c>
      <c r="B19" s="100" t="s">
        <v>15</v>
      </c>
      <c r="C19" s="102">
        <f ca="1"/>
        <v>1674679674</v>
      </c>
      <c r="D19" s="102">
        <f ca="1"/>
        <v>2000046666</v>
      </c>
      <c r="E19" s="103">
        <f t="shared" ca="1" si="0"/>
        <v>1.3251575674123767E-2</v>
      </c>
      <c r="F19" s="103">
        <f t="shared" ca="1" si="0"/>
        <v>1.6655483829215674E-2</v>
      </c>
    </row>
    <row r="20" spans="1:6" x14ac:dyDescent="0.3">
      <c r="A20" s="101" t="s">
        <v>548</v>
      </c>
      <c r="B20" s="101" t="s">
        <v>549</v>
      </c>
      <c r="C20" s="102">
        <f ca="1"/>
        <v>1746705493</v>
      </c>
      <c r="D20" s="102">
        <f ca="1"/>
        <v>1864065177</v>
      </c>
      <c r="E20" s="103">
        <f t="shared" ca="1" si="0"/>
        <v>1.3821508901228333E-2</v>
      </c>
      <c r="F20" s="103">
        <f t="shared" ca="1" si="0"/>
        <v>1.5523091505769674E-2</v>
      </c>
    </row>
    <row r="21" spans="1:6" x14ac:dyDescent="0.3">
      <c r="A21" s="100" t="s">
        <v>132</v>
      </c>
      <c r="B21" s="100" t="s">
        <v>133</v>
      </c>
      <c r="C21" s="102">
        <f ca="1"/>
        <v>1922839638</v>
      </c>
      <c r="D21" s="102">
        <f ca="1"/>
        <v>1795747967</v>
      </c>
      <c r="E21" s="103">
        <f t="shared" ca="1" si="0"/>
        <v>1.5215241080284199E-2</v>
      </c>
      <c r="F21" s="103">
        <f t="shared" ca="1" si="0"/>
        <v>1.4954176687053072E-2</v>
      </c>
    </row>
    <row r="22" spans="1:6" x14ac:dyDescent="0.3">
      <c r="A22" s="101" t="s">
        <v>476</v>
      </c>
      <c r="B22" s="101" t="s">
        <v>477</v>
      </c>
      <c r="C22" s="102">
        <f ca="1"/>
        <v>1712772337</v>
      </c>
      <c r="D22" s="102">
        <f ca="1"/>
        <v>1650938177</v>
      </c>
      <c r="E22" s="103">
        <f t="shared" ca="1" si="0"/>
        <v>1.3552999172724966E-2</v>
      </c>
      <c r="F22" s="103">
        <f t="shared" ca="1" si="0"/>
        <v>1.3748266266732352E-2</v>
      </c>
    </row>
    <row r="23" spans="1:6" x14ac:dyDescent="0.3">
      <c r="A23" s="100" t="s">
        <v>551</v>
      </c>
      <c r="B23" s="100" t="s">
        <v>552</v>
      </c>
      <c r="C23" s="102">
        <f ca="1"/>
        <v>1937142969</v>
      </c>
      <c r="D23" s="102">
        <f ca="1"/>
        <v>1592476459</v>
      </c>
      <c r="E23" s="103">
        <f t="shared" ca="1" si="0"/>
        <v>1.5328421932766761E-2</v>
      </c>
      <c r="F23" s="103">
        <f t="shared" ca="1" si="0"/>
        <v>1.3261423526845418E-2</v>
      </c>
    </row>
    <row r="24" spans="1:6" x14ac:dyDescent="0.3">
      <c r="A24" s="101" t="s">
        <v>72</v>
      </c>
      <c r="B24" s="101" t="s">
        <v>73</v>
      </c>
      <c r="C24" s="102">
        <f ca="1"/>
        <v>1418388518</v>
      </c>
      <c r="D24" s="102">
        <f ca="1"/>
        <v>1202939382</v>
      </c>
      <c r="E24" s="103">
        <f t="shared" ca="1" si="0"/>
        <v>1.1223568944794669E-2</v>
      </c>
      <c r="F24" s="103">
        <f t="shared" ca="1" si="0"/>
        <v>1.0017534973070322E-2</v>
      </c>
    </row>
    <row r="25" spans="1:6" x14ac:dyDescent="0.3">
      <c r="A25" s="100" t="s">
        <v>43</v>
      </c>
      <c r="B25" s="100" t="s">
        <v>44</v>
      </c>
      <c r="C25" s="102">
        <f ca="1"/>
        <v>1361980725</v>
      </c>
      <c r="D25" s="102">
        <f ca="1"/>
        <v>1191905947</v>
      </c>
      <c r="E25" s="103">
        <f t="shared" ca="1" si="0"/>
        <v>1.0777219622500448E-2</v>
      </c>
      <c r="F25" s="103">
        <f t="shared" ca="1" si="0"/>
        <v>9.9256535178287152E-3</v>
      </c>
    </row>
    <row r="26" spans="1:6" x14ac:dyDescent="0.3">
      <c r="A26" s="101" t="s">
        <v>37</v>
      </c>
      <c r="B26" s="101" t="s">
        <v>38</v>
      </c>
      <c r="C26" s="102">
        <f ca="1"/>
        <v>1329892936</v>
      </c>
      <c r="D26" s="102">
        <f ca="1"/>
        <v>1120381615</v>
      </c>
      <c r="E26" s="103">
        <f t="shared" ca="1" si="0"/>
        <v>1.0523312101706822E-2</v>
      </c>
      <c r="F26" s="103">
        <f t="shared" ca="1" si="0"/>
        <v>9.3300312379726458E-3</v>
      </c>
    </row>
    <row r="27" spans="1:6" x14ac:dyDescent="0.3">
      <c r="A27" s="100" t="s">
        <v>420</v>
      </c>
      <c r="B27" s="100" t="s">
        <v>421</v>
      </c>
      <c r="C27" s="102">
        <f ca="1"/>
        <v>1391723012</v>
      </c>
      <c r="D27" s="102">
        <f ca="1"/>
        <v>1090852807</v>
      </c>
      <c r="E27" s="103">
        <f t="shared" ca="1" si="0"/>
        <v>1.1012567416482216E-2</v>
      </c>
      <c r="F27" s="103">
        <f t="shared" ca="1" si="0"/>
        <v>9.0841286835469399E-3</v>
      </c>
    </row>
    <row r="28" spans="1:6" x14ac:dyDescent="0.3">
      <c r="A28" s="101" t="s">
        <v>345</v>
      </c>
      <c r="B28" s="101" t="s">
        <v>346</v>
      </c>
      <c r="C28" s="102">
        <f ca="1"/>
        <v>1166925937</v>
      </c>
      <c r="D28" s="102">
        <f ca="1"/>
        <v>1049281862</v>
      </c>
      <c r="E28" s="103">
        <f t="shared" ca="1" si="0"/>
        <v>9.2337702548919119E-3</v>
      </c>
      <c r="F28" s="103">
        <f t="shared" ca="1" si="0"/>
        <v>8.7379446599524062E-3</v>
      </c>
    </row>
    <row r="29" spans="1:6" x14ac:dyDescent="0.3">
      <c r="A29" s="100" t="s">
        <v>387</v>
      </c>
      <c r="B29" s="100" t="s">
        <v>388</v>
      </c>
      <c r="C29" s="102">
        <f ca="1"/>
        <v>1011227633</v>
      </c>
      <c r="D29" s="102">
        <f ca="1"/>
        <v>931200527</v>
      </c>
      <c r="E29" s="103">
        <f t="shared" ca="1" si="0"/>
        <v>8.0017448772502133E-3</v>
      </c>
      <c r="F29" s="103">
        <f t="shared" ca="1" si="0"/>
        <v>7.7546167211308527E-3</v>
      </c>
    </row>
    <row r="30" spans="1:6" x14ac:dyDescent="0.3">
      <c r="A30" s="101" t="s">
        <v>620</v>
      </c>
      <c r="B30" s="101" t="s">
        <v>621</v>
      </c>
      <c r="C30" s="102">
        <f ca="1"/>
        <v>1083844066</v>
      </c>
      <c r="D30" s="102">
        <f ca="1"/>
        <v>914892768</v>
      </c>
      <c r="E30" s="103">
        <f t="shared" ca="1" si="0"/>
        <v>8.5763515748916858E-3</v>
      </c>
      <c r="F30" s="103">
        <f t="shared" ca="1" si="0"/>
        <v>7.6188130816795489E-3</v>
      </c>
    </row>
    <row r="31" spans="1:6" x14ac:dyDescent="0.3">
      <c r="A31" s="100" t="s">
        <v>205</v>
      </c>
      <c r="B31" s="100" t="s">
        <v>206</v>
      </c>
      <c r="C31" s="102">
        <f ca="1"/>
        <v>1257675114</v>
      </c>
      <c r="D31" s="102">
        <f ca="1"/>
        <v>888564975</v>
      </c>
      <c r="E31" s="103">
        <f t="shared" ca="1" si="0"/>
        <v>9.9518595737331655E-3</v>
      </c>
      <c r="F31" s="103">
        <f t="shared" ca="1" si="0"/>
        <v>7.3995671320600731E-3</v>
      </c>
    </row>
    <row r="32" spans="1:6" x14ac:dyDescent="0.3">
      <c r="A32" s="101" t="s">
        <v>473</v>
      </c>
      <c r="B32" s="101" t="s">
        <v>474</v>
      </c>
      <c r="C32" s="102">
        <f ca="1"/>
        <v>958122685</v>
      </c>
      <c r="D32" s="102">
        <f ca="1"/>
        <v>886759378</v>
      </c>
      <c r="E32" s="103">
        <f t="shared" ca="1" si="0"/>
        <v>7.5815306428399084E-3</v>
      </c>
      <c r="F32" s="103">
        <f t="shared" ca="1" si="0"/>
        <v>7.3845309370818204E-3</v>
      </c>
    </row>
    <row r="33" spans="1:6" x14ac:dyDescent="0.3">
      <c r="A33" s="100" t="s">
        <v>78</v>
      </c>
      <c r="B33" s="100" t="s">
        <v>79</v>
      </c>
      <c r="C33" s="102">
        <f ca="1"/>
        <v>914404936</v>
      </c>
      <c r="D33" s="102">
        <f ca="1"/>
        <v>882272543</v>
      </c>
      <c r="E33" s="103">
        <f t="shared" ca="1" si="0"/>
        <v>7.2355963915498624E-3</v>
      </c>
      <c r="F33" s="103">
        <f t="shared" ca="1" si="0"/>
        <v>7.3471666050103504E-3</v>
      </c>
    </row>
    <row r="34" spans="1:6" x14ac:dyDescent="0.3">
      <c r="A34" s="101" t="s">
        <v>293</v>
      </c>
      <c r="B34" s="101" t="s">
        <v>294</v>
      </c>
      <c r="C34" s="102">
        <f ca="1"/>
        <v>935192179</v>
      </c>
      <c r="D34" s="102">
        <f ca="1"/>
        <v>881884158</v>
      </c>
      <c r="E34" s="103">
        <f t="shared" ca="1" si="0"/>
        <v>7.40008380245451E-3</v>
      </c>
      <c r="F34" s="103">
        <f t="shared" ca="1" si="0"/>
        <v>7.3439323104326415E-3</v>
      </c>
    </row>
    <row r="35" spans="1:6" x14ac:dyDescent="0.3">
      <c r="A35" s="100" t="s">
        <v>602</v>
      </c>
      <c r="B35" s="100" t="s">
        <v>603</v>
      </c>
      <c r="C35" s="102">
        <f ca="1"/>
        <v>705247106</v>
      </c>
      <c r="D35" s="102">
        <f ca="1"/>
        <v>872335906</v>
      </c>
      <c r="E35" s="103">
        <f t="shared" ca="1" si="0"/>
        <v>5.5805510386315142E-3</v>
      </c>
      <c r="F35" s="103">
        <f t="shared" ca="1" si="0"/>
        <v>7.2644187873300379E-3</v>
      </c>
    </row>
    <row r="36" spans="1:6" x14ac:dyDescent="0.3">
      <c r="A36" s="101" t="s">
        <v>135</v>
      </c>
      <c r="B36" s="101" t="s">
        <v>136</v>
      </c>
      <c r="C36" s="102">
        <f ca="1"/>
        <v>718906452</v>
      </c>
      <c r="D36" s="102">
        <f ca="1"/>
        <v>848026699</v>
      </c>
      <c r="E36" s="103">
        <f t="shared" ca="1" si="0"/>
        <v>5.6886361010994304E-3</v>
      </c>
      <c r="F36" s="103">
        <f t="shared" ca="1" si="0"/>
        <v>7.0619827087262813E-3</v>
      </c>
    </row>
    <row r="37" spans="1:6" x14ac:dyDescent="0.3">
      <c r="A37" s="100" t="s">
        <v>557</v>
      </c>
      <c r="B37" s="100" t="s">
        <v>558</v>
      </c>
      <c r="C37" s="102">
        <f ca="1"/>
        <v>935915365</v>
      </c>
      <c r="D37" s="102">
        <f ca="1"/>
        <v>846217183</v>
      </c>
      <c r="E37" s="103">
        <f t="shared" ca="1" si="0"/>
        <v>7.4058063021983428E-3</v>
      </c>
      <c r="F37" s="103">
        <f t="shared" ca="1" si="0"/>
        <v>7.0469138780889532E-3</v>
      </c>
    </row>
    <row r="38" spans="1:6" x14ac:dyDescent="0.3">
      <c r="A38" s="101" t="s">
        <v>46</v>
      </c>
      <c r="B38" s="101" t="s">
        <v>47</v>
      </c>
      <c r="C38" s="102">
        <f ca="1"/>
        <v>969703945</v>
      </c>
      <c r="D38" s="102">
        <f ca="1"/>
        <v>821433537</v>
      </c>
      <c r="E38" s="103">
        <f t="shared" ca="1" si="0"/>
        <v>7.673172015022529E-3</v>
      </c>
      <c r="F38" s="103">
        <f t="shared" ca="1" si="0"/>
        <v>6.8405268861256342E-3</v>
      </c>
    </row>
    <row r="39" spans="1:6" x14ac:dyDescent="0.3">
      <c r="A39" s="100" t="s">
        <v>569</v>
      </c>
      <c r="B39" s="100" t="s">
        <v>570</v>
      </c>
      <c r="C39" s="102">
        <f ca="1"/>
        <v>796666774</v>
      </c>
      <c r="D39" s="102">
        <f ca="1"/>
        <v>790721030</v>
      </c>
      <c r="E39" s="103">
        <f t="shared" ca="1" si="0"/>
        <v>6.3039458868604245E-3</v>
      </c>
      <c r="F39" s="103">
        <f t="shared" ca="1" si="0"/>
        <v>6.5847670219239584E-3</v>
      </c>
    </row>
    <row r="40" spans="1:6" x14ac:dyDescent="0.3">
      <c r="A40" s="101" t="s">
        <v>55</v>
      </c>
      <c r="B40" s="101" t="s">
        <v>56</v>
      </c>
      <c r="C40" s="102">
        <f ca="1"/>
        <v>1358034437</v>
      </c>
      <c r="D40" s="102">
        <f ca="1"/>
        <v>778495527</v>
      </c>
      <c r="E40" s="103">
        <f t="shared" ca="1" si="0"/>
        <v>1.0745993033394616E-2</v>
      </c>
      <c r="F40" s="103">
        <f t="shared" ca="1" si="0"/>
        <v>6.4829585636604512E-3</v>
      </c>
    </row>
    <row r="41" spans="1:6" x14ac:dyDescent="0.3">
      <c r="A41" s="100" t="s">
        <v>332</v>
      </c>
      <c r="B41" s="100" t="s">
        <v>333</v>
      </c>
      <c r="C41" s="102">
        <f ca="1"/>
        <v>672193341</v>
      </c>
      <c r="D41" s="102">
        <f ca="1"/>
        <v>705069102</v>
      </c>
      <c r="E41" s="103">
        <f t="shared" ca="1" si="0"/>
        <v>5.3189998446852719E-3</v>
      </c>
      <c r="F41" s="103">
        <f t="shared" ca="1" si="0"/>
        <v>5.8714965137921524E-3</v>
      </c>
    </row>
    <row r="42" spans="1:6" x14ac:dyDescent="0.3">
      <c r="A42" s="101" t="s">
        <v>28</v>
      </c>
      <c r="B42" s="101" t="s">
        <v>29</v>
      </c>
      <c r="C42" s="102">
        <f ca="1"/>
        <v>1071520507</v>
      </c>
      <c r="D42" s="102">
        <f ca="1"/>
        <v>683315016</v>
      </c>
      <c r="E42" s="103">
        <f t="shared" ca="1" si="0"/>
        <v>8.4788364636746438E-3</v>
      </c>
      <c r="F42" s="103">
        <f t="shared" ca="1" si="0"/>
        <v>5.6903383269599423E-3</v>
      </c>
    </row>
    <row r="43" spans="1:6" x14ac:dyDescent="0.3">
      <c r="A43" s="100" t="s">
        <v>252</v>
      </c>
      <c r="B43" s="100" t="s">
        <v>253</v>
      </c>
      <c r="C43" s="102">
        <f ca="1"/>
        <v>467809488</v>
      </c>
      <c r="D43" s="102">
        <f ca="1"/>
        <v>667655569</v>
      </c>
      <c r="E43" s="103">
        <f t="shared" ca="1" si="0"/>
        <v>3.7017305025851136E-3</v>
      </c>
      <c r="F43" s="103">
        <f t="shared" ca="1" si="0"/>
        <v>5.5599335365534366E-3</v>
      </c>
    </row>
    <row r="44" spans="1:6" x14ac:dyDescent="0.3">
      <c r="A44" s="101" t="s">
        <v>114</v>
      </c>
      <c r="B44" s="101" t="s">
        <v>115</v>
      </c>
      <c r="C44" s="102">
        <f ca="1"/>
        <v>439330226</v>
      </c>
      <c r="D44" s="102">
        <f ca="1"/>
        <v>667347651</v>
      </c>
      <c r="E44" s="103">
        <f t="shared" ca="1" si="0"/>
        <v>3.4763769012992134E-3</v>
      </c>
      <c r="F44" s="103">
        <f t="shared" ca="1" si="0"/>
        <v>5.5573693347490951E-3</v>
      </c>
    </row>
    <row r="45" spans="1:6" x14ac:dyDescent="0.3">
      <c r="A45" s="100" t="s">
        <v>52</v>
      </c>
      <c r="B45" s="100" t="s">
        <v>53</v>
      </c>
      <c r="C45" s="102">
        <f ca="1"/>
        <v>739663058</v>
      </c>
      <c r="D45" s="102">
        <f ca="1"/>
        <v>642497260</v>
      </c>
      <c r="E45" s="103">
        <f t="shared" ca="1" si="0"/>
        <v>5.8528810844340595E-3</v>
      </c>
      <c r="F45" s="103">
        <f t="shared" ca="1" si="0"/>
        <v>5.3504265206206839E-3</v>
      </c>
    </row>
    <row r="46" spans="1:6" x14ac:dyDescent="0.3">
      <c r="A46" s="101" t="s">
        <v>220</v>
      </c>
      <c r="B46" s="101" t="s">
        <v>221</v>
      </c>
      <c r="C46" s="102">
        <f ca="1"/>
        <v>778454260</v>
      </c>
      <c r="D46" s="102">
        <f ca="1"/>
        <v>604861873</v>
      </c>
      <c r="E46" s="103">
        <f t="shared" ca="1" si="0"/>
        <v>6.1598320534903793E-3</v>
      </c>
      <c r="F46" s="103">
        <f t="shared" ca="1" si="0"/>
        <v>5.0370160436349568E-3</v>
      </c>
    </row>
    <row r="47" spans="1:6" x14ac:dyDescent="0.3">
      <c r="A47" s="100" t="s">
        <v>542</v>
      </c>
      <c r="B47" s="100" t="s">
        <v>543</v>
      </c>
      <c r="C47" s="102">
        <f ca="1"/>
        <v>683098155</v>
      </c>
      <c r="D47" s="102">
        <f ca="1"/>
        <v>593659673</v>
      </c>
      <c r="E47" s="103">
        <f t="shared" ca="1" si="0"/>
        <v>5.4052885661504879E-3</v>
      </c>
      <c r="F47" s="103">
        <f t="shared" ca="1" si="0"/>
        <v>4.9437291898212967E-3</v>
      </c>
    </row>
    <row r="48" spans="1:6" x14ac:dyDescent="0.3">
      <c r="A48" s="101" t="s">
        <v>117</v>
      </c>
      <c r="B48" s="101" t="s">
        <v>118</v>
      </c>
      <c r="C48" s="102">
        <f ca="1"/>
        <v>401394035</v>
      </c>
      <c r="D48" s="102">
        <f ca="1"/>
        <v>507331541</v>
      </c>
      <c r="E48" s="103">
        <f t="shared" ca="1" si="0"/>
        <v>3.1761915502560665E-3</v>
      </c>
      <c r="F48" s="103">
        <f t="shared" ca="1" si="0"/>
        <v>4.2248275606868108E-3</v>
      </c>
    </row>
    <row r="49" spans="1:6" x14ac:dyDescent="0.3">
      <c r="A49" s="100" t="s">
        <v>284</v>
      </c>
      <c r="B49" s="100" t="s">
        <v>285</v>
      </c>
      <c r="C49" s="102">
        <f ca="1"/>
        <v>689068394</v>
      </c>
      <c r="D49" s="102">
        <f ca="1"/>
        <v>443739559</v>
      </c>
      <c r="E49" s="103">
        <f t="shared" ca="1" si="0"/>
        <v>5.4525304806069628E-3</v>
      </c>
      <c r="F49" s="103">
        <f t="shared" ca="1" si="0"/>
        <v>3.6952623030985792E-3</v>
      </c>
    </row>
    <row r="50" spans="1:6" x14ac:dyDescent="0.3">
      <c r="A50" s="101" t="s">
        <v>186</v>
      </c>
      <c r="B50" s="101" t="s">
        <v>187</v>
      </c>
      <c r="C50" s="102">
        <f ca="1"/>
        <v>383703984</v>
      </c>
      <c r="D50" s="102">
        <f ca="1"/>
        <v>377601386</v>
      </c>
      <c r="E50" s="103">
        <f t="shared" ca="1" si="0"/>
        <v>3.0362119152577563E-3</v>
      </c>
      <c r="F50" s="103">
        <f t="shared" ca="1" si="0"/>
        <v>3.1444935187389402E-3</v>
      </c>
    </row>
    <row r="51" spans="1:6" x14ac:dyDescent="0.3">
      <c r="A51" s="100" t="s">
        <v>581</v>
      </c>
      <c r="B51" s="100" t="s">
        <v>582</v>
      </c>
      <c r="C51" s="102">
        <f ca="1"/>
        <v>275890259</v>
      </c>
      <c r="D51" s="102">
        <f ca="1"/>
        <v>334412816</v>
      </c>
      <c r="E51" s="103">
        <f t="shared" ca="1" si="0"/>
        <v>2.1830925051832366E-3</v>
      </c>
      <c r="F51" s="103">
        <f t="shared" ca="1" si="0"/>
        <v>2.7848386459451125E-3</v>
      </c>
    </row>
    <row r="52" spans="1:6" x14ac:dyDescent="0.3">
      <c r="A52" s="101" t="s">
        <v>459</v>
      </c>
      <c r="B52" s="101" t="s">
        <v>460</v>
      </c>
      <c r="C52" s="102">
        <f ca="1"/>
        <v>378364331</v>
      </c>
      <c r="D52" s="102">
        <f ca="1"/>
        <v>321846701</v>
      </c>
      <c r="E52" s="103">
        <f t="shared" ca="1" si="0"/>
        <v>2.9939597658457718E-3</v>
      </c>
      <c r="F52" s="103">
        <f t="shared" ca="1" si="0"/>
        <v>2.6801937250357697E-3</v>
      </c>
    </row>
    <row r="53" spans="1:6" x14ac:dyDescent="0.3">
      <c r="A53" s="100" t="s">
        <v>226</v>
      </c>
      <c r="B53" s="100" t="s">
        <v>227</v>
      </c>
      <c r="C53" s="102">
        <f ca="1"/>
        <v>452919443</v>
      </c>
      <c r="D53" s="102">
        <f ca="1"/>
        <v>321638245</v>
      </c>
      <c r="E53" s="103">
        <f t="shared" ca="1" si="0"/>
        <v>3.5839070398823543E-3</v>
      </c>
      <c r="F53" s="103">
        <f t="shared" ca="1" si="0"/>
        <v>2.6784577977716092E-3</v>
      </c>
    </row>
    <row r="54" spans="1:6" x14ac:dyDescent="0.3">
      <c r="A54" s="101" t="s">
        <v>40</v>
      </c>
      <c r="B54" s="101" t="s">
        <v>41</v>
      </c>
      <c r="C54" s="102">
        <f ca="1"/>
        <v>343130144</v>
      </c>
      <c r="D54" s="102">
        <f ca="1"/>
        <v>318208407</v>
      </c>
      <c r="E54" s="103">
        <f t="shared" ca="1" si="0"/>
        <v>2.7151551069037371E-3</v>
      </c>
      <c r="F54" s="103">
        <f t="shared" ca="1" si="0"/>
        <v>2.6498956585390893E-3</v>
      </c>
    </row>
    <row r="55" spans="1:6" x14ac:dyDescent="0.3">
      <c r="A55" s="100" t="s">
        <v>61</v>
      </c>
      <c r="B55" s="100" t="s">
        <v>62</v>
      </c>
      <c r="C55" s="102">
        <f ca="1"/>
        <v>215877794</v>
      </c>
      <c r="D55" s="102">
        <f ca="1"/>
        <v>300894106</v>
      </c>
      <c r="E55" s="103">
        <f t="shared" ca="1" si="0"/>
        <v>1.7082197676174229E-3</v>
      </c>
      <c r="F55" s="103">
        <f t="shared" ca="1" si="0"/>
        <v>2.5057099926633947E-3</v>
      </c>
    </row>
    <row r="56" spans="1:6" x14ac:dyDescent="0.3">
      <c r="A56" s="101" t="s">
        <v>393</v>
      </c>
      <c r="B56" s="101" t="s">
        <v>394</v>
      </c>
      <c r="C56" s="102">
        <f ca="1"/>
        <v>560332007</v>
      </c>
      <c r="D56" s="102">
        <f ca="1"/>
        <v>300000000</v>
      </c>
      <c r="E56" s="103">
        <f t="shared" ca="1" si="0"/>
        <v>4.4338521023896708E-3</v>
      </c>
      <c r="F56" s="103">
        <f t="shared" ca="1" si="0"/>
        <v>2.4982642823818506E-3</v>
      </c>
    </row>
    <row r="57" spans="1:6" x14ac:dyDescent="0.3">
      <c r="A57" s="100" t="s">
        <v>164</v>
      </c>
      <c r="B57" s="100" t="s">
        <v>165</v>
      </c>
      <c r="C57" s="102">
        <f ca="1"/>
        <v>348361171</v>
      </c>
      <c r="D57" s="102">
        <f ca="1"/>
        <v>258032226</v>
      </c>
      <c r="E57" s="103">
        <f t="shared" ca="1" si="0"/>
        <v>2.7565477094534021E-3</v>
      </c>
      <c r="F57" s="103">
        <f t="shared" ca="1" si="0"/>
        <v>2.1487756463976046E-3</v>
      </c>
    </row>
    <row r="58" spans="1:6" x14ac:dyDescent="0.3">
      <c r="A58" s="101" t="s">
        <v>623</v>
      </c>
      <c r="B58" s="101" t="s">
        <v>624</v>
      </c>
      <c r="C58" s="102">
        <f ca="1"/>
        <v>246609390</v>
      </c>
      <c r="D58" s="102">
        <f ca="1"/>
        <v>250743096</v>
      </c>
      <c r="E58" s="103">
        <f t="shared" ca="1" si="0"/>
        <v>1.9513958664876595E-3</v>
      </c>
      <c r="F58" s="103">
        <f t="shared" ca="1" si="0"/>
        <v>2.0880750693021448E-3</v>
      </c>
    </row>
    <row r="59" spans="1:6" x14ac:dyDescent="0.3">
      <c r="A59" s="100" t="s">
        <v>208</v>
      </c>
      <c r="B59" s="100" t="s">
        <v>209</v>
      </c>
      <c r="C59" s="102">
        <f ca="1"/>
        <v>230358293</v>
      </c>
      <c r="D59" s="102">
        <f ca="1"/>
        <v>215273632</v>
      </c>
      <c r="E59" s="103">
        <f t="shared" ca="1" si="0"/>
        <v>1.8228025330720501E-3</v>
      </c>
      <c r="F59" s="103">
        <f t="shared" ca="1" si="0"/>
        <v>1.7927014192140485E-3</v>
      </c>
    </row>
    <row r="60" spans="1:6" x14ac:dyDescent="0.3">
      <c r="A60" s="101" t="s">
        <v>676</v>
      </c>
      <c r="B60" s="101" t="s">
        <v>677</v>
      </c>
      <c r="C60" s="102">
        <f ca="1"/>
        <v>173966767</v>
      </c>
      <c r="D60" s="102">
        <f ca="1"/>
        <v>215072005</v>
      </c>
      <c r="E60" s="103">
        <f t="shared" ca="1" si="0"/>
        <v>1.3765819299501197E-3</v>
      </c>
      <c r="F60" s="103">
        <f t="shared" ca="1" si="0"/>
        <v>1.7910223607725026E-3</v>
      </c>
    </row>
    <row r="61" spans="1:6" x14ac:dyDescent="0.3">
      <c r="A61" s="100" t="s">
        <v>674</v>
      </c>
      <c r="B61" s="100" t="s">
        <v>675</v>
      </c>
      <c r="C61" s="102">
        <f ca="1"/>
        <v>120666257</v>
      </c>
      <c r="D61" s="102">
        <f ca="1"/>
        <v>199361212</v>
      </c>
      <c r="E61" s="103">
        <f t="shared" ca="1" si="0"/>
        <v>9.5482023265349954E-4</v>
      </c>
      <c r="F61" s="103">
        <f t="shared" ca="1" si="0"/>
        <v>1.6601899841065199E-3</v>
      </c>
    </row>
    <row r="62" spans="1:6" x14ac:dyDescent="0.3">
      <c r="A62" s="101" t="s">
        <v>554</v>
      </c>
      <c r="B62" s="101" t="s">
        <v>555</v>
      </c>
      <c r="C62" s="102">
        <f ca="1"/>
        <v>257947893</v>
      </c>
      <c r="D62" s="102">
        <f ca="1"/>
        <v>192897948</v>
      </c>
      <c r="E62" s="103">
        <f t="shared" ca="1" si="0"/>
        <v>2.0411163263872518E-3</v>
      </c>
      <c r="F62" s="103">
        <f t="shared" ca="1" si="0"/>
        <v>1.6063668454438383E-3</v>
      </c>
    </row>
    <row r="63" spans="1:6" x14ac:dyDescent="0.3">
      <c r="A63" s="100" t="s">
        <v>87</v>
      </c>
      <c r="B63" s="100" t="s">
        <v>88</v>
      </c>
      <c r="C63" s="102">
        <f ca="1"/>
        <v>239943672</v>
      </c>
      <c r="D63" s="102">
        <f ca="1"/>
        <v>191832537</v>
      </c>
      <c r="E63" s="103">
        <f t="shared" ca="1" si="0"/>
        <v>1.8986506950553293E-3</v>
      </c>
      <c r="F63" s="103">
        <f t="shared" ca="1" si="0"/>
        <v>1.5974945846193159E-3</v>
      </c>
    </row>
    <row r="64" spans="1:6" x14ac:dyDescent="0.3">
      <c r="A64" s="101" t="s">
        <v>608</v>
      </c>
      <c r="B64" s="101" t="s">
        <v>609</v>
      </c>
      <c r="C64" s="102">
        <f ca="1"/>
        <v>173467538</v>
      </c>
      <c r="D64" s="102">
        <f ca="1"/>
        <v>184664437</v>
      </c>
      <c r="E64" s="103">
        <f t="shared" ca="1" si="0"/>
        <v>1.3726315799369641E-3</v>
      </c>
      <c r="F64" s="103">
        <f t="shared" ca="1" si="0"/>
        <v>1.5378018906108447E-3</v>
      </c>
    </row>
    <row r="65" spans="1:6" x14ac:dyDescent="0.3">
      <c r="A65" s="100" t="s">
        <v>232</v>
      </c>
      <c r="B65" s="100" t="s">
        <v>233</v>
      </c>
      <c r="C65" s="102">
        <f ca="1"/>
        <v>187133380</v>
      </c>
      <c r="D65" s="102">
        <f ca="1"/>
        <v>178851124</v>
      </c>
      <c r="E65" s="103">
        <f t="shared" ca="1" si="0"/>
        <v>1.4807680446144588E-3</v>
      </c>
      <c r="F65" s="103">
        <f t="shared" ca="1" si="0"/>
        <v>1.4893912498434912E-3</v>
      </c>
    </row>
    <row r="66" spans="1:6" x14ac:dyDescent="0.3">
      <c r="A66" s="101" t="s">
        <v>84</v>
      </c>
      <c r="B66" s="101" t="s">
        <v>85</v>
      </c>
      <c r="C66" s="102">
        <f ca="1"/>
        <v>163513061</v>
      </c>
      <c r="D66" s="102">
        <f ca="1"/>
        <v>175733411</v>
      </c>
      <c r="E66" s="103">
        <f t="shared" ca="1" si="0"/>
        <v>1.2938627817543546E-3</v>
      </c>
      <c r="F66" s="103">
        <f t="shared" ca="1" si="0"/>
        <v>1.4634283464080992E-3</v>
      </c>
    </row>
    <row r="67" spans="1:6" x14ac:dyDescent="0.3">
      <c r="A67" s="100" t="s">
        <v>669</v>
      </c>
      <c r="B67" s="100" t="s">
        <v>670</v>
      </c>
      <c r="C67" s="102">
        <f ca="1"/>
        <v>140197294</v>
      </c>
      <c r="D67" s="102">
        <f ca="1"/>
        <v>161101341</v>
      </c>
      <c r="E67" s="103">
        <f t="shared" ca="1" si="0"/>
        <v>1.1093674089391128E-3</v>
      </c>
      <c r="F67" s="103">
        <f t="shared" ca="1" si="0"/>
        <v>1.341579086880396E-3</v>
      </c>
    </row>
    <row r="68" spans="1:6" x14ac:dyDescent="0.3">
      <c r="A68" s="101" t="s">
        <v>423</v>
      </c>
      <c r="B68" s="101" t="s">
        <v>424</v>
      </c>
      <c r="C68" s="102">
        <f ca="1"/>
        <v>172724696</v>
      </c>
      <c r="D68" s="102">
        <f ca="1"/>
        <v>157621582</v>
      </c>
      <c r="E68" s="103">
        <f t="shared" ca="1" si="0"/>
        <v>1.3667535441969081E-3</v>
      </c>
      <c r="F68" s="103">
        <f t="shared" ca="1" si="0"/>
        <v>1.3126012281437401E-3</v>
      </c>
    </row>
    <row r="69" spans="1:6" x14ac:dyDescent="0.3">
      <c r="A69" s="100" t="s">
        <v>177</v>
      </c>
      <c r="B69" s="100" t="s">
        <v>178</v>
      </c>
      <c r="C69" s="102">
        <f ca="1"/>
        <v>178932241</v>
      </c>
      <c r="D69" s="102">
        <f ca="1"/>
        <v>146947489</v>
      </c>
      <c r="E69" s="103">
        <f t="shared" ca="1" si="0"/>
        <v>1.4158732377091306E-3</v>
      </c>
      <c r="F69" s="103">
        <f t="shared" ca="1" si="0"/>
        <v>1.2237122105146661E-3</v>
      </c>
    </row>
    <row r="70" spans="1:6" x14ac:dyDescent="0.3">
      <c r="A70" s="101" t="s">
        <v>174</v>
      </c>
      <c r="B70" s="101" t="s">
        <v>175</v>
      </c>
      <c r="C70" s="102">
        <f ca="1"/>
        <v>178027001</v>
      </c>
      <c r="D70" s="102">
        <f ca="1"/>
        <v>144173007</v>
      </c>
      <c r="E70" s="103">
        <f t="shared" ref="E70:F133" ca="1" si="1">C70/C$149</f>
        <v>1.4087101625554258E-3</v>
      </c>
      <c r="F70" s="103">
        <f t="shared" ca="1" si="1"/>
        <v>1.2006075795722949E-3</v>
      </c>
    </row>
    <row r="71" spans="1:6" x14ac:dyDescent="0.3">
      <c r="A71" s="100" t="s">
        <v>64</v>
      </c>
      <c r="B71" s="100" t="s">
        <v>65</v>
      </c>
      <c r="C71" s="102">
        <f ca="1"/>
        <v>123226171</v>
      </c>
      <c r="D71" s="102">
        <f ca="1"/>
        <v>143056485</v>
      </c>
      <c r="E71" s="103">
        <f t="shared" ca="1" si="1"/>
        <v>9.7507658054910842E-4</v>
      </c>
      <c r="F71" s="103">
        <f t="shared" ca="1" si="1"/>
        <v>1.1913096894619832E-3</v>
      </c>
    </row>
    <row r="72" spans="1:6" x14ac:dyDescent="0.3">
      <c r="A72" s="101" t="s">
        <v>241</v>
      </c>
      <c r="B72" s="101" t="s">
        <v>242</v>
      </c>
      <c r="C72" s="102">
        <f ca="1"/>
        <v>216307198</v>
      </c>
      <c r="D72" s="102">
        <f ca="1"/>
        <v>131264959</v>
      </c>
      <c r="E72" s="103">
        <f t="shared" ca="1" si="1"/>
        <v>1.7116175992679262E-3</v>
      </c>
      <c r="F72" s="103">
        <f t="shared" ca="1" si="1"/>
        <v>1.0931151953267268E-3</v>
      </c>
    </row>
    <row r="73" spans="1:6" x14ac:dyDescent="0.3">
      <c r="A73" s="100" t="s">
        <v>305</v>
      </c>
      <c r="B73" s="100" t="s">
        <v>306</v>
      </c>
      <c r="C73" s="102">
        <f ca="1"/>
        <v>183679653</v>
      </c>
      <c r="D73" s="102">
        <f ca="1"/>
        <v>129400775</v>
      </c>
      <c r="E73" s="103">
        <f t="shared" ca="1" si="1"/>
        <v>1.4534390422931082E-3</v>
      </c>
      <c r="F73" s="103">
        <f t="shared" ca="1" si="1"/>
        <v>1.0775911143167676E-3</v>
      </c>
    </row>
    <row r="74" spans="1:6" x14ac:dyDescent="0.3">
      <c r="A74" s="101" t="s">
        <v>628</v>
      </c>
      <c r="B74" s="101" t="s">
        <v>629</v>
      </c>
      <c r="C74" s="102">
        <f ca="1"/>
        <v>125944781</v>
      </c>
      <c r="D74" s="102">
        <f ca="1"/>
        <v>124425211</v>
      </c>
      <c r="E74" s="103">
        <f t="shared" ca="1" si="1"/>
        <v>9.9658867429619578E-4</v>
      </c>
      <c r="F74" s="103">
        <f t="shared" ca="1" si="1"/>
        <v>1.0361568682304178E-3</v>
      </c>
    </row>
    <row r="75" spans="1:6" x14ac:dyDescent="0.3">
      <c r="A75" s="100" t="s">
        <v>575</v>
      </c>
      <c r="B75" s="100" t="s">
        <v>576</v>
      </c>
      <c r="C75" s="102">
        <f ca="1"/>
        <v>181010365</v>
      </c>
      <c r="D75" s="102">
        <f ca="1"/>
        <v>123148493</v>
      </c>
      <c r="E75" s="103">
        <f t="shared" ca="1" si="1"/>
        <v>1.4323172286846925E-3</v>
      </c>
      <c r="F75" s="103">
        <f t="shared" ca="1" si="1"/>
        <v>1.0255249383035044E-3</v>
      </c>
    </row>
    <row r="76" spans="1:6" x14ac:dyDescent="0.3">
      <c r="A76" s="101" t="s">
        <v>81</v>
      </c>
      <c r="B76" s="101" t="s">
        <v>82</v>
      </c>
      <c r="C76" s="102">
        <f ca="1"/>
        <v>109316549</v>
      </c>
      <c r="D76" s="102">
        <f ca="1"/>
        <v>122962437</v>
      </c>
      <c r="E76" s="103">
        <f t="shared" ca="1" si="1"/>
        <v>8.6501110869012608E-4</v>
      </c>
      <c r="F76" s="103">
        <f t="shared" ca="1" si="1"/>
        <v>1.0239755481057616E-3</v>
      </c>
    </row>
    <row r="77" spans="1:6" x14ac:dyDescent="0.3">
      <c r="A77" s="100" t="s">
        <v>229</v>
      </c>
      <c r="B77" s="100" t="s">
        <v>230</v>
      </c>
      <c r="C77" s="102">
        <f ca="1"/>
        <v>46338989</v>
      </c>
      <c r="D77" s="102">
        <f ca="1"/>
        <v>119555866</v>
      </c>
      <c r="E77" s="103">
        <f t="shared" ca="1" si="1"/>
        <v>3.6667586579658266E-4</v>
      </c>
      <c r="F77" s="103">
        <f t="shared" ca="1" si="1"/>
        <v>9.956071659234355E-4</v>
      </c>
    </row>
    <row r="78" spans="1:6" x14ac:dyDescent="0.3">
      <c r="A78" s="101" t="s">
        <v>93</v>
      </c>
      <c r="B78" s="101" t="s">
        <v>94</v>
      </c>
      <c r="C78" s="102">
        <f ca="1"/>
        <v>53744269</v>
      </c>
      <c r="D78" s="102">
        <f ca="1"/>
        <v>109553337</v>
      </c>
      <c r="E78" s="103">
        <f t="shared" ca="1" si="1"/>
        <v>4.2527311865132487E-4</v>
      </c>
      <c r="F78" s="103">
        <f t="shared" ca="1" si="1"/>
        <v>9.123106294761401E-4</v>
      </c>
    </row>
    <row r="79" spans="1:6" x14ac:dyDescent="0.3">
      <c r="A79" s="100" t="s">
        <v>381</v>
      </c>
      <c r="B79" s="100" t="s">
        <v>382</v>
      </c>
      <c r="C79" s="102">
        <f ca="1"/>
        <v>146392934</v>
      </c>
      <c r="D79" s="102">
        <f ca="1"/>
        <v>108792952</v>
      </c>
      <c r="E79" s="103">
        <f t="shared" ca="1" si="1"/>
        <v>1.1583928993563494E-3</v>
      </c>
      <c r="F79" s="103">
        <f t="shared" ca="1" si="1"/>
        <v>9.0597848718827702E-4</v>
      </c>
    </row>
    <row r="80" spans="1:6" x14ac:dyDescent="0.3">
      <c r="A80" s="101" t="s">
        <v>449</v>
      </c>
      <c r="B80" s="101" t="s">
        <v>450</v>
      </c>
      <c r="C80" s="102">
        <f ca="1"/>
        <v>133694804</v>
      </c>
      <c r="D80" s="102">
        <f ca="1"/>
        <v>108478131</v>
      </c>
      <c r="E80" s="103">
        <f t="shared" ca="1" si="1"/>
        <v>1.0579138446288594E-3</v>
      </c>
      <c r="F80" s="103">
        <f t="shared" ca="1" si="1"/>
        <v>9.0335680032279785E-4</v>
      </c>
    </row>
    <row r="81" spans="1:6" x14ac:dyDescent="0.3">
      <c r="A81" s="100" t="s">
        <v>287</v>
      </c>
      <c r="B81" s="100" t="s">
        <v>288</v>
      </c>
      <c r="C81" s="102">
        <f ca="1"/>
        <v>118265350</v>
      </c>
      <c r="D81" s="102">
        <f ca="1"/>
        <v>108435542</v>
      </c>
      <c r="E81" s="103">
        <f t="shared" ca="1" si="1"/>
        <v>9.3582209152180424E-4</v>
      </c>
      <c r="F81" s="103">
        <f t="shared" ca="1" si="1"/>
        <v>9.0300213839772337E-4</v>
      </c>
    </row>
    <row r="82" spans="1:6" x14ac:dyDescent="0.3">
      <c r="A82" s="101" t="s">
        <v>299</v>
      </c>
      <c r="B82" s="101" t="s">
        <v>300</v>
      </c>
      <c r="C82" s="102">
        <f ca="1"/>
        <v>140275689</v>
      </c>
      <c r="D82" s="102">
        <f ca="1"/>
        <v>101433842</v>
      </c>
      <c r="E82" s="103">
        <f t="shared" ca="1" si="1"/>
        <v>1.109987740869512E-3</v>
      </c>
      <c r="F82" s="103">
        <f t="shared" ca="1" si="1"/>
        <v>8.4469514831121337E-4</v>
      </c>
    </row>
    <row r="83" spans="1:6" x14ac:dyDescent="0.3">
      <c r="A83" s="100" t="s">
        <v>67</v>
      </c>
      <c r="B83" s="100" t="s">
        <v>68</v>
      </c>
      <c r="C83" s="102">
        <f ca="1"/>
        <v>123045872</v>
      </c>
      <c r="D83" s="102">
        <f ca="1"/>
        <v>100910325</v>
      </c>
      <c r="E83" s="103">
        <f t="shared" ca="1" si="1"/>
        <v>9.7364989228175634E-4</v>
      </c>
      <c r="F83" s="103">
        <f t="shared" ca="1" si="1"/>
        <v>8.4033553557014769E-4</v>
      </c>
    </row>
    <row r="84" spans="1:6" x14ac:dyDescent="0.3">
      <c r="A84" s="101" t="s">
        <v>144</v>
      </c>
      <c r="B84" s="101" t="s">
        <v>145</v>
      </c>
      <c r="C84" s="102">
        <f ca="1"/>
        <v>96388846</v>
      </c>
      <c r="D84" s="102">
        <f ca="1"/>
        <v>100254242</v>
      </c>
      <c r="E84" s="103">
        <f t="shared" ca="1" si="1"/>
        <v>7.627154653758949E-4</v>
      </c>
      <c r="F84" s="103">
        <f t="shared" ca="1" si="1"/>
        <v>8.3487197315288786E-4</v>
      </c>
    </row>
    <row r="85" spans="1:6" x14ac:dyDescent="0.3">
      <c r="A85" s="100" t="s">
        <v>254</v>
      </c>
      <c r="B85" s="100" t="s">
        <v>255</v>
      </c>
      <c r="C85" s="102">
        <f ca="1"/>
        <v>90567038</v>
      </c>
      <c r="D85" s="102">
        <f ca="1"/>
        <v>98997841</v>
      </c>
      <c r="E85" s="103">
        <f t="shared" ca="1" si="1"/>
        <v>7.1664807083473496E-4</v>
      </c>
      <c r="F85" s="103">
        <f t="shared" ca="1" si="1"/>
        <v>8.2440923401072509E-4</v>
      </c>
    </row>
    <row r="86" spans="1:6" x14ac:dyDescent="0.3">
      <c r="A86" s="101" t="s">
        <v>90</v>
      </c>
      <c r="B86" s="101" t="s">
        <v>91</v>
      </c>
      <c r="C86" s="102">
        <f ca="1"/>
        <v>70046989</v>
      </c>
      <c r="D86" s="102">
        <f ca="1"/>
        <v>98312485</v>
      </c>
      <c r="E86" s="103">
        <f t="shared" ca="1" si="1"/>
        <v>5.5427493979246509E-4</v>
      </c>
      <c r="F86" s="103">
        <f t="shared" ca="1" si="1"/>
        <v>8.187018992923381E-4</v>
      </c>
    </row>
    <row r="87" spans="1:6" x14ac:dyDescent="0.3">
      <c r="A87" s="100" t="s">
        <v>211</v>
      </c>
      <c r="B87" s="100" t="s">
        <v>212</v>
      </c>
      <c r="C87" s="102">
        <f ca="1"/>
        <v>76457410</v>
      </c>
      <c r="D87" s="102">
        <f ca="1"/>
        <v>97867400</v>
      </c>
      <c r="E87" s="103">
        <f t="shared" ca="1" si="1"/>
        <v>6.0499997115418935E-4</v>
      </c>
      <c r="F87" s="103">
        <f t="shared" ca="1" si="1"/>
        <v>8.1499543276525831E-4</v>
      </c>
    </row>
    <row r="88" spans="1:6" x14ac:dyDescent="0.3">
      <c r="A88" s="101" t="s">
        <v>290</v>
      </c>
      <c r="B88" s="101" t="s">
        <v>291</v>
      </c>
      <c r="C88" s="102">
        <f ca="1"/>
        <v>85471621</v>
      </c>
      <c r="D88" s="102">
        <f ca="1"/>
        <v>97660795</v>
      </c>
      <c r="E88" s="103">
        <f t="shared" ca="1" si="1"/>
        <v>6.7632853688742278E-4</v>
      </c>
      <c r="F88" s="103">
        <f t="shared" ca="1" si="1"/>
        <v>8.1327491979172001E-4</v>
      </c>
    </row>
    <row r="89" spans="1:6" x14ac:dyDescent="0.3">
      <c r="A89" s="100" t="s">
        <v>278</v>
      </c>
      <c r="B89" s="100" t="s">
        <v>279</v>
      </c>
      <c r="C89" s="102">
        <f ca="1"/>
        <v>121713827</v>
      </c>
      <c r="D89" s="102">
        <f ca="1"/>
        <v>96737872</v>
      </c>
      <c r="E89" s="103">
        <f t="shared" ca="1" si="1"/>
        <v>9.6310955110912066E-4</v>
      </c>
      <c r="F89" s="103">
        <f t="shared" ca="1" si="1"/>
        <v>8.0558923457075768E-4</v>
      </c>
    </row>
    <row r="90" spans="1:6" x14ac:dyDescent="0.3">
      <c r="A90" s="101" t="s">
        <v>155</v>
      </c>
      <c r="B90" s="101" t="s">
        <v>156</v>
      </c>
      <c r="C90" s="102">
        <f ca="1"/>
        <v>72268053</v>
      </c>
      <c r="D90" s="102">
        <f ca="1"/>
        <v>95879390</v>
      </c>
      <c r="E90" s="103">
        <f t="shared" ca="1" si="1"/>
        <v>5.7185000093999303E-4</v>
      </c>
      <c r="F90" s="103">
        <f t="shared" ca="1" si="1"/>
        <v>7.9844018484519859E-4</v>
      </c>
    </row>
    <row r="91" spans="1:6" x14ac:dyDescent="0.3">
      <c r="A91" s="100" t="s">
        <v>308</v>
      </c>
      <c r="B91" s="100" t="s">
        <v>309</v>
      </c>
      <c r="C91" s="102">
        <f ca="1"/>
        <v>58625389</v>
      </c>
      <c r="D91" s="102">
        <f ca="1"/>
        <v>95091701</v>
      </c>
      <c r="E91" s="103">
        <f t="shared" ca="1" si="1"/>
        <v>4.6389694149858243E-4</v>
      </c>
      <c r="F91" s="103">
        <f t="shared" ca="1" si="1"/>
        <v>7.9188066719744824E-4</v>
      </c>
    </row>
    <row r="92" spans="1:6" x14ac:dyDescent="0.3">
      <c r="A92" s="101" t="s">
        <v>302</v>
      </c>
      <c r="B92" s="101" t="s">
        <v>303</v>
      </c>
      <c r="C92" s="102">
        <f ca="1"/>
        <v>76520582</v>
      </c>
      <c r="D92" s="102">
        <f ca="1"/>
        <v>92792908</v>
      </c>
      <c r="E92" s="103">
        <f t="shared" ca="1" si="1"/>
        <v>6.0549984498169346E-4</v>
      </c>
      <c r="F92" s="103">
        <f t="shared" ca="1" si="1"/>
        <v>7.7273735904915023E-4</v>
      </c>
    </row>
    <row r="93" spans="1:6" x14ac:dyDescent="0.3">
      <c r="A93" s="100" t="s">
        <v>96</v>
      </c>
      <c r="B93" s="100" t="s">
        <v>97</v>
      </c>
      <c r="C93" s="102">
        <f ca="1"/>
        <v>94189915</v>
      </c>
      <c r="D93" s="102">
        <f ca="1"/>
        <v>91870998</v>
      </c>
      <c r="E93" s="103">
        <f t="shared" ca="1" si="1"/>
        <v>7.4531554048215271E-4</v>
      </c>
      <c r="F93" s="103">
        <f t="shared" ca="1" si="1"/>
        <v>7.6506010963391471E-4</v>
      </c>
    </row>
    <row r="94" spans="1:6" x14ac:dyDescent="0.3">
      <c r="A94" s="101" t="s">
        <v>223</v>
      </c>
      <c r="B94" s="101" t="s">
        <v>224</v>
      </c>
      <c r="C94" s="102">
        <f ca="1"/>
        <v>76974150</v>
      </c>
      <c r="D94" s="102">
        <f ca="1"/>
        <v>89716963</v>
      </c>
      <c r="E94" s="103">
        <f t="shared" ca="1" si="1"/>
        <v>6.0908888398937718E-4</v>
      </c>
      <c r="F94" s="103">
        <f t="shared" ca="1" si="1"/>
        <v>7.4712228062224671E-4</v>
      </c>
    </row>
    <row r="95" spans="1:6" x14ac:dyDescent="0.3">
      <c r="A95" s="100" t="s">
        <v>412</v>
      </c>
      <c r="B95" s="100" t="s">
        <v>413</v>
      </c>
      <c r="C95" s="102">
        <f ca="1"/>
        <v>123594163</v>
      </c>
      <c r="D95" s="102">
        <f ca="1"/>
        <v>80774272</v>
      </c>
      <c r="E95" s="103">
        <f t="shared" ca="1" si="1"/>
        <v>9.7798846507913596E-4</v>
      </c>
      <c r="F95" s="103">
        <f t="shared" ca="1" si="1"/>
        <v>6.7265159557665464E-4</v>
      </c>
    </row>
    <row r="96" spans="1:6" x14ac:dyDescent="0.3">
      <c r="A96" s="101" t="s">
        <v>120</v>
      </c>
      <c r="B96" s="101" t="s">
        <v>121</v>
      </c>
      <c r="C96" s="102">
        <f ca="1"/>
        <v>88519478</v>
      </c>
      <c r="D96" s="102">
        <f ca="1"/>
        <v>79424657</v>
      </c>
      <c r="E96" s="103">
        <f t="shared" ca="1" si="1"/>
        <v>7.0044592978736663E-4</v>
      </c>
      <c r="F96" s="103">
        <f t="shared" ca="1" si="1"/>
        <v>6.614126124117654E-4</v>
      </c>
    </row>
    <row r="97" spans="1:6" x14ac:dyDescent="0.3">
      <c r="A97" s="100" t="s">
        <v>457</v>
      </c>
      <c r="B97" s="100" t="s">
        <v>458</v>
      </c>
      <c r="C97" s="102">
        <f ca="1"/>
        <v>43658058</v>
      </c>
      <c r="D97" s="102">
        <f ca="1"/>
        <v>71871307</v>
      </c>
      <c r="E97" s="103">
        <f t="shared" ca="1" si="1"/>
        <v>3.4546192227343203E-4</v>
      </c>
      <c r="F97" s="103">
        <f t="shared" ca="1" si="1"/>
        <v>5.9851173068733554E-4</v>
      </c>
    </row>
    <row r="98" spans="1:6" x14ac:dyDescent="0.3">
      <c r="A98" s="101" t="s">
        <v>327</v>
      </c>
      <c r="B98" s="101" t="s">
        <v>328</v>
      </c>
      <c r="C98" s="102">
        <f ca="1"/>
        <v>32189294</v>
      </c>
      <c r="D98" s="102">
        <f ca="1"/>
        <v>66380661</v>
      </c>
      <c r="E98" s="103">
        <f t="shared" ca="1" si="1"/>
        <v>2.5471071988279124E-4</v>
      </c>
      <c r="F98" s="103">
        <f t="shared" ca="1" si="1"/>
        <v>5.5278811472399291E-4</v>
      </c>
    </row>
    <row r="99" spans="1:6" x14ac:dyDescent="0.3">
      <c r="A99" s="100" t="s">
        <v>235</v>
      </c>
      <c r="B99" s="100" t="s">
        <v>236</v>
      </c>
      <c r="C99" s="102">
        <f ca="1"/>
        <v>49618244</v>
      </c>
      <c r="D99" s="102">
        <f ca="1"/>
        <v>65435333</v>
      </c>
      <c r="E99" s="103">
        <f t="shared" ca="1" si="1"/>
        <v>3.9262428832890795E-4</v>
      </c>
      <c r="F99" s="103">
        <f t="shared" ca="1" si="1"/>
        <v>5.4491585079887469E-4</v>
      </c>
    </row>
    <row r="100" spans="1:6" x14ac:dyDescent="0.3">
      <c r="A100" s="101" t="s">
        <v>99</v>
      </c>
      <c r="B100" s="101" t="s">
        <v>100</v>
      </c>
      <c r="C100" s="102">
        <f ca="1"/>
        <v>54778278</v>
      </c>
      <c r="D100" s="102">
        <f ca="1"/>
        <v>63226323</v>
      </c>
      <c r="E100" s="103">
        <f t="shared" ca="1" si="1"/>
        <v>4.3345513024671079E-4</v>
      </c>
      <c r="F100" s="103">
        <f t="shared" ca="1" si="1"/>
        <v>5.2652021485746032E-4</v>
      </c>
    </row>
    <row r="101" spans="1:6" x14ac:dyDescent="0.3">
      <c r="A101" s="100" t="s">
        <v>329</v>
      </c>
      <c r="B101" s="100" t="s">
        <v>330</v>
      </c>
      <c r="C101" s="102">
        <f ca="1"/>
        <v>44477669</v>
      </c>
      <c r="D101" s="102">
        <f ca="1"/>
        <v>62834380</v>
      </c>
      <c r="E101" s="103">
        <f t="shared" ca="1" si="1"/>
        <v>3.5194742356568949E-4</v>
      </c>
      <c r="F101" s="103">
        <f t="shared" ca="1" si="1"/>
        <v>5.2325629086536168E-4</v>
      </c>
    </row>
    <row r="102" spans="1:6" x14ac:dyDescent="0.3">
      <c r="A102" s="101" t="s">
        <v>75</v>
      </c>
      <c r="B102" s="101" t="s">
        <v>76</v>
      </c>
      <c r="C102" s="102">
        <f ca="1"/>
        <v>117039377</v>
      </c>
      <c r="D102" s="102">
        <f ca="1"/>
        <v>61946135</v>
      </c>
      <c r="E102" s="103">
        <f t="shared" ca="1" si="1"/>
        <v>9.2612108766049357E-4</v>
      </c>
      <c r="F102" s="103">
        <f t="shared" ca="1" si="1"/>
        <v>5.1585938834034742E-4</v>
      </c>
    </row>
    <row r="103" spans="1:6" x14ac:dyDescent="0.3">
      <c r="A103" s="100" t="s">
        <v>390</v>
      </c>
      <c r="B103" s="100" t="s">
        <v>391</v>
      </c>
      <c r="C103" s="102">
        <f ca="1"/>
        <v>30156451</v>
      </c>
      <c r="D103" s="102">
        <f ca="1"/>
        <v>60151576</v>
      </c>
      <c r="E103" s="103">
        <f t="shared" ca="1" si="1"/>
        <v>2.3862503301004737E-4</v>
      </c>
      <c r="F103" s="103">
        <f t="shared" ca="1" si="1"/>
        <v>5.0091511283259114E-4</v>
      </c>
    </row>
    <row r="104" spans="1:6" x14ac:dyDescent="0.3">
      <c r="A104" s="101" t="s">
        <v>432</v>
      </c>
      <c r="B104" s="101" t="s">
        <v>433</v>
      </c>
      <c r="C104" s="102">
        <f ca="1"/>
        <v>65005138</v>
      </c>
      <c r="D104" s="102">
        <f ca="1"/>
        <v>60000000</v>
      </c>
      <c r="E104" s="103">
        <f t="shared" ca="1" si="1"/>
        <v>5.1437926833872735E-4</v>
      </c>
      <c r="F104" s="103">
        <f t="shared" ca="1" si="1"/>
        <v>4.9965285647637003E-4</v>
      </c>
    </row>
    <row r="105" spans="1:6" x14ac:dyDescent="0.3">
      <c r="A105" s="100" t="s">
        <v>501</v>
      </c>
      <c r="B105" s="100" t="s">
        <v>502</v>
      </c>
      <c r="C105" s="102">
        <f ca="1"/>
        <v>50505064</v>
      </c>
      <c r="D105" s="102">
        <f ca="1"/>
        <v>59598242</v>
      </c>
      <c r="E105" s="103">
        <f t="shared" ca="1" si="1"/>
        <v>3.9964160783291622E-4</v>
      </c>
      <c r="F105" s="103">
        <f t="shared" ca="1" si="1"/>
        <v>4.9630719760449947E-4</v>
      </c>
    </row>
    <row r="106" spans="1:6" x14ac:dyDescent="0.3">
      <c r="A106" s="101" t="s">
        <v>435</v>
      </c>
      <c r="B106" s="101" t="s">
        <v>436</v>
      </c>
      <c r="C106" s="102">
        <f ca="1"/>
        <v>94267375</v>
      </c>
      <c r="D106" s="102">
        <f ca="1"/>
        <v>54154503</v>
      </c>
      <c r="E106" s="103">
        <f t="shared" ca="1" si="1"/>
        <v>7.4592847384944317E-4</v>
      </c>
      <c r="F106" s="103">
        <f t="shared" ca="1" si="1"/>
        <v>4.5097420191680254E-4</v>
      </c>
    </row>
    <row r="107" spans="1:6" x14ac:dyDescent="0.3">
      <c r="A107" s="100" t="s">
        <v>363</v>
      </c>
      <c r="B107" s="100" t="s">
        <v>364</v>
      </c>
      <c r="C107" s="102">
        <f ca="1"/>
        <v>51338387</v>
      </c>
      <c r="D107" s="102">
        <f ca="1"/>
        <v>54144995</v>
      </c>
      <c r="E107" s="103">
        <f t="shared" ca="1" si="1"/>
        <v>4.062356108335688E-4</v>
      </c>
      <c r="F107" s="103">
        <f t="shared" ca="1" si="1"/>
        <v>4.5089502359414626E-4</v>
      </c>
    </row>
    <row r="108" spans="1:6" x14ac:dyDescent="0.3">
      <c r="A108" s="101" t="s">
        <v>348</v>
      </c>
      <c r="B108" s="101" t="s">
        <v>349</v>
      </c>
      <c r="C108" s="102">
        <f ca="1"/>
        <v>60784898</v>
      </c>
      <c r="D108" s="102">
        <f ca="1"/>
        <v>48669232</v>
      </c>
      <c r="E108" s="103">
        <f t="shared" ca="1" si="1"/>
        <v>4.8098492398068862E-4</v>
      </c>
      <c r="F108" s="103">
        <f t="shared" ca="1" si="1"/>
        <v>4.0529534652185262E-4</v>
      </c>
    </row>
    <row r="109" spans="1:6" x14ac:dyDescent="0.3">
      <c r="A109" s="100" t="s">
        <v>454</v>
      </c>
      <c r="B109" s="100" t="s">
        <v>455</v>
      </c>
      <c r="C109" s="102">
        <f ca="1"/>
        <v>16496484</v>
      </c>
      <c r="D109" s="102">
        <f ca="1"/>
        <v>48174641</v>
      </c>
      <c r="E109" s="103">
        <f t="shared" ca="1" si="1"/>
        <v>1.3053505663016243E-4</v>
      </c>
      <c r="F109" s="103">
        <f t="shared" ca="1" si="1"/>
        <v>4.0117661642289422E-4</v>
      </c>
    </row>
    <row r="110" spans="1:6" x14ac:dyDescent="0.3">
      <c r="A110" s="101" t="s">
        <v>471</v>
      </c>
      <c r="B110" s="101" t="s">
        <v>472</v>
      </c>
      <c r="C110" s="102">
        <f ca="1"/>
        <v>0</v>
      </c>
      <c r="D110" s="102">
        <f ca="1"/>
        <v>45938730</v>
      </c>
      <c r="E110" s="103">
        <f t="shared" ca="1" si="1"/>
        <v>0</v>
      </c>
      <c r="F110" s="103">
        <f t="shared" ca="1" si="1"/>
        <v>3.8255696112327861E-4</v>
      </c>
    </row>
    <row r="111" spans="1:6" x14ac:dyDescent="0.3">
      <c r="A111" s="100" t="s">
        <v>158</v>
      </c>
      <c r="B111" s="100" t="s">
        <v>159</v>
      </c>
      <c r="C111" s="102">
        <f ca="1"/>
        <v>36579494</v>
      </c>
      <c r="D111" s="102">
        <f ca="1"/>
        <v>44856636</v>
      </c>
      <c r="E111" s="103">
        <f t="shared" ca="1" si="1"/>
        <v>2.8944994101729111E-4</v>
      </c>
      <c r="F111" s="103">
        <f t="shared" ca="1" si="1"/>
        <v>3.7354577182201291E-4</v>
      </c>
    </row>
    <row r="112" spans="1:6" x14ac:dyDescent="0.3">
      <c r="A112" s="101" t="s">
        <v>426</v>
      </c>
      <c r="B112" s="101" t="s">
        <v>427</v>
      </c>
      <c r="C112" s="102">
        <f ca="1"/>
        <v>51075759</v>
      </c>
      <c r="D112" s="102">
        <f ca="1"/>
        <v>44093954</v>
      </c>
      <c r="E112" s="103">
        <f t="shared" ca="1" si="1"/>
        <v>4.0415746128044785E-4</v>
      </c>
      <c r="F112" s="103">
        <f t="shared" ca="1" si="1"/>
        <v>3.6719450115729442E-4</v>
      </c>
    </row>
    <row r="113" spans="1:6" x14ac:dyDescent="0.3">
      <c r="A113" s="100" t="s">
        <v>663</v>
      </c>
      <c r="B113" s="100" t="s">
        <v>664</v>
      </c>
      <c r="C113" s="102">
        <f ca="1"/>
        <v>44718116</v>
      </c>
      <c r="D113" s="102">
        <f ca="1"/>
        <v>42020072</v>
      </c>
      <c r="E113" s="103">
        <f t="shared" ca="1" si="1"/>
        <v>3.5385005704574211E-4</v>
      </c>
      <c r="F113" s="103">
        <f t="shared" ca="1" si="1"/>
        <v>3.4992415006904562E-4</v>
      </c>
    </row>
    <row r="114" spans="1:6" x14ac:dyDescent="0.3">
      <c r="A114" s="101" t="s">
        <v>429</v>
      </c>
      <c r="B114" s="101" t="s">
        <v>430</v>
      </c>
      <c r="C114" s="102">
        <f ca="1"/>
        <v>44123278</v>
      </c>
      <c r="D114" s="102">
        <f ca="1"/>
        <v>41800145</v>
      </c>
      <c r="E114" s="103">
        <f t="shared" ca="1" si="1"/>
        <v>3.4914316241196609E-4</v>
      </c>
      <c r="F114" s="103">
        <f t="shared" ca="1" si="1"/>
        <v>3.480926975062743E-4</v>
      </c>
    </row>
    <row r="115" spans="1:6" x14ac:dyDescent="0.3">
      <c r="A115" s="100" t="s">
        <v>129</v>
      </c>
      <c r="B115" s="100" t="s">
        <v>130</v>
      </c>
      <c r="C115" s="102">
        <f ca="1"/>
        <v>37728580</v>
      </c>
      <c r="D115" s="102">
        <f ca="1"/>
        <v>30307256</v>
      </c>
      <c r="E115" s="103">
        <f t="shared" ca="1" si="1"/>
        <v>2.9854254560399737E-4</v>
      </c>
      <c r="F115" s="103">
        <f t="shared" ca="1" si="1"/>
        <v>2.5238511720601008E-4</v>
      </c>
    </row>
    <row r="116" spans="1:6" x14ac:dyDescent="0.3">
      <c r="A116" s="101" t="s">
        <v>69</v>
      </c>
      <c r="B116" s="101" t="s">
        <v>70</v>
      </c>
      <c r="C116" s="102">
        <f ca="1"/>
        <v>26721546</v>
      </c>
      <c r="D116" s="102">
        <f ca="1"/>
        <v>30251837</v>
      </c>
      <c r="E116" s="103">
        <f t="shared" ca="1" si="1"/>
        <v>2.1144496732488513E-4</v>
      </c>
      <c r="F116" s="103">
        <f t="shared" ca="1" si="1"/>
        <v>2.519236128451257E-4</v>
      </c>
    </row>
    <row r="117" spans="1:6" x14ac:dyDescent="0.3">
      <c r="A117" s="100" t="s">
        <v>257</v>
      </c>
      <c r="B117" s="100" t="s">
        <v>258</v>
      </c>
      <c r="C117" s="102">
        <f ca="1"/>
        <v>150000000</v>
      </c>
      <c r="D117" s="102">
        <f ca="1"/>
        <v>30000000</v>
      </c>
      <c r="E117" s="103">
        <f t="shared" ca="1" si="1"/>
        <v>1.1869352581146604E-3</v>
      </c>
      <c r="F117" s="103">
        <f t="shared" ca="1" si="1"/>
        <v>2.4982642823818501E-4</v>
      </c>
    </row>
    <row r="118" spans="1:6" x14ac:dyDescent="0.3">
      <c r="A118" s="101" t="s">
        <v>399</v>
      </c>
      <c r="B118" s="101" t="s">
        <v>400</v>
      </c>
      <c r="C118" s="102">
        <f ca="1"/>
        <v>36590568</v>
      </c>
      <c r="D118" s="102">
        <f ca="1"/>
        <v>27447829</v>
      </c>
      <c r="E118" s="103">
        <f t="shared" ca="1" si="1"/>
        <v>2.8953756849094684E-4</v>
      </c>
      <c r="F118" s="103">
        <f t="shared" ca="1" si="1"/>
        <v>2.2857310273208248E-4</v>
      </c>
    </row>
    <row r="119" spans="1:6" x14ac:dyDescent="0.3">
      <c r="A119" s="100" t="s">
        <v>166</v>
      </c>
      <c r="B119" s="100" t="s">
        <v>167</v>
      </c>
      <c r="C119" s="102">
        <f ca="1"/>
        <v>31824228</v>
      </c>
      <c r="D119" s="102">
        <f ca="1"/>
        <v>24153517</v>
      </c>
      <c r="E119" s="103">
        <f t="shared" ca="1" si="1"/>
        <v>2.5182198850319868E-4</v>
      </c>
      <c r="F119" s="103">
        <f t="shared" ca="1" si="1"/>
        <v>2.0113956271667607E-4</v>
      </c>
    </row>
    <row r="120" spans="1:6" x14ac:dyDescent="0.3">
      <c r="A120" s="101" t="s">
        <v>335</v>
      </c>
      <c r="B120" s="101" t="s">
        <v>336</v>
      </c>
      <c r="C120" s="102">
        <f ca="1"/>
        <v>16728240</v>
      </c>
      <c r="D120" s="102">
        <f ca="1"/>
        <v>23461305</v>
      </c>
      <c r="E120" s="103">
        <f t="shared" ca="1" si="1"/>
        <v>1.323689190813599E-4</v>
      </c>
      <c r="F120" s="103">
        <f t="shared" ca="1" si="1"/>
        <v>1.9537513433188906E-4</v>
      </c>
    </row>
    <row r="121" spans="1:6" x14ac:dyDescent="0.3">
      <c r="A121" s="100" t="s">
        <v>296</v>
      </c>
      <c r="B121" s="100" t="s">
        <v>297</v>
      </c>
      <c r="C121" s="102">
        <f ca="1"/>
        <v>21521675</v>
      </c>
      <c r="D121" s="102">
        <f ca="1"/>
        <v>22947408</v>
      </c>
      <c r="E121" s="103">
        <f t="shared" ca="1" si="1"/>
        <v>1.7029889914123221E-4</v>
      </c>
      <c r="F121" s="103">
        <f t="shared" ca="1" si="1"/>
        <v>1.9109563259881178E-4</v>
      </c>
    </row>
    <row r="122" spans="1:6" x14ac:dyDescent="0.3">
      <c r="A122" s="101" t="s">
        <v>440</v>
      </c>
      <c r="B122" s="101" t="s">
        <v>441</v>
      </c>
      <c r="C122" s="102">
        <f ca="1"/>
        <v>41680000</v>
      </c>
      <c r="D122" s="102">
        <f ca="1"/>
        <v>20000000</v>
      </c>
      <c r="E122" s="103">
        <f t="shared" ca="1" si="1"/>
        <v>3.2980974372146026E-4</v>
      </c>
      <c r="F122" s="103">
        <f t="shared" ca="1" si="1"/>
        <v>1.6655095215879003E-4</v>
      </c>
    </row>
    <row r="123" spans="1:6" x14ac:dyDescent="0.3">
      <c r="A123" s="100" t="s">
        <v>340</v>
      </c>
      <c r="B123" s="100" t="s">
        <v>341</v>
      </c>
      <c r="C123" s="102">
        <f ca="1"/>
        <v>22045194</v>
      </c>
      <c r="D123" s="102">
        <f ca="1"/>
        <v>19896212</v>
      </c>
      <c r="E123" s="103">
        <f t="shared" ca="1" si="1"/>
        <v>1.7444145353718505E-4</v>
      </c>
      <c r="F123" s="103">
        <f t="shared" ca="1" si="1"/>
        <v>1.656866526476572E-4</v>
      </c>
    </row>
    <row r="124" spans="1:6" x14ac:dyDescent="0.3">
      <c r="A124" s="101" t="s">
        <v>489</v>
      </c>
      <c r="B124" s="101" t="s">
        <v>490</v>
      </c>
      <c r="C124" s="102">
        <f ca="1"/>
        <v>14746190</v>
      </c>
      <c r="D124" s="102">
        <f ca="1"/>
        <v>19158874</v>
      </c>
      <c r="E124" s="103">
        <f t="shared" ca="1" si="1"/>
        <v>1.1668515222571882E-4</v>
      </c>
      <c r="F124" s="103">
        <f t="shared" ca="1" si="1"/>
        <v>1.595464353495143E-4</v>
      </c>
    </row>
    <row r="125" spans="1:6" x14ac:dyDescent="0.3">
      <c r="A125" s="100" t="s">
        <v>404</v>
      </c>
      <c r="B125" s="100" t="s">
        <v>405</v>
      </c>
      <c r="C125" s="102">
        <f ca="1"/>
        <v>10393404</v>
      </c>
      <c r="D125" s="102">
        <f ca="1"/>
        <v>15115102</v>
      </c>
      <c r="E125" s="103">
        <f t="shared" ca="1" si="1"/>
        <v>8.224198439619962E-5</v>
      </c>
      <c r="F125" s="103">
        <f t="shared" ca="1" si="1"/>
        <v>1.2587173150386158E-4</v>
      </c>
    </row>
    <row r="126" spans="1:6" x14ac:dyDescent="0.3">
      <c r="A126" s="101" t="s">
        <v>149</v>
      </c>
      <c r="B126" s="101" t="s">
        <v>150</v>
      </c>
      <c r="C126" s="102">
        <f ca="1"/>
        <v>11672267</v>
      </c>
      <c r="D126" s="102">
        <f ca="1"/>
        <v>13548838</v>
      </c>
      <c r="E126" s="103">
        <f t="shared" ca="1" si="1"/>
        <v>9.2361501629521537E-5</v>
      </c>
      <c r="F126" s="103">
        <f t="shared" ca="1" si="1"/>
        <v>1.1282859347725982E-4</v>
      </c>
    </row>
    <row r="127" spans="1:6" x14ac:dyDescent="0.3">
      <c r="A127" s="100" t="s">
        <v>169</v>
      </c>
      <c r="B127" s="100" t="s">
        <v>170</v>
      </c>
      <c r="C127" s="102">
        <f ca="1"/>
        <v>11825559</v>
      </c>
      <c r="D127" s="102">
        <f ca="1"/>
        <v>11985970</v>
      </c>
      <c r="E127" s="103">
        <f t="shared" ca="1" si="1"/>
        <v>9.3574486160100955E-5</v>
      </c>
      <c r="F127" s="103">
        <f t="shared" ca="1" si="1"/>
        <v>9.9813735802334631E-5</v>
      </c>
    </row>
    <row r="128" spans="1:6" x14ac:dyDescent="0.3">
      <c r="A128" s="101" t="s">
        <v>485</v>
      </c>
      <c r="B128" s="101" t="s">
        <v>483</v>
      </c>
      <c r="C128" s="102">
        <f ca="1"/>
        <v>0</v>
      </c>
      <c r="D128" s="102">
        <f ca="1"/>
        <v>11019918</v>
      </c>
      <c r="E128" s="103">
        <f t="shared" ca="1" si="1"/>
        <v>0</v>
      </c>
      <c r="F128" s="103">
        <f t="shared" ca="1" si="1"/>
        <v>9.1768891780589457E-5</v>
      </c>
    </row>
    <row r="129" spans="1:6" x14ac:dyDescent="0.3">
      <c r="A129" s="100" t="s">
        <v>321</v>
      </c>
      <c r="B129" s="100" t="s">
        <v>322</v>
      </c>
      <c r="C129" s="102">
        <f ca="1"/>
        <v>6499171</v>
      </c>
      <c r="D129" s="102">
        <f ca="1"/>
        <v>10057678</v>
      </c>
      <c r="E129" s="103">
        <f t="shared" ca="1" si="1"/>
        <v>5.1427301389442097E-5</v>
      </c>
      <c r="F129" s="103">
        <f t="shared" ca="1" si="1"/>
        <v>8.3755792370325752E-5</v>
      </c>
    </row>
    <row r="130" spans="1:6" x14ac:dyDescent="0.3">
      <c r="A130" s="101" t="s">
        <v>443</v>
      </c>
      <c r="B130" s="101" t="s">
        <v>444</v>
      </c>
      <c r="C130" s="102">
        <f ca="1"/>
        <v>3791602</v>
      </c>
      <c r="D130" s="102">
        <f ca="1"/>
        <v>8955659</v>
      </c>
      <c r="E130" s="103">
        <f t="shared" ca="1" si="1"/>
        <v>3.0002573990253746E-5</v>
      </c>
      <c r="F130" s="103">
        <f t="shared" ca="1" si="1"/>
        <v>7.4578676682971867E-5</v>
      </c>
    </row>
    <row r="131" spans="1:6" x14ac:dyDescent="0.3">
      <c r="A131" s="100" t="s">
        <v>446</v>
      </c>
      <c r="B131" s="100" t="s">
        <v>447</v>
      </c>
      <c r="C131" s="102">
        <f ca="1"/>
        <v>7597091</v>
      </c>
      <c r="D131" s="102">
        <f ca="1"/>
        <v>8222294</v>
      </c>
      <c r="E131" s="103">
        <f t="shared" ca="1" si="1"/>
        <v>6.0115034446703752E-5</v>
      </c>
      <c r="F131" s="103">
        <f t="shared" ca="1" si="1"/>
        <v>6.8471544731475316E-5</v>
      </c>
    </row>
    <row r="132" spans="1:6" x14ac:dyDescent="0.3">
      <c r="A132" s="101" t="s">
        <v>438</v>
      </c>
      <c r="B132" s="101" t="s">
        <v>439</v>
      </c>
      <c r="C132" s="102">
        <f ca="1"/>
        <v>5541341</v>
      </c>
      <c r="D132" s="102">
        <f ca="1"/>
        <v>8109643</v>
      </c>
      <c r="E132" s="103">
        <f t="shared" ca="1" si="1"/>
        <v>4.3848086734242331E-5</v>
      </c>
      <c r="F132" s="103">
        <f t="shared" ca="1" si="1"/>
        <v>6.7533438165893317E-5</v>
      </c>
    </row>
    <row r="133" spans="1:6" x14ac:dyDescent="0.3">
      <c r="A133" s="100" t="s">
        <v>465</v>
      </c>
      <c r="B133" s="100" t="s">
        <v>466</v>
      </c>
      <c r="C133" s="102">
        <f ca="1"/>
        <v>12607915</v>
      </c>
      <c r="D133" s="102">
        <f ca="1"/>
        <v>7796035</v>
      </c>
      <c r="E133" s="103">
        <f t="shared" ca="1" si="1"/>
        <v>9.9765192298751309E-5</v>
      </c>
      <c r="F133" s="103">
        <f t="shared" ca="1" si="1"/>
        <v>6.4921852615662626E-5</v>
      </c>
    </row>
    <row r="134" spans="1:6" x14ac:dyDescent="0.3">
      <c r="A134" s="101" t="s">
        <v>415</v>
      </c>
      <c r="B134" s="101" t="s">
        <v>416</v>
      </c>
      <c r="C134" s="102">
        <f ca="1"/>
        <v>5490297</v>
      </c>
      <c r="D134" s="102">
        <f ca="1"/>
        <v>5499855</v>
      </c>
      <c r="E134" s="103">
        <f t="shared" ref="E134:F147" ca="1" si="2">C134/C$149</f>
        <v>4.344418057880763E-5</v>
      </c>
      <c r="F134" s="103">
        <f t="shared" ca="1" si="2"/>
        <v>4.5800304349264109E-5</v>
      </c>
    </row>
    <row r="135" spans="1:6" x14ac:dyDescent="0.3">
      <c r="A135" s="100" t="s">
        <v>409</v>
      </c>
      <c r="B135" s="100" t="s">
        <v>410</v>
      </c>
      <c r="C135" s="102">
        <f ca="1"/>
        <v>922978</v>
      </c>
      <c r="D135" s="102">
        <f ca="1"/>
        <v>4835634</v>
      </c>
      <c r="E135" s="103">
        <f t="shared" ca="1" si="2"/>
        <v>7.3034342044276858E-6</v>
      </c>
      <c r="F135" s="103">
        <f t="shared" ca="1" si="2"/>
        <v>4.0268972349570924E-5</v>
      </c>
    </row>
    <row r="136" spans="1:6" x14ac:dyDescent="0.3">
      <c r="A136" s="101" t="s">
        <v>324</v>
      </c>
      <c r="B136" s="101" t="s">
        <v>325</v>
      </c>
      <c r="C136" s="102">
        <f ca="1"/>
        <v>4033122</v>
      </c>
      <c r="D136" s="102">
        <f ca="1"/>
        <v>3754947</v>
      </c>
      <c r="E136" s="103">
        <f t="shared" ca="1" si="2"/>
        <v>3.1913698013852763E-5</v>
      </c>
      <c r="F136" s="103">
        <f t="shared" ca="1" si="2"/>
        <v>3.1269499907789604E-5</v>
      </c>
    </row>
    <row r="137" spans="1:6" x14ac:dyDescent="0.3">
      <c r="A137" s="100" t="s">
        <v>102</v>
      </c>
      <c r="B137" s="100" t="s">
        <v>103</v>
      </c>
      <c r="C137" s="102">
        <f ca="1"/>
        <v>3447159</v>
      </c>
      <c r="D137" s="102">
        <f ca="1"/>
        <v>3604096</v>
      </c>
      <c r="E137" s="103">
        <f t="shared" ca="1" si="2"/>
        <v>2.7277030382848493E-5</v>
      </c>
      <c r="F137" s="103">
        <f t="shared" ca="1" si="2"/>
        <v>3.0013281023584325E-5</v>
      </c>
    </row>
    <row r="138" spans="1:6" x14ac:dyDescent="0.3">
      <c r="A138" s="101" t="s">
        <v>238</v>
      </c>
      <c r="B138" s="101" t="s">
        <v>239</v>
      </c>
      <c r="C138" s="102">
        <f ca="1"/>
        <v>711128</v>
      </c>
      <c r="D138" s="102">
        <f ca="1"/>
        <v>738278</v>
      </c>
      <c r="E138" s="103">
        <f t="shared" ca="1" si="2"/>
        <v>5.6270859748837476E-6</v>
      </c>
      <c r="F138" s="103">
        <f t="shared" ca="1" si="2"/>
        <v>6.1480451928943591E-6</v>
      </c>
    </row>
    <row r="139" spans="1:6" x14ac:dyDescent="0.3">
      <c r="A139" s="100" t="s">
        <v>247</v>
      </c>
      <c r="B139" s="100" t="s">
        <v>248</v>
      </c>
      <c r="C139" s="102">
        <f ca="1"/>
        <v>407084</v>
      </c>
      <c r="D139" s="102">
        <f ca="1"/>
        <v>674911</v>
      </c>
      <c r="E139" s="103">
        <f t="shared" ca="1" si="2"/>
        <v>3.2212156840956558E-6</v>
      </c>
      <c r="F139" s="103">
        <f t="shared" ca="1" si="2"/>
        <v>5.6203534836220571E-6</v>
      </c>
    </row>
    <row r="140" spans="1:6" x14ac:dyDescent="0.3">
      <c r="A140" s="101" t="s">
        <v>23</v>
      </c>
      <c r="B140" s="101" t="s">
        <v>24</v>
      </c>
      <c r="C140" s="102">
        <f ca="1"/>
        <v>0</v>
      </c>
      <c r="D140" s="102">
        <f ca="1"/>
        <v>0</v>
      </c>
      <c r="E140" s="103">
        <f t="shared" ca="1" si="2"/>
        <v>0</v>
      </c>
      <c r="F140" s="103">
        <f t="shared" ca="1" si="2"/>
        <v>0</v>
      </c>
    </row>
    <row r="141" spans="1:6" x14ac:dyDescent="0.3">
      <c r="A141" s="100" t="s">
        <v>195</v>
      </c>
      <c r="B141" s="100" t="s">
        <v>196</v>
      </c>
      <c r="C141" s="102">
        <f ca="1"/>
        <v>0</v>
      </c>
      <c r="D141" s="102">
        <f ca="1"/>
        <v>0</v>
      </c>
      <c r="E141" s="103">
        <f t="shared" ca="1" si="2"/>
        <v>0</v>
      </c>
      <c r="F141" s="103">
        <f t="shared" ca="1" si="2"/>
        <v>0</v>
      </c>
    </row>
    <row r="142" spans="1:6" x14ac:dyDescent="0.3">
      <c r="A142" s="101" t="s">
        <v>311</v>
      </c>
      <c r="B142" s="101" t="s">
        <v>312</v>
      </c>
      <c r="C142" s="102">
        <f ca="1"/>
        <v>0</v>
      </c>
      <c r="D142" s="102">
        <f ca="1"/>
        <v>0</v>
      </c>
      <c r="E142" s="103">
        <f t="shared" ca="1" si="2"/>
        <v>0</v>
      </c>
      <c r="F142" s="103">
        <f t="shared" ca="1" si="2"/>
        <v>0</v>
      </c>
    </row>
    <row r="143" spans="1:6" x14ac:dyDescent="0.3">
      <c r="A143" s="100" t="s">
        <v>316</v>
      </c>
      <c r="B143" s="100" t="s">
        <v>317</v>
      </c>
      <c r="C143" s="102">
        <f ca="1"/>
        <v>0</v>
      </c>
      <c r="D143" s="102">
        <f ca="1"/>
        <v>0</v>
      </c>
      <c r="E143" s="103">
        <f t="shared" ca="1" si="2"/>
        <v>0</v>
      </c>
      <c r="F143" s="103">
        <f t="shared" ca="1" si="2"/>
        <v>0</v>
      </c>
    </row>
    <row r="144" spans="1:6" x14ac:dyDescent="0.3">
      <c r="A144" s="101" t="s">
        <v>402</v>
      </c>
      <c r="B144" s="101" t="s">
        <v>403</v>
      </c>
      <c r="C144" s="102">
        <f ca="1"/>
        <v>0</v>
      </c>
      <c r="D144" s="102">
        <f ca="1"/>
        <v>0</v>
      </c>
      <c r="E144" s="103">
        <f t="shared" ca="1" si="2"/>
        <v>0</v>
      </c>
      <c r="F144" s="103">
        <f t="shared" ca="1" si="2"/>
        <v>0</v>
      </c>
    </row>
    <row r="145" spans="1:6" x14ac:dyDescent="0.3">
      <c r="A145" s="100" t="s">
        <v>407</v>
      </c>
      <c r="B145" s="100" t="s">
        <v>408</v>
      </c>
      <c r="C145" s="102">
        <f ca="1"/>
        <v>0</v>
      </c>
      <c r="D145" s="102">
        <f ca="1"/>
        <v>0</v>
      </c>
      <c r="E145" s="103">
        <f t="shared" ca="1" si="2"/>
        <v>0</v>
      </c>
      <c r="F145" s="103">
        <f t="shared" ca="1" si="2"/>
        <v>0</v>
      </c>
    </row>
    <row r="146" spans="1:6" x14ac:dyDescent="0.3">
      <c r="A146" s="101" t="s">
        <v>468</v>
      </c>
      <c r="B146" s="101" t="s">
        <v>469</v>
      </c>
      <c r="C146" s="102">
        <f ca="1"/>
        <v>45622476</v>
      </c>
      <c r="D146" s="102">
        <f ca="1"/>
        <v>0</v>
      </c>
      <c r="E146" s="103">
        <f t="shared" ca="1" si="2"/>
        <v>3.610061688459326E-4</v>
      </c>
      <c r="F146" s="103">
        <f t="shared" ca="1" si="2"/>
        <v>0</v>
      </c>
    </row>
    <row r="147" spans="1:6" x14ac:dyDescent="0.3">
      <c r="A147" s="100" t="s">
        <v>482</v>
      </c>
      <c r="B147" s="100" t="s">
        <v>483</v>
      </c>
      <c r="C147" s="102">
        <f ca="1"/>
        <v>17780909</v>
      </c>
      <c r="D147" s="102">
        <f ca="1"/>
        <v>0</v>
      </c>
      <c r="E147" s="103">
        <f t="shared" ca="1" si="2"/>
        <v>1.4069858542285524E-4</v>
      </c>
      <c r="F147" s="103">
        <f t="shared" ca="1" si="2"/>
        <v>0</v>
      </c>
    </row>
    <row r="149" spans="1:6" x14ac:dyDescent="0.3">
      <c r="B149" s="43" t="s">
        <v>3098</v>
      </c>
      <c r="C149" s="103">
        <f ca="1">SUM(C5:C147)</f>
        <v>126375890323</v>
      </c>
      <c r="D149" s="103">
        <f ca="1">SUM(D5:D147)</f>
        <v>120083372330</v>
      </c>
    </row>
  </sheetData>
  <conditionalFormatting sqref="C5:C147">
    <cfRule type="dataBar" priority="2">
      <dataBar>
        <cfvo type="min"/>
        <cfvo type="max"/>
        <color rgb="FF638EC6"/>
      </dataBar>
      <extLst>
        <ext xmlns:x14="http://schemas.microsoft.com/office/spreadsheetml/2009/9/main" uri="{B025F937-C7B1-47D3-B67F-A62EFF666E3E}">
          <x14:id>{933AABCB-7312-4FD0-AB11-9E5B7CD74148}</x14:id>
        </ext>
      </extLst>
    </cfRule>
  </conditionalFormatting>
  <conditionalFormatting sqref="D5:D147">
    <cfRule type="dataBar" priority="1">
      <dataBar>
        <cfvo type="min"/>
        <cfvo type="max"/>
        <color rgb="FF63C384"/>
      </dataBar>
      <extLst>
        <ext xmlns:x14="http://schemas.microsoft.com/office/spreadsheetml/2009/9/main" uri="{B025F937-C7B1-47D3-B67F-A62EFF666E3E}">
          <x14:id>{48DE66B4-1DC5-4FD8-97BB-042DA34C609F}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33AABCB-7312-4FD0-AB11-9E5B7CD74148}">
            <x14:dataBar minLength="0" maxLength="100" gradient="0">
              <x14:cfvo type="autoMin"/>
              <x14:cfvo type="autoMax"/>
              <x14:negativeFillColor rgb="FFFF0000"/>
              <x14:axisColor rgb="FF000000"/>
            </x14:dataBar>
          </x14:cfRule>
          <xm:sqref>C5:C147</xm:sqref>
        </x14:conditionalFormatting>
        <x14:conditionalFormatting xmlns:xm="http://schemas.microsoft.com/office/excel/2006/main">
          <x14:cfRule type="dataBar" id="{48DE66B4-1DC5-4FD8-97BB-042DA34C609F}">
            <x14:dataBar minLength="0" maxLength="100" gradient="0">
              <x14:cfvo type="autoMin"/>
              <x14:cfvo type="autoMax"/>
              <x14:negativeFillColor rgb="FFFF0000"/>
              <x14:axisColor rgb="FF000000"/>
            </x14:dataBar>
          </x14:cfRule>
          <xm:sqref>D5:D147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1"/>
  <sheetViews>
    <sheetView zoomScaleNormal="100" workbookViewId="0">
      <selection activeCell="B23" sqref="B23"/>
    </sheetView>
  </sheetViews>
  <sheetFormatPr defaultRowHeight="14.4" x14ac:dyDescent="0.3"/>
  <cols>
    <col min="1" max="1" width="17.5546875" customWidth="1"/>
    <col min="2" max="2" width="29.109375" customWidth="1"/>
    <col min="3" max="3" width="138.88671875" customWidth="1"/>
  </cols>
  <sheetData>
    <row r="1" spans="1:3" x14ac:dyDescent="0.3">
      <c r="A1" s="50" t="s">
        <v>3057</v>
      </c>
      <c r="B1" t="s">
        <v>3058</v>
      </c>
    </row>
    <row r="2" spans="1:3" ht="15" thickBot="1" x14ac:dyDescent="0.35"/>
    <row r="3" spans="1:3" ht="15" thickBot="1" x14ac:dyDescent="0.35">
      <c r="B3" s="38" t="s">
        <v>2769</v>
      </c>
      <c r="C3" s="39" t="s">
        <v>2770</v>
      </c>
    </row>
    <row r="4" spans="1:3" ht="15" thickTop="1" x14ac:dyDescent="0.3">
      <c r="B4" s="83" t="s">
        <v>2771</v>
      </c>
      <c r="C4" s="40" t="s">
        <v>2772</v>
      </c>
    </row>
    <row r="5" spans="1:3" x14ac:dyDescent="0.3">
      <c r="B5" s="83" t="s">
        <v>2773</v>
      </c>
      <c r="C5" s="40" t="s">
        <v>2774</v>
      </c>
    </row>
    <row r="6" spans="1:3" x14ac:dyDescent="0.3">
      <c r="B6" s="83" t="s">
        <v>2775</v>
      </c>
      <c r="C6" s="40" t="s">
        <v>2776</v>
      </c>
    </row>
    <row r="7" spans="1:3" x14ac:dyDescent="0.3">
      <c r="B7" s="83" t="s">
        <v>2777</v>
      </c>
      <c r="C7" s="40" t="s">
        <v>2778</v>
      </c>
    </row>
    <row r="8" spans="1:3" x14ac:dyDescent="0.3">
      <c r="B8" s="83" t="s">
        <v>2779</v>
      </c>
      <c r="C8" s="40" t="s">
        <v>2780</v>
      </c>
    </row>
    <row r="9" spans="1:3" x14ac:dyDescent="0.3">
      <c r="B9" s="83" t="s">
        <v>2781</v>
      </c>
      <c r="C9" s="40" t="s">
        <v>2782</v>
      </c>
    </row>
    <row r="10" spans="1:3" x14ac:dyDescent="0.3">
      <c r="B10" s="83" t="s">
        <v>2783</v>
      </c>
      <c r="C10" s="40" t="s">
        <v>2784</v>
      </c>
    </row>
    <row r="11" spans="1:3" x14ac:dyDescent="0.3">
      <c r="B11" s="83" t="s">
        <v>2785</v>
      </c>
      <c r="C11" s="40" t="s">
        <v>2786</v>
      </c>
    </row>
    <row r="12" spans="1:3" x14ac:dyDescent="0.3">
      <c r="B12" s="83" t="s">
        <v>2787</v>
      </c>
      <c r="C12" s="40" t="s">
        <v>2788</v>
      </c>
    </row>
    <row r="13" spans="1:3" x14ac:dyDescent="0.3">
      <c r="B13" s="83" t="s">
        <v>2789</v>
      </c>
      <c r="C13" s="40" t="s">
        <v>2790</v>
      </c>
    </row>
    <row r="14" spans="1:3" x14ac:dyDescent="0.3">
      <c r="B14" s="83" t="s">
        <v>2791</v>
      </c>
      <c r="C14" s="40" t="s">
        <v>2792</v>
      </c>
    </row>
    <row r="15" spans="1:3" x14ac:dyDescent="0.3">
      <c r="B15" s="83" t="s">
        <v>2793</v>
      </c>
      <c r="C15" s="40" t="s">
        <v>2794</v>
      </c>
    </row>
    <row r="16" spans="1:3" x14ac:dyDescent="0.3">
      <c r="B16" s="83" t="s">
        <v>2795</v>
      </c>
      <c r="C16" s="40" t="s">
        <v>2796</v>
      </c>
    </row>
    <row r="17" spans="2:3" x14ac:dyDescent="0.3">
      <c r="B17" s="83" t="s">
        <v>2797</v>
      </c>
      <c r="C17" s="40" t="s">
        <v>2798</v>
      </c>
    </row>
    <row r="18" spans="2:3" x14ac:dyDescent="0.3">
      <c r="B18" s="83" t="s">
        <v>2799</v>
      </c>
      <c r="C18" s="40" t="s">
        <v>2800</v>
      </c>
    </row>
    <row r="19" spans="2:3" x14ac:dyDescent="0.3">
      <c r="B19" s="83" t="s">
        <v>2801</v>
      </c>
      <c r="C19" s="40" t="s">
        <v>2802</v>
      </c>
    </row>
    <row r="20" spans="2:3" s="50" customFormat="1" x14ac:dyDescent="0.3">
      <c r="B20" s="83" t="s">
        <v>3145</v>
      </c>
      <c r="C20" s="14" t="s">
        <v>3144</v>
      </c>
    </row>
    <row r="21" spans="2:3" ht="15" thickBot="1" x14ac:dyDescent="0.35">
      <c r="B21" s="84" t="s">
        <v>2803</v>
      </c>
      <c r="C21" s="41" t="s">
        <v>2804</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1" r:id="rId17" xr:uid="{11A438F1-1154-4BD3-B47E-E1AA7F40A563}"/>
    <hyperlink ref="C20" r:id="rId18" display="https://doi.org/10.1787/aa1edf33-en" xr:uid="{6E8E21F5-8C8E-4302-9D86-2B24EAA066B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Filtered PRODCOM data</vt:lpstr>
      <vt:lpstr>Correlation EU27 2019-2022</vt:lpstr>
      <vt:lpstr>Split Polyamides &amp; Isocyanates</vt:lpstr>
      <vt:lpstr>End-of-life fates</vt:lpstr>
      <vt:lpstr>Hotspot products export</vt:lpstr>
      <vt:lpstr>Sensitivity analysis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2026-08-19T18:21:16Z</dcterms:modified>
</cp:coreProperties>
</file>