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A660D838-64B7-4AB0-934B-596014D9CB26}" xr6:coauthVersionLast="47" xr6:coauthVersionMax="47" xr10:uidLastSave="{00000000-0000-0000-0000-000000000000}"/>
  <bookViews>
    <workbookView xWindow="-28935" yWindow="-45" windowWidth="29070" windowHeight="15750" tabRatio="570" activeTab="3" xr2:uid="{EE4678C9-3BCB-4D41-A2DA-6855614353C7}"/>
  </bookViews>
  <sheets>
    <sheet name="README" sheetId="4" r:id="rId1"/>
    <sheet name="Filtered Prodcom data" sheetId="3" r:id="rId2"/>
    <sheet name="Calculations" sheetId="6" r:id="rId3"/>
    <sheet name="Hotspot products export" sheetId="7" r:id="rId4"/>
    <sheet name="References" sheetId="5" r:id="rId5"/>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47" i="7" l="1" a="1"/>
  <c r="S47" i="7" s="1"/>
  <c r="AA35" i="7" a="1"/>
  <c r="AA35" i="7" s="1"/>
  <c r="S35" i="7" a="1"/>
  <c r="S35" i="7" s="1"/>
  <c r="Y32" i="7" a="1"/>
  <c r="Y32" i="7" s="1"/>
  <c r="S32" i="7" a="1"/>
  <c r="S32" i="7" s="1"/>
  <c r="Y31" i="7" a="1"/>
  <c r="Y31" i="7" s="1"/>
  <c r="S31" i="7" a="1"/>
  <c r="S31" i="7" s="1"/>
  <c r="S25" i="7" a="1"/>
  <c r="S25" i="7" s="1"/>
  <c r="Y23" i="7" a="1"/>
  <c r="Y23" i="7" s="1"/>
  <c r="AC18" i="7" a="1"/>
  <c r="AC18" i="7" s="1"/>
  <c r="S18" i="7" a="1"/>
  <c r="S18" i="7" s="1"/>
  <c r="AA16" i="7" a="1"/>
  <c r="AA16" i="7" s="1"/>
  <c r="AA15" i="7" a="1"/>
  <c r="AA15" i="7" s="1"/>
  <c r="Y15" i="7"/>
  <c r="S15" i="7" a="1"/>
  <c r="S15" i="7" s="1"/>
  <c r="Y14" i="7" a="1"/>
  <c r="Y14" i="7" s="1"/>
  <c r="S14" i="7" a="1"/>
  <c r="S14" i="7" s="1"/>
  <c r="AA12" i="7" a="1"/>
  <c r="AA12" i="7" s="1"/>
  <c r="AC11" i="7" a="1"/>
  <c r="AC11" i="7"/>
  <c r="S11" i="7" a="1"/>
  <c r="S11" i="7" s="1"/>
  <c r="S10" i="7" a="1"/>
  <c r="S10" i="7" s="1"/>
  <c r="AA9" i="7" a="1"/>
  <c r="AA9" i="7" s="1"/>
  <c r="Y9" i="7"/>
  <c r="Y60" i="7" a="1"/>
  <c r="Y60" i="7" s="1"/>
  <c r="S60" i="7" a="1"/>
  <c r="S60" i="7" s="1"/>
  <c r="Y59" i="7" a="1"/>
  <c r="Y59" i="7" s="1"/>
  <c r="S59" i="7" a="1"/>
  <c r="S59" i="7" s="1"/>
  <c r="N58" i="7"/>
  <c r="N59" i="7"/>
  <c r="N60" i="7"/>
  <c r="N61" i="7"/>
  <c r="N57" i="7"/>
  <c r="H57" i="7"/>
  <c r="H58" i="7"/>
  <c r="H59" i="7"/>
  <c r="H60" i="7"/>
  <c r="H61" i="7"/>
  <c r="G58" i="7"/>
  <c r="G59" i="7"/>
  <c r="G60" i="7"/>
  <c r="G61" i="7"/>
  <c r="F57" i="7"/>
  <c r="G57" i="7" s="1"/>
  <c r="F58" i="7"/>
  <c r="F59" i="7"/>
  <c r="F60" i="7"/>
  <c r="F61" i="7"/>
  <c r="C22" i="6" l="1"/>
  <c r="C13" i="6"/>
  <c r="C35" i="4"/>
  <c r="C34" i="4"/>
  <c r="C33" i="4"/>
  <c r="C32" i="4"/>
  <c r="F65" i="7"/>
  <c r="F64" i="7"/>
  <c r="Y63" i="7" l="1" a="1"/>
  <c r="Y63" i="7" s="1"/>
  <c r="Y62" i="7" a="1"/>
  <c r="Y62" i="7" s="1"/>
  <c r="S63" i="7" a="1"/>
  <c r="S63" i="7" s="1"/>
  <c r="S62" i="7" a="1"/>
  <c r="S62" i="7" s="1"/>
  <c r="S65" i="7" a="1"/>
  <c r="S65" i="7" s="1"/>
  <c r="Y65" i="7" a="1"/>
  <c r="Y65" i="7" s="1"/>
  <c r="Y64" i="7" a="1"/>
  <c r="Y64" i="7" s="1"/>
  <c r="S64" i="7" a="1"/>
  <c r="S64" i="7" s="1"/>
  <c r="Y56" i="7" a="1"/>
  <c r="Y56" i="7" s="1"/>
  <c r="S56" i="7" a="1"/>
  <c r="S56" i="7" s="1"/>
  <c r="Y55" i="7" a="1"/>
  <c r="Y55" i="7" s="1"/>
  <c r="S55" i="7" a="1"/>
  <c r="S55" i="7" s="1"/>
  <c r="Y54" i="7" a="1"/>
  <c r="Y54" i="7" s="1"/>
  <c r="S54" i="7" a="1"/>
  <c r="S54" i="7" s="1"/>
  <c r="Y51" i="7" a="1"/>
  <c r="Y51" i="7" s="1"/>
  <c r="S51" i="7" a="1"/>
  <c r="S51" i="7" s="1"/>
  <c r="Y49" i="7" a="1"/>
  <c r="Y49" i="7" s="1"/>
  <c r="S49" i="7" a="1"/>
  <c r="S49" i="7" s="1"/>
  <c r="Y48" i="7" a="1"/>
  <c r="Y48" i="7" s="1"/>
  <c r="S48" i="7" a="1"/>
  <c r="S48" i="7" s="1"/>
  <c r="Y46" i="7" a="1"/>
  <c r="Y46" i="7" s="1"/>
  <c r="S46" i="7" a="1"/>
  <c r="S46" i="7" s="1"/>
  <c r="Y42" i="7" a="1"/>
  <c r="Y42" i="7" s="1"/>
  <c r="S42" i="7" a="1"/>
  <c r="S42" i="7" s="1"/>
  <c r="Y41" i="7" a="1"/>
  <c r="Y41" i="7" s="1"/>
  <c r="S41" i="7" a="1"/>
  <c r="S41" i="7" s="1"/>
  <c r="Y40" i="7" a="1"/>
  <c r="Y40" i="7" s="1"/>
  <c r="S40" i="7" a="1"/>
  <c r="S40" i="7" s="1"/>
  <c r="Y38" i="7" a="1"/>
  <c r="Y38" i="7" s="1"/>
  <c r="S38" i="7" a="1"/>
  <c r="S38" i="7" s="1"/>
  <c r="Y36" i="7" a="1"/>
  <c r="Y36" i="7" s="1"/>
  <c r="S36" i="7" a="1"/>
  <c r="S36" i="7" s="1"/>
  <c r="Y30" i="7" a="1"/>
  <c r="Y30" i="7" s="1"/>
  <c r="S30" i="7" a="1"/>
  <c r="S30" i="7" s="1"/>
  <c r="Y28" i="7" a="1"/>
  <c r="Y28" i="7" s="1"/>
  <c r="S28" i="7" a="1"/>
  <c r="S28" i="7" s="1"/>
  <c r="Y27" i="7" a="1"/>
  <c r="Y27" i="7" s="1"/>
  <c r="S27" i="7" a="1"/>
  <c r="S27" i="7" s="1"/>
  <c r="Y24" i="7" a="1"/>
  <c r="Y24" i="7" s="1"/>
  <c r="S24" i="7" a="1"/>
  <c r="S24" i="7" s="1"/>
  <c r="AE13" i="7" a="1"/>
  <c r="AE13" i="7" s="1"/>
  <c r="U13" i="7"/>
  <c r="N62" i="7"/>
  <c r="N63" i="7"/>
  <c r="N64" i="7"/>
  <c r="N65" i="7"/>
  <c r="N10" i="7"/>
  <c r="N11" i="7"/>
  <c r="N27" i="7"/>
  <c r="N28" i="7"/>
  <c r="N29" i="7"/>
  <c r="N30" i="7"/>
  <c r="N31" i="7"/>
  <c r="N47" i="7"/>
  <c r="N48" i="7"/>
  <c r="N49" i="7"/>
  <c r="N50" i="7"/>
  <c r="N51" i="7"/>
  <c r="N16" i="7"/>
  <c r="N17" i="7"/>
  <c r="N35" i="7"/>
  <c r="N36" i="7"/>
  <c r="N37" i="7"/>
  <c r="N38" i="7"/>
  <c r="N55" i="7"/>
  <c r="N9" i="7"/>
  <c r="C21" i="6"/>
  <c r="C11" i="6"/>
  <c r="N15" i="7" l="1"/>
  <c r="N20" i="7"/>
  <c r="N14" i="7"/>
  <c r="N19" i="7"/>
  <c r="N53" i="7"/>
  <c r="N33" i="7"/>
  <c r="N13" i="7"/>
  <c r="N52" i="7"/>
  <c r="N32" i="7"/>
  <c r="N12" i="7"/>
  <c r="N22" i="7"/>
  <c r="N40" i="7"/>
  <c r="N26" i="7"/>
  <c r="N34" i="7"/>
  <c r="N39" i="7"/>
  <c r="N25" i="7"/>
  <c r="N24" i="7"/>
  <c r="N41" i="7"/>
  <c r="N18" i="7"/>
  <c r="N45" i="7"/>
  <c r="N43" i="7"/>
  <c r="N54" i="7"/>
  <c r="N46" i="7"/>
  <c r="N42" i="7"/>
  <c r="N56" i="7"/>
  <c r="N44" i="7"/>
  <c r="N23" i="7"/>
  <c r="N21" i="7"/>
  <c r="AJ6" i="3" l="1"/>
  <c r="H9" i="7" s="1"/>
  <c r="AJ7" i="3"/>
  <c r="H10" i="7" s="1"/>
  <c r="AJ8" i="3"/>
  <c r="H11" i="7" s="1"/>
  <c r="AJ9" i="3"/>
  <c r="H12" i="7" s="1"/>
  <c r="AJ10" i="3"/>
  <c r="H13" i="7" s="1"/>
  <c r="AJ11" i="3"/>
  <c r="H14" i="7" s="1"/>
  <c r="AJ12" i="3"/>
  <c r="AJ13" i="3"/>
  <c r="AJ14" i="3"/>
  <c r="H15" i="7" s="1"/>
  <c r="AJ15" i="3"/>
  <c r="H16" i="7" s="1"/>
  <c r="AJ16" i="3"/>
  <c r="AJ17" i="3"/>
  <c r="H17" i="7" s="1"/>
  <c r="AJ18" i="3"/>
  <c r="H18" i="7" s="1"/>
  <c r="AJ19" i="3"/>
  <c r="H19" i="7" s="1"/>
  <c r="AJ20" i="3"/>
  <c r="H20" i="7" s="1"/>
  <c r="AJ21" i="3"/>
  <c r="AJ22" i="3"/>
  <c r="AJ23" i="3"/>
  <c r="H21" i="7" s="1"/>
  <c r="AJ24" i="3"/>
  <c r="AJ25" i="3"/>
  <c r="AJ26" i="3"/>
  <c r="AJ27" i="3"/>
  <c r="AJ28" i="3"/>
  <c r="AJ29" i="3"/>
  <c r="AJ30" i="3"/>
  <c r="H22" i="7" s="1"/>
  <c r="AJ31" i="3"/>
  <c r="AJ32" i="3"/>
  <c r="H23" i="7" s="1"/>
  <c r="AJ33" i="3"/>
  <c r="AJ34" i="3"/>
  <c r="H24" i="7" s="1"/>
  <c r="AJ35" i="3"/>
  <c r="AJ36" i="3"/>
  <c r="AJ37" i="3"/>
  <c r="H25" i="7" s="1"/>
  <c r="AJ38" i="3"/>
  <c r="AJ39" i="3"/>
  <c r="H26" i="7" s="1"/>
  <c r="AJ40" i="3"/>
  <c r="AJ41" i="3"/>
  <c r="AJ42" i="3"/>
  <c r="AJ43" i="3"/>
  <c r="AJ44" i="3"/>
  <c r="H27" i="7" s="1"/>
  <c r="AJ45" i="3"/>
  <c r="H28" i="7" s="1"/>
  <c r="AJ46" i="3"/>
  <c r="H29" i="7" s="1"/>
  <c r="AJ47" i="3"/>
  <c r="H30" i="7" s="1"/>
  <c r="AJ48" i="3"/>
  <c r="AJ49" i="3"/>
  <c r="H31" i="7" s="1"/>
  <c r="AJ50" i="3"/>
  <c r="AJ51" i="3"/>
  <c r="H32" i="7" s="1"/>
  <c r="AJ52" i="3"/>
  <c r="H33" i="7" s="1"/>
  <c r="AJ53" i="3"/>
  <c r="H34" i="7" s="1"/>
  <c r="AJ54" i="3"/>
  <c r="AJ55" i="3"/>
  <c r="H35" i="7" s="1"/>
  <c r="AJ56" i="3"/>
  <c r="H36" i="7" s="1"/>
  <c r="AJ57" i="3"/>
  <c r="H37" i="7" s="1"/>
  <c r="AJ58" i="3"/>
  <c r="AJ59" i="3"/>
  <c r="H38" i="7" s="1"/>
  <c r="AJ60" i="3"/>
  <c r="H39" i="7" s="1"/>
  <c r="AJ61" i="3"/>
  <c r="AJ62" i="3"/>
  <c r="AJ63" i="3"/>
  <c r="H40" i="7" s="1"/>
  <c r="AJ64" i="3"/>
  <c r="AJ65" i="3"/>
  <c r="H41" i="7" s="1"/>
  <c r="AJ66" i="3"/>
  <c r="AJ67" i="3"/>
  <c r="H42" i="7" s="1"/>
  <c r="AJ68" i="3"/>
  <c r="AJ69" i="3"/>
  <c r="AJ70" i="3"/>
  <c r="AJ71" i="3"/>
  <c r="AJ72" i="3"/>
  <c r="AJ73" i="3"/>
  <c r="H43" i="7" s="1"/>
  <c r="AJ74" i="3"/>
  <c r="H44" i="7" s="1"/>
  <c r="AJ75" i="3"/>
  <c r="H45" i="7" s="1"/>
  <c r="AJ76" i="3"/>
  <c r="AJ77" i="3"/>
  <c r="H46" i="7" s="1"/>
  <c r="AJ78" i="3"/>
  <c r="AJ79" i="3"/>
  <c r="AJ80" i="3"/>
  <c r="H47" i="7" s="1"/>
  <c r="AJ81" i="3"/>
  <c r="AJ82" i="3"/>
  <c r="AJ83" i="3"/>
  <c r="H48" i="7" s="1"/>
  <c r="AJ84" i="3"/>
  <c r="AJ85" i="3"/>
  <c r="H49" i="7" s="1"/>
  <c r="AJ86" i="3"/>
  <c r="AJ87" i="3"/>
  <c r="AJ88" i="3"/>
  <c r="AJ89" i="3"/>
  <c r="AJ90" i="3"/>
  <c r="AJ91" i="3"/>
  <c r="AJ92" i="3"/>
  <c r="AJ93" i="3"/>
  <c r="H50" i="7" s="1"/>
  <c r="AJ94" i="3"/>
  <c r="AJ95" i="3"/>
  <c r="AJ96" i="3"/>
  <c r="AJ97" i="3"/>
  <c r="AJ98" i="3"/>
  <c r="AJ99" i="3"/>
  <c r="AJ100" i="3"/>
  <c r="AJ101" i="3"/>
  <c r="AJ102" i="3"/>
  <c r="AJ103" i="3"/>
  <c r="H51" i="7" s="1"/>
  <c r="AJ104" i="3"/>
  <c r="AJ105" i="3"/>
  <c r="AJ106" i="3"/>
  <c r="AJ107" i="3"/>
  <c r="AJ108" i="3"/>
  <c r="H52" i="7" s="1"/>
  <c r="AJ109" i="3"/>
  <c r="AJ110" i="3"/>
  <c r="AJ111" i="3"/>
  <c r="AJ112" i="3"/>
  <c r="AJ113" i="3"/>
  <c r="AJ114" i="3"/>
  <c r="AJ115" i="3"/>
  <c r="AJ116" i="3"/>
  <c r="H53" i="7" s="1"/>
  <c r="AJ117" i="3"/>
  <c r="AJ118" i="3"/>
  <c r="H54" i="7" s="1"/>
  <c r="AJ119" i="3"/>
  <c r="AJ120" i="3"/>
  <c r="H55" i="7" s="1"/>
  <c r="AJ121" i="3"/>
  <c r="H56"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62" i="7" l="1"/>
  <c r="H63" i="7"/>
  <c r="H64" i="7"/>
  <c r="H65"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10" i="7" s="1"/>
  <c r="G10" i="7" s="1"/>
  <c r="AD8" i="3"/>
  <c r="F11" i="7" s="1"/>
  <c r="G11" i="7" s="1"/>
  <c r="AD30" i="3"/>
  <c r="F22" i="7" s="1"/>
  <c r="G22" i="7" s="1"/>
  <c r="AD23" i="3"/>
  <c r="F21" i="7" s="1"/>
  <c r="G21" i="7" s="1"/>
  <c r="AD224" i="3"/>
  <c r="AD225" i="3"/>
  <c r="AD42" i="3"/>
  <c r="AD74" i="3"/>
  <c r="F44" i="7" s="1"/>
  <c r="G44" i="7" s="1"/>
  <c r="AD145" i="3"/>
  <c r="AD11" i="3"/>
  <c r="F14" i="7" s="1"/>
  <c r="G14" i="7" s="1"/>
  <c r="AD46" i="3"/>
  <c r="F29" i="7" s="1"/>
  <c r="G29" i="7" s="1"/>
  <c r="AD121" i="3"/>
  <c r="F56" i="7" s="1"/>
  <c r="G56" i="7" s="1"/>
  <c r="AD45" i="3"/>
  <c r="F28" i="7" s="1"/>
  <c r="G28" i="7" s="1"/>
  <c r="AD63" i="3"/>
  <c r="F40" i="7" s="1"/>
  <c r="G40" i="7" s="1"/>
  <c r="AD18" i="3"/>
  <c r="F18" i="7" s="1"/>
  <c r="G18" i="7" s="1"/>
  <c r="AD80" i="3"/>
  <c r="F47" i="7" s="1"/>
  <c r="G47" i="7" s="1"/>
  <c r="AD67" i="3"/>
  <c r="F42" i="7" s="1"/>
  <c r="G42" i="7" s="1"/>
  <c r="AD66" i="3"/>
  <c r="AD124" i="3"/>
  <c r="AD150" i="3"/>
  <c r="AD164" i="3"/>
  <c r="AD199" i="3"/>
  <c r="AD44" i="3"/>
  <c r="F27" i="7" s="1"/>
  <c r="G27" i="7" s="1"/>
  <c r="AD185" i="3"/>
  <c r="AD55" i="3"/>
  <c r="F35" i="7" s="1"/>
  <c r="G35" i="7" s="1"/>
  <c r="AD156" i="3"/>
  <c r="AD144" i="3"/>
  <c r="AD140" i="3"/>
  <c r="AD167" i="3"/>
  <c r="AD159" i="3"/>
  <c r="AD175" i="3"/>
  <c r="AD183" i="3"/>
  <c r="AD221" i="3"/>
  <c r="AD131" i="3"/>
  <c r="AD88" i="3"/>
  <c r="AD10" i="3"/>
  <c r="F13" i="7" s="1"/>
  <c r="G13" i="7" s="1"/>
  <c r="AD77" i="3"/>
  <c r="F46" i="7" s="1"/>
  <c r="G46" i="7" s="1"/>
  <c r="AD93" i="3"/>
  <c r="F50" i="7" s="1"/>
  <c r="G50" i="7" s="1"/>
  <c r="AD178" i="3"/>
  <c r="AD105" i="3"/>
  <c r="AD94" i="3"/>
  <c r="AD198" i="3"/>
  <c r="AD34" i="3"/>
  <c r="F24" i="7" s="1"/>
  <c r="G24" i="7" s="1"/>
  <c r="AD59" i="3"/>
  <c r="F38" i="7" s="1"/>
  <c r="G38" i="7" s="1"/>
  <c r="AD104" i="3"/>
  <c r="AD69" i="3"/>
  <c r="AD165" i="3"/>
  <c r="AD226" i="3"/>
  <c r="AD209" i="3"/>
  <c r="AD70" i="3"/>
  <c r="AD171" i="3"/>
  <c r="AD194" i="3"/>
  <c r="AD33" i="3"/>
  <c r="AD129" i="3"/>
  <c r="AD202" i="3"/>
  <c r="AD211" i="3"/>
  <c r="AD117" i="3"/>
  <c r="AD149" i="3"/>
  <c r="AD148" i="3"/>
  <c r="AD89" i="3"/>
  <c r="AD29" i="3"/>
  <c r="AD108" i="3"/>
  <c r="F52" i="7" s="1"/>
  <c r="G52" i="7" s="1"/>
  <c r="AD40" i="3"/>
  <c r="AD107" i="3"/>
  <c r="AD227" i="3"/>
  <c r="AD128" i="3"/>
  <c r="AD228" i="3"/>
  <c r="AD106" i="3"/>
  <c r="AD52" i="3"/>
  <c r="F33" i="7" s="1"/>
  <c r="G33" i="7" s="1"/>
  <c r="AD134" i="3"/>
  <c r="AD168" i="3"/>
  <c r="AD82" i="3"/>
  <c r="AD113" i="3"/>
  <c r="AD83" i="3"/>
  <c r="F48" i="7" s="1"/>
  <c r="G48" i="7" s="1"/>
  <c r="AD176" i="3"/>
  <c r="AD120" i="3"/>
  <c r="F55" i="7" s="1"/>
  <c r="G55" i="7" s="1"/>
  <c r="AD158" i="3"/>
  <c r="AD143" i="3"/>
  <c r="AD182" i="3"/>
  <c r="AD222" i="3"/>
  <c r="AD151" i="3"/>
  <c r="AD123" i="3"/>
  <c r="AD223" i="3"/>
  <c r="AD229" i="3"/>
  <c r="AD75" i="3"/>
  <c r="F45" i="7" s="1"/>
  <c r="G45" i="7" s="1"/>
  <c r="AD166" i="3"/>
  <c r="AD200" i="3"/>
  <c r="AD91" i="3"/>
  <c r="AD19" i="3"/>
  <c r="F19" i="7" s="1"/>
  <c r="G19" i="7" s="1"/>
  <c r="AD86" i="3"/>
  <c r="AD61" i="3"/>
  <c r="AD79" i="3"/>
  <c r="AD101" i="3"/>
  <c r="AD170" i="3"/>
  <c r="AD132" i="3"/>
  <c r="AD103" i="3"/>
  <c r="F51" i="7" s="1"/>
  <c r="G51" i="7" s="1"/>
  <c r="AD162" i="3"/>
  <c r="AD169" i="3"/>
  <c r="AD56" i="3"/>
  <c r="F36" i="7" s="1"/>
  <c r="G36" i="7" s="1"/>
  <c r="AD204" i="3"/>
  <c r="AD163" i="3"/>
  <c r="AD174" i="3"/>
  <c r="AD152" i="3"/>
  <c r="AD172" i="3"/>
  <c r="AD230" i="3"/>
  <c r="AD119" i="3"/>
  <c r="AD231" i="3"/>
  <c r="AD72" i="3"/>
  <c r="AD213" i="3"/>
  <c r="AD220" i="3"/>
  <c r="AD181" i="3"/>
  <c r="AD184" i="3"/>
  <c r="AD73" i="3"/>
  <c r="F43" i="7" s="1"/>
  <c r="G43" i="7" s="1"/>
  <c r="AD203" i="3"/>
  <c r="AD127" i="3"/>
  <c r="AD206" i="3"/>
  <c r="AD137" i="3"/>
  <c r="AD48" i="3"/>
  <c r="C32" i="6" s="1"/>
  <c r="AD191" i="3"/>
  <c r="AD97" i="3"/>
  <c r="AD102" i="3"/>
  <c r="AD232" i="3"/>
  <c r="AD96" i="3"/>
  <c r="AD233" i="3"/>
  <c r="AD190" i="3"/>
  <c r="AD157" i="3"/>
  <c r="AD210" i="3"/>
  <c r="AD115" i="3"/>
  <c r="AD87" i="3"/>
  <c r="AD142" i="3"/>
  <c r="AD160" i="3"/>
  <c r="AD133" i="3"/>
  <c r="AD49" i="3"/>
  <c r="F31" i="7" s="1"/>
  <c r="G31" i="7" s="1"/>
  <c r="AD186" i="3"/>
  <c r="AD125" i="3"/>
  <c r="AD110" i="3"/>
  <c r="AD201" i="3"/>
  <c r="AD234" i="3"/>
  <c r="AD208" i="3"/>
  <c r="AD235" i="3"/>
  <c r="AD219" i="3"/>
  <c r="AD177" i="3"/>
  <c r="AD218" i="3"/>
  <c r="AD78" i="3"/>
  <c r="AD47" i="3"/>
  <c r="F30" i="7" s="1"/>
  <c r="G30" i="7" s="1"/>
  <c r="AD147" i="3"/>
  <c r="AD195" i="3"/>
  <c r="AD197" i="3"/>
  <c r="AD187" i="3"/>
  <c r="AD189" i="3"/>
  <c r="AD216" i="3"/>
  <c r="AD205" i="3"/>
  <c r="AD214" i="3"/>
  <c r="AD215" i="3"/>
  <c r="AD161" i="3"/>
  <c r="AD25" i="3"/>
  <c r="AD192" i="3"/>
  <c r="AD180" i="3"/>
  <c r="AD118" i="3"/>
  <c r="F54" i="7" s="1"/>
  <c r="G54" i="7" s="1"/>
  <c r="AD98" i="3"/>
  <c r="AD217" i="3"/>
  <c r="AD236" i="3"/>
  <c r="AD193" i="3"/>
  <c r="AD53" i="3"/>
  <c r="F34" i="7" s="1"/>
  <c r="G34" i="7" s="1"/>
  <c r="AD37" i="3"/>
  <c r="F25" i="7" s="1"/>
  <c r="G25" i="7" s="1"/>
  <c r="AD153" i="3"/>
  <c r="AD237" i="3"/>
  <c r="AD212" i="3"/>
  <c r="AD100" i="3"/>
  <c r="AD207" i="3"/>
  <c r="AD112" i="3"/>
  <c r="AD76" i="3"/>
  <c r="AD81" i="3"/>
  <c r="AD188" i="3"/>
  <c r="AD90" i="3"/>
  <c r="AD126" i="3"/>
  <c r="AD54" i="3"/>
  <c r="AD28" i="3"/>
  <c r="AD12" i="3"/>
  <c r="AD179" i="3"/>
  <c r="AD5" i="3"/>
  <c r="AD13" i="3"/>
  <c r="AD41" i="3"/>
  <c r="AD92" i="3"/>
  <c r="AD17" i="3"/>
  <c r="F17" i="7" s="1"/>
  <c r="G17" i="7" s="1"/>
  <c r="AD15" i="3"/>
  <c r="F16" i="7" s="1"/>
  <c r="G16" i="7" s="1"/>
  <c r="AD9" i="3"/>
  <c r="F12" i="7" s="1"/>
  <c r="G12" i="7" s="1"/>
  <c r="AD85" i="3"/>
  <c r="F49" i="7" s="1"/>
  <c r="G49" i="7" s="1"/>
  <c r="AD27" i="3"/>
  <c r="AD32" i="3"/>
  <c r="F23" i="7" s="1"/>
  <c r="G23" i="7" s="1"/>
  <c r="AD39" i="3"/>
  <c r="F26" i="7" s="1"/>
  <c r="G26" i="7" s="1"/>
  <c r="AD139" i="3"/>
  <c r="AD60" i="3"/>
  <c r="F39" i="7" s="1"/>
  <c r="G39" i="7" s="1"/>
  <c r="AD64" i="3"/>
  <c r="AD14" i="3"/>
  <c r="F15" i="7" s="1"/>
  <c r="G15" i="7" s="1"/>
  <c r="AD114" i="3"/>
  <c r="AD65" i="3"/>
  <c r="F41" i="7" s="1"/>
  <c r="G41" i="7" s="1"/>
  <c r="AD99" i="3"/>
  <c r="AD155" i="3"/>
  <c r="AD173" i="3"/>
  <c r="AD116" i="3"/>
  <c r="F53" i="7" s="1"/>
  <c r="G53" i="7" s="1"/>
  <c r="AD35" i="3"/>
  <c r="AD136" i="3"/>
  <c r="AD68" i="3"/>
  <c r="AD43" i="3"/>
  <c r="AD122" i="3"/>
  <c r="AD20" i="3"/>
  <c r="F20" i="7" s="1"/>
  <c r="G20" i="7" s="1"/>
  <c r="AD57" i="3"/>
  <c r="F37" i="7" s="1"/>
  <c r="G37" i="7" s="1"/>
  <c r="AD84" i="3"/>
  <c r="AD141" i="3"/>
  <c r="AD36" i="3"/>
  <c r="AD6" i="3"/>
  <c r="F9" i="7" s="1"/>
  <c r="G9" i="7" s="1"/>
  <c r="AD22" i="3"/>
  <c r="AD51" i="3"/>
  <c r="F32" i="7" s="1"/>
  <c r="G32"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63" i="7" l="1"/>
  <c r="G63" i="7" s="1"/>
  <c r="F62" i="7"/>
  <c r="G62" i="7" s="1"/>
  <c r="G64" i="7"/>
  <c r="G6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X9" authorId="0" shapeId="0" xr:uid="{4DDA655F-A03F-4A8A-9FBE-8E0ECEC195C2}">
      <text>
        <r>
          <rPr>
            <b/>
            <sz val="9"/>
            <color indexed="81"/>
            <rFont val="Tahoma"/>
            <charset val="1"/>
          </rPr>
          <t>Nicolas Lienart:</t>
        </r>
        <r>
          <rPr>
            <sz val="9"/>
            <color indexed="81"/>
            <rFont val="Tahoma"/>
            <charset val="1"/>
          </rPr>
          <t xml:space="preserve">
Saudi Arabia and South Korea</t>
        </r>
      </text>
    </comment>
    <comment ref="X15" authorId="0" shapeId="0" xr:uid="{59700EF9-EB1E-4FC4-A0CF-E1B9A01EFC14}">
      <text>
        <r>
          <rPr>
            <b/>
            <sz val="9"/>
            <color indexed="81"/>
            <rFont val="Tahoma"/>
            <charset val="1"/>
          </rPr>
          <t>Nicolas Lienart:</t>
        </r>
        <r>
          <rPr>
            <sz val="9"/>
            <color indexed="81"/>
            <rFont val="Tahoma"/>
            <charset val="1"/>
          </rPr>
          <t xml:space="preserve">
United States + Mexico</t>
        </r>
      </text>
    </comment>
    <comment ref="I53"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<sst xmlns="http://schemas.openxmlformats.org/spreadsheetml/2006/main" count="7537" uniqueCount="3100">
  <si>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</si>
  <si>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</si>
  <si>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</si>
  <si>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</si>
  <si>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</si>
  <si>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</si>
  <si>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</si>
  <si>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</si>
  <si>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</si>
  <si>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</si>
  <si>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</si>
  <si>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</si>
  <si>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</si>
  <si>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</si>
  <si>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</si>
  <si>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</si>
  <si>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</si>
  <si>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</si>
  <si>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</si>
  <si>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</si>
  <si>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</si>
  <si>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</si>
  <si>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</si>
  <si>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</si>
  <si>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</si>
  <si>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</si>
  <si>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</si>
  <si>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</si>
  <si>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</si>
  <si>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</si>
  <si>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</si>
  <si>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</si>
  <si>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</si>
  <si>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</si>
  <si>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</si>
  <si>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</si>
  <si>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</si>
  <si>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</si>
  <si>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</si>
  <si>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</si>
  <si>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</si>
  <si>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</si>
  <si>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</si>
  <si>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</si>
  <si>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</si>
  <si>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</si>
  <si>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</si>
  <si>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</si>
  <si>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</si>
  <si>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</si>
  <si>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</si>
  <si>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</si>
  <si>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</si>
  <si>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</si>
  <si>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</si>
  <si>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</si>
  <si>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</si>
  <si>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</si>
  <si>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</si>
  <si>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</si>
  <si>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</si>
  <si>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</si>
  <si>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</si>
  <si>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</si>
  <si>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</si>
  <si>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</si>
  <si>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</si>
  <si>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</si>
  <si>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</si>
  <si>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</si>
  <si>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</si>
  <si>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</si>
  <si>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</si>
  <si>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</si>
  <si>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</si>
  <si>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</si>
  <si>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</si>
  <si>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</si>
  <si>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</si>
  <si>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</si>
  <si>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</si>
  <si>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</si>
  <si>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</si>
  <si>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</si>
  <si>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</si>
  <si>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</si>
  <si>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</si>
  <si>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</si>
  <si>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</si>
  <si>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</si>
  <si>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</si>
  <si>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</si>
  <si>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</si>
  <si>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</si>
  <si>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</si>
  <si>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</si>
  <si>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</si>
  <si>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</si>
  <si>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</si>
  <si>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</si>
  <si>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</si>
  <si>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</si>
  <si>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</si>
  <si>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</si>
  <si>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</si>
  <si>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</si>
  <si>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</si>
  <si>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</si>
  <si>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</si>
  <si>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</si>
  <si>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</si>
  <si>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</si>
  <si>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</si>
  <si>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</si>
  <si>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</si>
  <si>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</si>
  <si>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</si>
  <si>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</si>
  <si>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</si>
  <si>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</si>
  <si>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</si>
  <si>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</si>
  <si>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</si>
  <si>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</si>
  <si>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</si>
  <si>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</si>
  <si>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</si>
  <si>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</si>
  <si>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</si>
  <si>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</si>
  <si>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</si>
  <si>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</si>
  <si>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</si>
  <si>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</si>
  <si>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</si>
  <si>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</si>
  <si>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</si>
  <si>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</si>
  <si>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</si>
  <si>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</si>
  <si>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</si>
  <si>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</si>
  <si>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</si>
  <si>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</si>
  <si>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</si>
  <si>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</si>
  <si>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</si>
  <si>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</si>
  <si>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</si>
  <si>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</si>
  <si>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</si>
  <si>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</si>
  <si>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</si>
  <si>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</si>
  <si>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</si>
  <si>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</si>
  <si>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</si>
  <si>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</si>
  <si>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</si>
  <si>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</si>
  <si>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</si>
  <si>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</si>
  <si>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</si>
  <si>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</si>
  <si>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</si>
  <si>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</si>
  <si>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</si>
  <si>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</si>
  <si>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</si>
  <si>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</si>
  <si>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</si>
  <si>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</si>
  <si>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</si>
  <si>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</si>
  <si>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</si>
  <si>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</si>
  <si>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</si>
  <si>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</si>
  <si>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</si>
  <si>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</si>
  <si>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</si>
  <si>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</si>
  <si>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</si>
  <si>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</si>
  <si>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</si>
  <si>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</si>
  <si>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</si>
  <si>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</si>
  <si>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</si>
  <si>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</si>
  <si>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</si>
  <si>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</si>
  <si>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</si>
  <si>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</si>
  <si>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</si>
  <si>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</si>
  <si>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</si>
  <si>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</si>
  <si>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</si>
  <si>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</si>
  <si>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</si>
  <si>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</si>
  <si>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</si>
  <si>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</si>
  <si>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</si>
  <si>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</si>
  <si>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</si>
  <si>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</si>
  <si>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</si>
  <si>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</si>
  <si>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</si>
  <si>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</si>
  <si>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</si>
  <si>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</si>
  <si>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</si>
  <si>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</si>
  <si>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</si>
  <si>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</si>
  <si>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</si>
  <si>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</si>
  <si>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</si>
  <si>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</si>
  <si>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</si>
  <si>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</si>
  <si>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</si>
  <si>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</si>
  <si>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</si>
  <si>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</si>
  <si>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</si>
  <si>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</si>
  <si>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</si>
  <si>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</si>
  <si>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</si>
  <si>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</si>
  <si>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</si>
  <si>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</si>
  <si>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</si>
  <si>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</si>
  <si>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</si>
  <si>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</si>
  <si>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</si>
  <si>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</si>
  <si>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</si>
  <si>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</si>
  <si>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</si>
  <si>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</si>
  <si>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</si>
  <si>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</si>
  <si>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</si>
  <si>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</si>
  <si>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</si>
  <si>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</si>
  <si>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</si>
  <si>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</si>
  <si>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</si>
  <si>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</si>
  <si>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</si>
  <si>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</si>
  <si>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</si>
  <si>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</si>
  <si>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</si>
  <si>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</si>
  <si>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</si>
  <si>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</si>
  <si>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</si>
  <si>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</si>
  <si>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</si>
  <si>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</si>
  <si>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</si>
  <si>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</si>
  <si>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</si>
  <si>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</si>
  <si>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</si>
  <si>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</si>
  <si>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</si>
  <si>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</si>
  <si>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</si>
  <si>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</si>
  <si>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</si>
  <si>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</si>
  <si>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</si>
  <si>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</si>
  <si>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</si>
  <si>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</si>
  <si>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</si>
  <si>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</si>
  <si>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</si>
  <si>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</si>
  <si>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</si>
  <si>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</si>
  <si>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</si>
  <si>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</si>
  <si>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</si>
  <si>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</si>
  <si>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</si>
  <si>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</si>
  <si>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</si>
  <si>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</si>
  <si>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</si>
  <si>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</si>
  <si>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</si>
  <si>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</si>
  <si>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</si>
  <si>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</si>
  <si>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</si>
  <si>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</si>
  <si>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</si>
  <si>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</si>
  <si>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</si>
  <si>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</si>
  <si>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</si>
  <si>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</si>
  <si>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</si>
  <si>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</si>
  <si>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</si>
  <si>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</si>
  <si>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</si>
  <si>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</si>
  <si>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</si>
  <si>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</si>
  <si>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</si>
  <si>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</si>
  <si>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</si>
  <si>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</si>
  <si>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</si>
  <si>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</si>
  <si>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</si>
  <si>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</si>
  <si>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</si>
  <si>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</si>
  <si>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</si>
  <si>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</si>
  <si>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</si>
  <si>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</si>
  <si>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</si>
  <si>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</si>
  <si>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</si>
  <si>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</si>
  <si>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</si>
  <si>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</si>
  <si>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</si>
  <si>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</si>
  <si>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</si>
  <si>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</si>
  <si>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</si>
  <si>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</si>
  <si>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</si>
  <si>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</si>
  <si>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</si>
  <si>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</si>
  <si>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</si>
  <si>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</si>
  <si>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</si>
  <si>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</si>
  <si>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</si>
  <si>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</si>
  <si>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</si>
  <si>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</si>
  <si>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</si>
  <si>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</si>
  <si>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</si>
  <si>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</si>
  <si>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</si>
  <si>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</si>
  <si>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</si>
  <si>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</si>
  <si>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</si>
  <si>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</si>
  <si>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</si>
  <si>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</si>
  <si>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</si>
  <si>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</si>
  <si>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</si>
  <si>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</si>
  <si>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</si>
  <si>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</si>
  <si>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</si>
  <si>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</si>
  <si>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</si>
  <si>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</si>
  <si>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</si>
  <si>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</si>
  <si>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</si>
  <si>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</si>
  <si>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</si>
  <si>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</si>
  <si>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</si>
  <si>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</si>
  <si>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</si>
  <si>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</si>
  <si>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</si>
  <si>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</si>
  <si>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</si>
  <si>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</si>
  <si>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</si>
  <si>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</si>
  <si>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</si>
  <si>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</si>
  <si>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</si>
  <si>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</si>
  <si>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</si>
  <si>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</si>
  <si>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</si>
  <si>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</si>
  <si>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</si>
  <si>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</si>
  <si>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</si>
  <si>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</si>
  <si>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</si>
  <si>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</si>
  <si>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</si>
  <si>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</si>
  <si>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</si>
  <si>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</si>
  <si>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</si>
  <si>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</si>
  <si>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</si>
  <si>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</si>
  <si>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</si>
  <si>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</si>
  <si>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</si>
  <si>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</si>
  <si>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</si>
  <si>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</si>
  <si>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</si>
  <si>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</si>
  <si>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</si>
  <si>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</si>
  <si>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</si>
  <si>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</si>
  <si>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</si>
  <si>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</si>
  <si>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</si>
  <si>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</si>
  <si>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</si>
  <si>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</si>
  <si>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</si>
  <si>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</si>
  <si>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</si>
  <si>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</si>
  <si>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</si>
  <si>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</si>
  <si>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</si>
  <si>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</si>
  <si>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</si>
  <si>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</si>
  <si>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</si>
  <si>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</si>
  <si>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</si>
  <si>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</si>
  <si>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</si>
  <si>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</si>
  <si>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</si>
  <si>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</si>
  <si>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</si>
  <si>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</si>
  <si>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</si>
  <si>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</si>
  <si>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</si>
  <si>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</si>
  <si>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</si>
  <si>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</si>
  <si>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</si>
  <si>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</si>
  <si>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</si>
  <si>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</si>
  <si>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</si>
  <si>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</si>
  <si>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</si>
  <si>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</si>
  <si>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</si>
  <si>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</si>
  <si>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</si>
  <si>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</si>
  <si>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</si>
  <si>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</si>
  <si>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</si>
  <si>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</si>
  <si>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</si>
  <si>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</si>
  <si>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</si>
  <si>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</si>
  <si>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</si>
  <si>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</si>
  <si>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</si>
  <si>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</si>
  <si>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</si>
  <si>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</si>
  <si>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</si>
  <si>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</si>
  <si>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</si>
  <si>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</si>
  <si>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</si>
  <si>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</si>
  <si>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</si>
  <si>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</si>
  <si>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</si>
  <si>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</si>
  <si>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</si>
  <si>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</si>
  <si>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</si>
  <si>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</si>
  <si>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</si>
  <si>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</si>
  <si>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</si>
  <si>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</si>
  <si>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</si>
  <si>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</si>
  <si>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</si>
  <si>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</si>
  <si>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</si>
  <si>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</si>
  <si>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</si>
  <si>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</si>
  <si>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</si>
  <si>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</si>
  <si>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</si>
  <si>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</si>
  <si>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</si>
  <si>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</si>
  <si>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</si>
  <si>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</si>
  <si>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</si>
  <si>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</si>
  <si>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</si>
  <si>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</si>
  <si>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</si>
  <si>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</si>
  <si>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</si>
  <si>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</si>
  <si>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</si>
  <si>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</si>
  <si>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</si>
  <si>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</si>
  <si>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</si>
  <si>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</si>
  <si>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</si>
  <si>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</si>
  <si>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</si>
  <si>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</si>
  <si>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</si>
  <si>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</si>
  <si>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</si>
  <si>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</si>
  <si>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</si>
  <si>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</si>
  <si>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</si>
  <si>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</si>
  <si>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</si>
  <si>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</si>
  <si>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</si>
  <si>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</si>
  <si>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</si>
  <si>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</si>
  <si>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</si>
  <si>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</si>
  <si>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</si>
  <si>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</si>
  <si>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</si>
  <si>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</si>
  <si>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</si>
  <si>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</si>
  <si>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</si>
  <si>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</si>
  <si>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</si>
  <si>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</si>
  <si>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</si>
  <si>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</si>
  <si>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</si>
  <si>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</si>
  <si>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</si>
  <si>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</si>
  <si>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</si>
  <si>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</si>
  <si>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</si>
  <si>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</si>
  <si>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</si>
  <si>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</si>
  <si>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</si>
  <si>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</si>
  <si>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</si>
  <si>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</si>
  <si>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</si>
  <si>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</si>
  <si>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</si>
  <si>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</si>
  <si>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</si>
  <si>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</si>
  <si>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</si>
  <si>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</si>
  <si>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</si>
  <si>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</si>
  <si>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</si>
  <si>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</si>
  <si>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</si>
  <si>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</si>
  <si>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</si>
  <si>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</si>
  <si>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</si>
  <si>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</si>
  <si>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</si>
  <si>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</si>
  <si>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</si>
  <si>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</si>
  <si>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</si>
  <si>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</si>
  <si>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</si>
  <si>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</si>
  <si>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</si>
  <si>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</si>
  <si>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</si>
  <si>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</si>
  <si>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</si>
  <si>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</si>
  <si>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</si>
  <si>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</si>
  <si>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</si>
  <si>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</si>
  <si>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</si>
  <si>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</si>
  <si>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</si>
  <si>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</si>
  <si>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</si>
  <si>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</si>
  <si>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</si>
  <si>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</si>
  <si>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</si>
  <si>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</si>
  <si>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</si>
  <si>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</si>
  <si>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</si>
  <si>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</si>
  <si>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</si>
  <si>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</si>
  <si>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</si>
  <si>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</si>
  <si>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</si>
  <si>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</si>
  <si>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</si>
  <si>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</si>
  <si>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</si>
  <si>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</si>
  <si>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</si>
  <si>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</si>
  <si>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</si>
  <si>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</si>
  <si>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</si>
  <si>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</si>
  <si>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</si>
  <si>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</si>
  <si>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</si>
  <si>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</si>
  <si>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</si>
  <si>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</si>
  <si>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</si>
  <si>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</si>
  <si>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</si>
  <si>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</si>
  <si>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</si>
  <si>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</si>
  <si>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</si>
  <si>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</si>
  <si>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</si>
  <si>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</si>
  <si>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</si>
  <si>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</si>
  <si>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</si>
  <si>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</si>
  <si>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</si>
  <si>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</si>
  <si>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</si>
  <si>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</si>
  <si>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</si>
  <si>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</si>
  <si>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</si>
  <si>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</si>
  <si>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</si>
  <si>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</si>
  <si>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</si>
  <si>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</si>
  <si>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</si>
  <si>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</si>
  <si>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</si>
  <si>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</si>
  <si>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</si>
  <si>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</si>
  <si>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</si>
  <si>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</si>
  <si>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</si>
  <si>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</si>
  <si>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</si>
  <si>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</si>
  <si>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</si>
  <si>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</si>
  <si>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</si>
  <si>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</si>
  <si>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</si>
  <si>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</si>
  <si>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</si>
  <si>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</si>
  <si>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</si>
  <si>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</si>
  <si>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</si>
  <si>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</si>
  <si>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</si>
  <si>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</si>
  <si>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</si>
  <si>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</si>
  <si>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</si>
  <si>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</si>
  <si>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</si>
  <si>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</si>
  <si>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</si>
  <si>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</si>
  <si>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</si>
  <si>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</si>
  <si>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</si>
  <si>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</si>
  <si>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</si>
  <si>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</si>
  <si>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</si>
  <si>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</si>
  <si>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</si>
  <si>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</si>
  <si>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</si>
  <si>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</si>
  <si>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</si>
  <si>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</si>
  <si>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</si>
  <si>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</si>
  <si>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</si>
  <si>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</si>
  <si>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</si>
  <si>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</si>
  <si>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</si>
  <si>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</si>
  <si>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</si>
  <si>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</si>
  <si>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</si>
  <si>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</si>
  <si>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</si>
  <si>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</si>
  <si>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</si>
  <si>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</si>
  <si>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</si>
  <si>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</si>
  <si>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</si>
  <si>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</si>
  <si>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</si>
  <si>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</si>
  <si>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</si>
  <si>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</si>
  <si>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</si>
  <si>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</si>
  <si>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</si>
  <si>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</si>
  <si>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</si>
  <si>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</si>
  <si>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</si>
  <si>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</si>
  <si>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</si>
  <si>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</si>
  <si>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</si>
  <si>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</si>
  <si>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</si>
  <si>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</si>
  <si>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</si>
  <si>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</si>
  <si>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</si>
  <si>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</si>
  <si>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</si>
  <si>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</si>
  <si>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</si>
  <si>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</si>
  <si>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</si>
  <si>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</si>
  <si>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</si>
  <si>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</si>
  <si>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</si>
  <si>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</si>
  <si>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</si>
  <si>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</si>
  <si>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</si>
  <si>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</si>
  <si>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</si>
  <si>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</si>
  <si>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</si>
  <si>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</si>
  <si>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</si>
  <si>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</si>
  <si>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</si>
  <si>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</si>
  <si>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</si>
  <si>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</si>
  <si>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</si>
  <si>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</si>
  <si>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</si>
  <si>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</si>
  <si>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</si>
  <si>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</si>
  <si>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</si>
  <si>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</si>
  <si>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</si>
  <si>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</si>
  <si>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</si>
  <si>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</si>
  <si>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</si>
  <si>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</si>
  <si>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</si>
  <si>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</si>
  <si>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</si>
  <si>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</si>
  <si>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</si>
  <si>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</si>
  <si>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</si>
  <si>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</si>
  <si>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</si>
  <si>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</si>
  <si>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</si>
  <si>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</si>
  <si>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</si>
  <si>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</si>
  <si>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</si>
  <si>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</si>
  <si>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</si>
  <si>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</si>
  <si>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</si>
  <si>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</si>
  <si>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</si>
  <si>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</si>
  <si>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</si>
  <si>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</si>
  <si>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</si>
  <si>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</si>
  <si>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</si>
  <si>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</si>
  <si>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</si>
  <si>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</si>
  <si>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</si>
  <si>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</si>
  <si>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</si>
  <si>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</si>
  <si>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</si>
  <si>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</si>
  <si>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</si>
  <si>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</si>
  <si>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</si>
  <si>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</si>
  <si>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</si>
  <si>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</si>
  <si>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</si>
  <si>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</si>
  <si>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</si>
  <si>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</si>
  <si>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</si>
  <si>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</si>
  <si>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</si>
  <si>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</si>
  <si>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</si>
  <si>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</si>
  <si>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</si>
  <si>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</si>
  <si>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</si>
  <si>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</si>
  <si>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</si>
  <si>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</si>
  <si>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</si>
  <si>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</si>
  <si>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</si>
  <si>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</si>
  <si>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</si>
  <si>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</si>
  <si>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</si>
  <si>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</si>
  <si>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</si>
  <si>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</si>
  <si>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</si>
  <si>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</si>
  <si>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</si>
  <si>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</si>
  <si>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</si>
  <si>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</si>
  <si>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</si>
  <si>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</si>
  <si>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</si>
  <si>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</si>
  <si>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</si>
  <si>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</si>
  <si>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</si>
  <si>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</si>
  <si>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</si>
  <si>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</si>
  <si>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</si>
  <si>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</si>
  <si>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</si>
  <si>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</si>
  <si>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</si>
  <si>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</si>
  <si>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</si>
  <si>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</si>
  <si>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</si>
  <si>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</si>
  <si>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</si>
  <si>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</si>
  <si>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</si>
  <si>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</si>
  <si>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</si>
  <si>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</si>
  <si>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</si>
  <si>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</si>
  <si>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</si>
  <si>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</si>
  <si>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</si>
  <si>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</si>
  <si>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</si>
  <si>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</si>
  <si>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</si>
  <si>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</si>
  <si>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</si>
  <si>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</si>
  <si>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</si>
  <si>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</si>
  <si>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</si>
  <si>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</si>
  <si>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</si>
  <si>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</si>
  <si>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</si>
  <si>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</si>
  <si>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</si>
  <si>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</si>
  <si>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</si>
  <si>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</si>
  <si>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</si>
  <si>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</si>
  <si>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</si>
  <si>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</si>
  <si>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</si>
  <si>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</si>
  <si>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</si>
  <si>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</si>
  <si>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</si>
  <si>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</si>
  <si>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</si>
  <si>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</si>
  <si>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</si>
  <si>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</si>
  <si>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</si>
  <si>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</si>
  <si>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</si>
  <si>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</si>
  <si>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</si>
  <si>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</si>
  <si>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</si>
  <si>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</si>
  <si>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</si>
  <si>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</si>
  <si>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</si>
  <si>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</si>
  <si>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</si>
  <si>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</si>
  <si>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</si>
  <si>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</si>
  <si>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</si>
  <si>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</si>
  <si>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</si>
  <si>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</si>
  <si>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</si>
  <si>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</si>
  <si>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</si>
  <si>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</si>
  <si>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</si>
  <si>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</si>
  <si>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</si>
  <si>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</si>
  <si>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</si>
  <si>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</si>
  <si>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</si>
  <si>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</si>
  <si>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</si>
  <si>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</si>
  <si>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</si>
  <si>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</si>
  <si>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</si>
  <si>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</si>
  <si>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</si>
  <si>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</si>
  <si>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</si>
  <si>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</si>
  <si>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</si>
  <si>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</si>
  <si>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</si>
  <si>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</si>
  <si>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</si>
  <si>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</si>
  <si>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</si>
  <si>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</si>
  <si>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</si>
  <si>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</si>
  <si>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</si>
  <si>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</si>
  <si>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</si>
  <si>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</si>
  <si>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</si>
  <si>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</si>
  <si>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</si>
  <si>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</si>
  <si>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</si>
  <si>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</si>
  <si>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</si>
  <si>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</si>
  <si>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</si>
  <si>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</si>
  <si>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</si>
  <si>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</si>
  <si>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</si>
  <si>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</si>
  <si>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</si>
  <si>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</si>
  <si>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</si>
  <si>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</si>
  <si>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</si>
  <si>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</si>
  <si>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</si>
  <si>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</si>
  <si>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</si>
  <si>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</si>
  <si>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</si>
  <si>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</si>
  <si>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</si>
  <si>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</si>
  <si>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</si>
  <si>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</si>
  <si>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</si>
  <si>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</si>
  <si>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</si>
  <si>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</si>
  <si>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</si>
  <si>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</si>
  <si>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</si>
  <si>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</si>
  <si>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</si>
  <si>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</si>
  <si>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</si>
  <si>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</si>
  <si>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</si>
  <si>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</si>
  <si>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</si>
  <si>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</si>
  <si>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</si>
  <si>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</si>
  <si>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</si>
  <si>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</si>
  <si>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</si>
  <si>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</si>
  <si>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</si>
  <si>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</si>
  <si>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</si>
  <si>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</si>
  <si>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</si>
  <si>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</si>
  <si>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</si>
  <si>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</si>
  <si>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</si>
  <si>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</si>
  <si>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</si>
  <si>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</si>
  <si>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</si>
  <si>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</si>
  <si>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</si>
  <si>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</si>
  <si>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</si>
  <si>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</si>
  <si>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</si>
  <si>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</si>
  <si>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</si>
  <si>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</si>
  <si>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</si>
  <si>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</si>
  <si>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</si>
  <si>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</si>
  <si>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</si>
  <si>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</si>
  <si>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</si>
  <si>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</si>
  <si>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</si>
  <si>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</si>
  <si>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</si>
  <si>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</si>
  <si>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</si>
  <si>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</si>
  <si>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</si>
  <si>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</si>
  <si>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</si>
  <si>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</si>
  <si>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</si>
  <si>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</si>
  <si>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</si>
  <si>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</si>
  <si>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</si>
  <si>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</si>
  <si>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</si>
  <si>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</si>
  <si>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</si>
  <si>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</si>
  <si>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</si>
  <si>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</si>
  <si>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</si>
  <si>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</si>
  <si>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</si>
  <si>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</si>
  <si>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</si>
  <si>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</si>
  <si>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</si>
  <si>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</si>
  <si>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</si>
  <si>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</si>
  <si>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</si>
  <si>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</si>
  <si>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</si>
  <si>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</si>
  <si>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</si>
  <si>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</si>
  <si>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</si>
  <si>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</si>
  <si>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</si>
  <si>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</si>
  <si>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</si>
  <si>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</si>
  <si>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</si>
  <si>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</si>
  <si>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</si>
  <si>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</si>
  <si>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</si>
  <si>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</si>
  <si>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</si>
  <si>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</si>
  <si>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</si>
  <si>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</si>
  <si>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</si>
  <si>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</si>
  <si>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</si>
  <si>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</si>
  <si>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</si>
  <si>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</si>
  <si>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</si>
  <si>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</si>
  <si>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</si>
  <si>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</si>
  <si>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</si>
  <si>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</si>
  <si>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</si>
  <si>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</si>
  <si>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</si>
  <si>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</si>
  <si>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</si>
  <si>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</si>
  <si>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</si>
  <si>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</si>
  <si>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</si>
  <si>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</si>
  <si>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</si>
  <si>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</si>
  <si>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</si>
  <si>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</si>
  <si>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</si>
  <si>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</si>
  <si>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</si>
  <si>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</si>
  <si>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</si>
  <si>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</si>
  <si>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</si>
  <si>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</si>
  <si>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</si>
  <si>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</si>
  <si>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</si>
  <si>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</si>
  <si>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</si>
  <si>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</si>
  <si>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</si>
  <si>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</si>
  <si>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</si>
  <si>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</si>
  <si>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</si>
  <si>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</si>
  <si>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</si>
  <si>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</si>
  <si>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</si>
  <si>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</si>
  <si>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</si>
  <si>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</si>
  <si>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</si>
  <si>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</si>
  <si>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</si>
  <si>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</si>
  <si>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</si>
  <si>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</si>
  <si>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</si>
  <si>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</si>
  <si>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</si>
  <si>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</si>
  <si>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</si>
  <si>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</si>
  <si>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</si>
  <si>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</si>
  <si>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</si>
  <si>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</si>
  <si>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</si>
  <si>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</si>
  <si>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</si>
  <si>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</si>
  <si>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</si>
  <si>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</si>
  <si>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</si>
  <si>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</si>
  <si>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</si>
  <si>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</si>
  <si>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</si>
  <si>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</si>
  <si>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</si>
  <si>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</si>
  <si>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</si>
  <si>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</si>
  <si>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</si>
  <si>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</si>
  <si>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</si>
  <si>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</si>
  <si>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</si>
  <si>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</si>
  <si>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</si>
  <si>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</si>
  <si>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</si>
  <si>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</si>
  <si>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</si>
  <si>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</si>
  <si>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</si>
  <si>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</si>
  <si>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</si>
  <si>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</si>
  <si>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</si>
  <si>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</si>
  <si>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</si>
  <si>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</si>
  <si>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</si>
  <si>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</si>
  <si>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</si>
  <si>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</si>
  <si>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</si>
  <si>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</si>
  <si>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</si>
  <si>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</si>
  <si>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</si>
  <si>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</si>
  <si>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</si>
  <si>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</si>
  <si>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</si>
  <si>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</si>
  <si>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</si>
  <si>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</si>
  <si>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</si>
  <si>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</si>
  <si>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</si>
  <si>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</si>
  <si>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</si>
  <si>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</si>
  <si>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</si>
  <si>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</si>
  <si>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</si>
  <si>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</si>
  <si>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</si>
  <si>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</si>
  <si>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</si>
  <si>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</si>
  <si>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</si>
  <si>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</si>
  <si>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</si>
  <si>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</si>
  <si>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</si>
  <si>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</si>
  <si>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</si>
  <si>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</si>
  <si>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</si>
  <si>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</si>
  <si>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</si>
  <si>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</si>
  <si>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</si>
  <si>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</si>
  <si>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</si>
  <si>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</si>
  <si>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</si>
  <si>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</si>
  <si>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</si>
  <si>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</si>
  <si>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</si>
  <si>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</si>
  <si>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</si>
  <si>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</si>
  <si>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</si>
  <si>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</si>
  <si>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</si>
  <si>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</si>
  <si>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</si>
  <si>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</si>
  <si>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</si>
  <si>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</si>
  <si>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</si>
  <si>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</si>
  <si>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</si>
  <si>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</si>
  <si>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</si>
  <si>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</si>
  <si>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</si>
  <si>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</si>
  <si>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</si>
  <si>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</si>
  <si>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</si>
  <si>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</si>
  <si>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</si>
  <si>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</si>
  <si>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</si>
  <si>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</si>
  <si>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</si>
  <si>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</si>
  <si>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</si>
  <si>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</si>
  <si>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</si>
  <si>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</si>
  <si>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</si>
  <si>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</si>
  <si>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</si>
  <si>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</si>
  <si>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</si>
  <si>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</si>
  <si>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</si>
  <si>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</si>
  <si>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</si>
  <si>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</si>
  <si>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</si>
  <si>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</si>
  <si>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</si>
  <si>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</si>
  <si>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</si>
  <si>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</si>
  <si>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</si>
  <si>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</si>
  <si>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</si>
  <si>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</si>
  <si>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</si>
  <si>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</si>
  <si>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</si>
  <si>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</si>
  <si>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</si>
  <si>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</si>
  <si>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</si>
  <si>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</si>
  <si>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</si>
  <si>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</si>
  <si>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</si>
  <si>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</si>
  <si>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</si>
  <si>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</si>
  <si>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</si>
  <si>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</si>
  <si>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</si>
  <si>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</si>
  <si>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</si>
  <si>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</si>
  <si>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</si>
  <si>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</si>
  <si>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</si>
  <si>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</si>
  <si>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</si>
  <si>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</si>
  <si>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</si>
  <si>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</si>
  <si>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</si>
  <si>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</si>
  <si>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</si>
  <si>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</si>
  <si>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</si>
  <si>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</si>
  <si>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</si>
  <si>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</si>
  <si>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</si>
  <si>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</si>
  <si>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</si>
  <si>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</si>
  <si>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</si>
  <si>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</si>
  <si>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</si>
  <si>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</si>
  <si>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</si>
  <si>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</si>
  <si>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</si>
  <si>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</si>
  <si>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</si>
  <si>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</si>
  <si>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</si>
  <si>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</si>
  <si>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</si>
  <si>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</si>
  <si>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</si>
  <si>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</si>
  <si>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</si>
  <si>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</si>
  <si>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</si>
  <si>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</si>
  <si>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</si>
  <si>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</si>
  <si>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</si>
  <si>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</si>
  <si>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</si>
  <si>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</si>
  <si>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</si>
  <si>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</si>
  <si>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</si>
  <si>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</si>
  <si>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</si>
  <si>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</si>
  <si>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</si>
  <si>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</si>
  <si>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</si>
  <si>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</si>
  <si>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</si>
  <si>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</si>
  <si>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</si>
  <si>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</si>
  <si>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</si>
  <si>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</si>
  <si>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</si>
  <si>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</si>
  <si>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</si>
  <si>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</si>
  <si>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</si>
  <si>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</si>
  <si>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</si>
  <si>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</si>
  <si>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</si>
  <si>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</si>
  <si>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</si>
  <si>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</si>
  <si>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</si>
  <si>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</si>
  <si>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</si>
  <si>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</si>
  <si>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</si>
  <si>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</si>
  <si>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</si>
  <si>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</si>
  <si>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</si>
  <si>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</si>
  <si>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</si>
  <si>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</si>
  <si>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</si>
  <si>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</si>
  <si>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</si>
  <si>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</si>
  <si>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</si>
  <si>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</si>
  <si>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</si>
  <si>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</si>
  <si>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</si>
  <si>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</si>
  <si>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</si>
  <si>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</si>
  <si>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</si>
  <si>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</si>
  <si>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</si>
  <si>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</si>
  <si>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</si>
  <si>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</si>
  <si>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</si>
  <si>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</si>
  <si>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</si>
  <si>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</si>
  <si>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</si>
  <si>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</si>
  <si>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</si>
  <si>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</si>
  <si>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</si>
  <si>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</si>
  <si>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</si>
  <si>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</si>
  <si>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</si>
  <si>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</si>
  <si>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</si>
  <si>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</si>
  <si>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</si>
  <si>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</si>
  <si>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</si>
  <si>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</si>
  <si>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</si>
  <si>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</si>
  <si>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</si>
  <si>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</si>
  <si>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</si>
  <si>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</si>
  <si>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</si>
  <si>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</si>
  <si>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</si>
  <si>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</si>
  <si>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</si>
  <si>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</si>
  <si>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</si>
  <si>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</si>
  <si>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</si>
  <si>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</si>
  <si>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</si>
  <si>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</si>
  <si>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</si>
  <si>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</si>
  <si>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</si>
  <si>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</si>
  <si>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</si>
  <si>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</si>
  <si>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</si>
  <si>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</si>
  <si>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</si>
  <si>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</si>
  <si>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</si>
  <si>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</si>
  <si>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</si>
  <si>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</si>
  <si>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</si>
  <si>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</si>
  <si>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</si>
  <si>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</si>
  <si>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</si>
  <si>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</si>
  <si>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</si>
  <si>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</si>
  <si>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</si>
  <si>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</si>
  <si>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</si>
  <si>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</si>
  <si>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</si>
  <si>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</si>
  <si>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</si>
  <si>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</si>
  <si>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</si>
  <si>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</si>
  <si>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</si>
  <si>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</si>
  <si>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</si>
  <si>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</si>
  <si>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</si>
  <si>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</si>
  <si>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</si>
  <si>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</si>
  <si>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</si>
  <si>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</si>
  <si>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</si>
  <si>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</si>
  <si>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</si>
  <si>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</si>
  <si>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</si>
  <si>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</si>
  <si>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</si>
  <si>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</si>
  <si>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</si>
  <si>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</si>
  <si>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</si>
  <si>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</si>
  <si>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</si>
  <si>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</si>
  <si>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</si>
  <si>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</si>
  <si>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</si>
  <si>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</si>
  <si>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</si>
  <si>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</si>
  <si>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</si>
  <si>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</si>
  <si>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</si>
  <si>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</si>
  <si>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</si>
  <si>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</si>
  <si>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</si>
  <si>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</si>
  <si>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</si>
  <si>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</si>
  <si>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</si>
  <si>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</si>
  <si>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</si>
  <si>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</si>
  <si>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</si>
  <si>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</si>
  <si>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</si>
  <si>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</si>
  <si>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</si>
  <si>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</si>
  <si>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</si>
  <si>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</si>
  <si>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</si>
  <si>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</si>
  <si>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</si>
  <si>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</si>
  <si>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</si>
  <si>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</si>
  <si>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</si>
  <si>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</si>
  <si>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</si>
  <si>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</si>
  <si>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</si>
  <si>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</si>
  <si>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</si>
  <si>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</si>
  <si>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</si>
  <si>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</si>
  <si>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</si>
  <si>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</si>
  <si>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</si>
  <si>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</si>
  <si>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</si>
  <si>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</si>
  <si>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</si>
  <si>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</si>
  <si>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</si>
  <si>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</si>
  <si>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</si>
  <si>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</si>
  <si>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</si>
  <si>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</si>
  <si>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</si>
  <si>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</si>
  <si>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</si>
  <si>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</si>
  <si>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</si>
  <si>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</si>
  <si>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</si>
  <si>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</si>
  <si>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</si>
  <si>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</si>
  <si>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</si>
  <si>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</si>
  <si>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</si>
  <si>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</si>
  <si>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</si>
  <si>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</si>
  <si>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</si>
  <si>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</si>
  <si>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</si>
  <si>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</si>
  <si>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</si>
  <si>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</si>
  <si>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</si>
  <si>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</si>
  <si>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</si>
  <si>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</si>
  <si>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</si>
  <si>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</si>
  <si>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</si>
  <si>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</si>
  <si>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</si>
  <si>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</si>
  <si>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</si>
  <si>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</si>
  <si>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</si>
  <si>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</si>
  <si>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</si>
  <si>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</si>
  <si>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</si>
  <si>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</si>
  <si>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</si>
  <si>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</si>
  <si>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</si>
  <si>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</si>
  <si>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</si>
  <si>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</si>
  <si>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</si>
  <si>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</si>
  <si>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</si>
  <si>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</si>
  <si>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</si>
  <si>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</si>
  <si>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</si>
  <si>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</si>
  <si>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</si>
  <si>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</si>
  <si>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</si>
  <si>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</si>
  <si>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</si>
  <si>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</si>
  <si>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</si>
  <si>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</si>
  <si>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</si>
  <si>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</si>
  <si>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</si>
  <si>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</si>
  <si>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</si>
  <si>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</si>
  <si>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</si>
  <si>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</si>
  <si>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</si>
  <si>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</si>
  <si>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</si>
  <si>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</si>
  <si>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</si>
  <si>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</si>
  <si>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</si>
  <si>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</si>
  <si>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</si>
  <si>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</si>
  <si>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</si>
  <si>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</si>
  <si>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</si>
  <si>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</si>
  <si>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</si>
  <si>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</si>
  <si>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</si>
  <si>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</si>
  <si>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</si>
  <si>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</si>
  <si>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</si>
  <si>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</si>
  <si>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</si>
  <si>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</si>
  <si>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</si>
  <si>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</si>
  <si>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</si>
  <si>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</si>
  <si>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</si>
  <si>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</si>
  <si>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</si>
  <si>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</si>
  <si>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</si>
  <si>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</si>
  <si>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</si>
  <si>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</si>
  <si>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</si>
  <si>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</si>
  <si>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</si>
  <si>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</si>
  <si>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</si>
  <si>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</si>
  <si>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</si>
  <si>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</si>
  <si>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</si>
  <si>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</si>
  <si>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</si>
  <si>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</si>
  <si>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</si>
  <si>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</si>
  <si>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</si>
  <si>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</si>
  <si>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</si>
  <si>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</si>
  <si>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</si>
  <si>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</si>
  <si>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</si>
  <si>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</si>
  <si>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</si>
  <si>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</si>
  <si>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</si>
  <si>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</si>
  <si>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</si>
  <si>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</si>
  <si>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</si>
  <si>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</si>
  <si>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</si>
  <si>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</si>
  <si>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</si>
  <si>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</si>
  <si>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</si>
  <si>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</si>
  <si>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</si>
  <si>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</si>
  <si>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</si>
  <si>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</si>
  <si>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</si>
  <si>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</si>
  <si>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</si>
  <si>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</si>
  <si>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</si>
  <si>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</si>
  <si>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</si>
  <si>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</si>
  <si>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</si>
  <si>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</si>
  <si>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</si>
  <si>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</si>
  <si>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</si>
  <si>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</si>
  <si>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</si>
  <si>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</si>
  <si>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</si>
  <si>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</si>
  <si>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</si>
  <si>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</si>
  <si>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</si>
  <si>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</si>
  <si>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</si>
  <si>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</si>
  <si>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</si>
  <si>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</si>
  <si>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</si>
  <si>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</si>
  <si>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</si>
  <si>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</si>
  <si>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</si>
  <si>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</si>
  <si>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</si>
  <si>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</si>
  <si>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</si>
  <si>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</si>
  <si>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</si>
  <si>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</si>
  <si>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</si>
  <si>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</si>
  <si>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</si>
  <si>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</si>
  <si>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</si>
  <si>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</si>
  <si>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</si>
  <si>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</si>
  <si>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</si>
  <si>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</si>
  <si>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</si>
  <si>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</si>
  <si>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</si>
  <si>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</si>
  <si>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</si>
  <si>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</si>
  <si>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</si>
  <si>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</si>
  <si>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</si>
  <si>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</si>
  <si>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</si>
  <si>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</si>
  <si>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</si>
  <si>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</si>
  <si>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</si>
  <si>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</si>
  <si>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</si>
  <si>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</si>
  <si>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</si>
  <si>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</si>
  <si>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</si>
  <si>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</si>
  <si>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</si>
  <si>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</si>
  <si>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</si>
  <si>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</si>
  <si>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</si>
  <si>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</si>
  <si>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</si>
  <si>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</si>
  <si>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</si>
  <si>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</si>
  <si>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</si>
  <si>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</si>
  <si>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</si>
  <si>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</si>
  <si>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</si>
  <si>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</si>
  <si>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</si>
  <si>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</si>
  <si>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</si>
  <si>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</si>
  <si>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</si>
  <si>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</si>
  <si>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</si>
  <si>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</si>
  <si>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</si>
  <si>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</si>
  <si>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</si>
  <si>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</si>
  <si>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</si>
  <si>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</si>
  <si>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</si>
  <si>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</si>
  <si>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</si>
  <si>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</si>
  <si>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</si>
  <si>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</si>
  <si>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</si>
  <si>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</si>
  <si>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</si>
  <si>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</si>
  <si>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</si>
  <si>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</si>
  <si>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</si>
  <si>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</si>
  <si>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</si>
  <si>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</si>
  <si>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</si>
  <si>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</si>
  <si>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</si>
  <si>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</si>
  <si>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</si>
  <si>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</si>
  <si>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</si>
  <si>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</si>
  <si>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</si>
  <si>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</si>
  <si>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</si>
  <si>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</si>
  <si>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</si>
  <si>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</si>
  <si>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</si>
  <si>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</si>
  <si>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</si>
  <si>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</si>
  <si>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</si>
  <si>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</si>
  <si>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</si>
  <si>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</si>
  <si>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</si>
  <si>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</si>
  <si>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</si>
  <si>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</si>
  <si>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</si>
  <si>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</si>
  <si>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</si>
  <si>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</si>
  <si>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</si>
  <si>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</si>
  <si>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</si>
  <si>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</si>
  <si>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</si>
  <si>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</si>
  <si>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</si>
  <si>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</si>
  <si>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</si>
  <si>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</si>
  <si>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</si>
  <si>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</si>
  <si>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</si>
  <si>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</si>
  <si>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</si>
  <si>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</si>
  <si>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</si>
  <si>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</si>
  <si>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</si>
  <si>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</si>
  <si>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</si>
  <si>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</si>
  <si>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</si>
  <si>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</si>
  <si>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</si>
  <si>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</si>
  <si>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</si>
  <si>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</si>
  <si>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</si>
  <si>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</si>
  <si>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</si>
  <si>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</si>
  <si>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</si>
  <si>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</si>
  <si>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</si>
  <si>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</si>
  <si>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</si>
  <si>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</si>
  <si>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</si>
  <si>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</si>
  <si>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</si>
  <si>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</si>
  <si>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</si>
  <si>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</si>
  <si>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</si>
  <si>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</si>
  <si>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</si>
  <si>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</si>
  <si>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</si>
  <si>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</si>
  <si>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</si>
  <si>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</si>
  <si>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</si>
  <si>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</si>
  <si>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</si>
  <si>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</si>
  <si>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</si>
  <si>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</si>
  <si>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</si>
  <si>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</si>
  <si>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</si>
  <si>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</si>
  <si>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</si>
  <si>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</si>
  <si>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</si>
  <si>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</si>
  <si>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</si>
  <si>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</si>
  <si>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</si>
  <si>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</si>
  <si>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</si>
  <si>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</si>
  <si>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</si>
  <si>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</si>
  <si>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</si>
  <si>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</si>
  <si>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</si>
  <si>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</si>
  <si>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</si>
  <si>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</si>
  <si>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</si>
  <si>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</si>
  <si>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</si>
  <si>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</si>
  <si>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</si>
  <si>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</si>
  <si>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</si>
  <si>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</si>
  <si>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</si>
  <si>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</si>
  <si>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</si>
  <si>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</si>
  <si>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</si>
  <si>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</si>
  <si>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</si>
  <si>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</si>
  <si>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</si>
  <si>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</si>
  <si>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</si>
  <si>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</si>
  <si>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</si>
  <si>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</si>
  <si>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</si>
  <si>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</si>
  <si>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</si>
  <si>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</si>
  <si>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</si>
  <si>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</si>
  <si>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</si>
  <si>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</si>
  <si>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</si>
  <si>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</si>
  <si>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</si>
  <si>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</si>
  <si>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</si>
  <si>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</si>
  <si>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</si>
  <si>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</si>
  <si>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</si>
  <si>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</si>
  <si>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</si>
  <si>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</si>
  <si>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</si>
  <si>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</si>
  <si>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</si>
  <si>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</si>
  <si>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</si>
  <si>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</si>
  <si>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</si>
  <si>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</si>
  <si>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</si>
  <si>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</si>
  <si>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</si>
  <si>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</si>
  <si>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</si>
  <si>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</si>
  <si>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</si>
  <si>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</si>
  <si>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</si>
  <si>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</si>
  <si>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</si>
  <si>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</si>
  <si>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</si>
  <si>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</si>
  <si>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</si>
  <si>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</si>
  <si>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</si>
  <si>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</si>
  <si>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</si>
  <si>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</si>
  <si>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</si>
  <si>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</si>
  <si>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</si>
  <si>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</si>
  <si>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</si>
  <si>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</si>
  <si>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</si>
  <si>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</si>
  <si>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</si>
  <si>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</si>
  <si>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</si>
  <si>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</si>
  <si>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</si>
  <si>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</si>
  <si>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</si>
  <si>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</si>
  <si>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</si>
  <si>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</si>
  <si>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</si>
  <si>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</si>
  <si>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</si>
  <si>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</si>
  <si>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</si>
  <si>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</si>
  <si>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</si>
  <si>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</si>
  <si>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</si>
  <si>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</si>
  <si>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</si>
  <si>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</si>
  <si>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</si>
  <si>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</si>
  <si>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</si>
  <si>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</si>
  <si>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</si>
  <si>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</si>
  <si>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</si>
  <si>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</si>
  <si>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</si>
  <si>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</si>
  <si>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</si>
  <si>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</si>
  <si>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</si>
  <si>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</si>
  <si>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</si>
  <si>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</si>
  <si>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</si>
  <si>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</si>
  <si>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</si>
  <si>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</si>
  <si>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</si>
  <si>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</si>
  <si>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</si>
  <si>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</si>
  <si>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</si>
  <si>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</si>
  <si>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</si>
  <si>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</si>
  <si>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</si>
  <si>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</si>
  <si>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</si>
  <si>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</si>
  <si>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</si>
  <si>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</si>
  <si>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</si>
  <si>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</si>
  <si>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</si>
  <si>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</si>
  <si>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</si>
  <si>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</si>
  <si>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</si>
  <si>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</si>
  <si>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</si>
  <si>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</si>
  <si>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</si>
  <si>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</si>
  <si>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</si>
  <si>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</si>
  <si>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</si>
  <si>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</si>
  <si>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</si>
  <si>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</si>
  <si>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</si>
  <si>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</si>
  <si>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</si>
  <si>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</si>
  <si>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</si>
  <si>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</si>
  <si>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</si>
  <si>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</si>
  <si>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</si>
  <si>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</si>
  <si>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</si>
  <si>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</si>
  <si>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</si>
  <si>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</si>
  <si>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</si>
  <si>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</si>
  <si>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</si>
  <si>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</si>
  <si>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</si>
  <si>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</si>
  <si>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</si>
  <si>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</si>
  <si>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</si>
  <si>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</si>
  <si>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</si>
  <si>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</si>
  <si>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</si>
  <si>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</si>
  <si>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</si>
  <si>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</si>
  <si>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</si>
  <si>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</si>
  <si>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</si>
  <si>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</si>
  <si>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</si>
  <si>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</si>
  <si>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</si>
  <si>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</si>
  <si>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</si>
  <si>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</si>
  <si>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</si>
  <si>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</si>
  <si>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</si>
  <si>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</si>
  <si>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</si>
  <si>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</si>
  <si>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</si>
  <si>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</si>
  <si>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</si>
  <si>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</si>
  <si>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</si>
  <si>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</si>
  <si>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</si>
  <si>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</si>
  <si>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</si>
  <si>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</si>
  <si>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</si>
  <si>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</si>
  <si>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</si>
  <si>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</si>
  <si>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</si>
  <si>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</si>
  <si>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</si>
  <si>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</si>
  <si>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</si>
  <si>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</si>
  <si>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</si>
  <si>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</si>
  <si>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</si>
  <si>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</si>
  <si>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</si>
  <si>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</si>
  <si>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</si>
  <si>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</si>
  <si>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</si>
  <si>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</si>
  <si>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</si>
  <si>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</si>
  <si>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</si>
  <si>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</si>
  <si>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</si>
  <si>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</si>
  <si>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</si>
  <si>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</si>
  <si>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</si>
  <si>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</si>
  <si>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</si>
  <si>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</si>
  <si>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</si>
  <si>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</si>
  <si>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</si>
  <si>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</si>
  <si>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</si>
  <si>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</si>
  <si>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</si>
  <si>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</si>
  <si>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</si>
  <si>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</si>
  <si>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</si>
  <si>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</si>
  <si>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</si>
  <si>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</si>
  <si>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</si>
  <si>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</si>
  <si>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</si>
  <si>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</si>
  <si>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</si>
  <si>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</si>
  <si>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</si>
  <si>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</si>
  <si>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</si>
  <si>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</si>
  <si>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</si>
  <si>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</si>
  <si>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</si>
  <si>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</si>
  <si>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</si>
  <si>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</si>
  <si>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</si>
  <si>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</si>
  <si>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</si>
  <si>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</si>
  <si>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</si>
  <si>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</si>
  <si>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</si>
  <si>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</si>
  <si>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</si>
  <si>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</si>
  <si>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</si>
  <si>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</si>
  <si>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</si>
  <si>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</si>
  <si>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</si>
  <si>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</si>
  <si>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</si>
  <si>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</si>
  <si>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</si>
  <si>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</si>
  <si>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</si>
  <si>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</si>
  <si>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</si>
  <si>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</si>
  <si>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</si>
  <si>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</si>
  <si>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</si>
  <si>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</si>
  <si>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</si>
  <si>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</si>
  <si>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</si>
  <si>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</si>
  <si>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</si>
  <si>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</si>
  <si>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</si>
  <si>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</si>
  <si>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</si>
  <si>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</si>
  <si>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</si>
  <si>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</si>
  <si>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</si>
  <si>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</si>
  <si>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</si>
  <si>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</si>
  <si>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</si>
  <si>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</si>
  <si>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</si>
  <si>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</si>
  <si>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</si>
  <si>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</si>
  <si>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</si>
  <si>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</si>
  <si>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</si>
  <si>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</si>
  <si>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</si>
  <si>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</si>
  <si>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</si>
  <si>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</si>
  <si>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</si>
  <si>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</si>
  <si>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</si>
  <si>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</si>
  <si>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</si>
  <si>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</si>
  <si>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</si>
  <si>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</si>
  <si>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</si>
  <si>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</si>
  <si>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</si>
  <si>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</si>
  <si>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</si>
  <si>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</si>
  <si>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</si>
  <si>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</si>
  <si>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</si>
  <si>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</si>
  <si>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</si>
  <si>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</si>
  <si>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</si>
  <si>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</si>
  <si>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</si>
  <si>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</si>
  <si>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</si>
  <si>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</si>
  <si>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</si>
  <si>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</si>
  <si>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</si>
  <si>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</si>
  <si>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</si>
  <si>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</si>
  <si>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</si>
  <si>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</si>
  <si>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</si>
  <si>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</si>
  <si>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</si>
  <si>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</si>
  <si>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</si>
  <si>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</si>
  <si>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</si>
  <si>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</si>
  <si>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</si>
  <si>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</si>
  <si>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</si>
  <si>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</si>
  <si>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</si>
  <si>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</si>
  <si>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</si>
  <si>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</si>
  <si>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</si>
  <si>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</si>
  <si>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</si>
  <si>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</si>
  <si>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</si>
  <si>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</si>
  <si>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</si>
  <si>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</si>
  <si>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</si>
  <si>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</si>
  <si>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</si>
  <si>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</si>
  <si>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</si>
  <si>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</si>
  <si>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</si>
  <si>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</si>
  <si>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</si>
  <si>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</si>
  <si>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</si>
  <si>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</si>
  <si>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</si>
  <si>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</si>
  <si>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</si>
  <si>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</si>
  <si>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</si>
  <si>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</si>
  <si>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</si>
  <si>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</si>
  <si>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</si>
  <si>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</si>
  <si>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</si>
  <si>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</si>
  <si>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</si>
  <si>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</si>
  <si>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</si>
  <si>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</si>
  <si>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</si>
  <si>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</si>
  <si>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</si>
  <si>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</si>
  <si>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</si>
  <si>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</si>
  <si>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</si>
  <si>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</si>
  <si>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</si>
  <si>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</si>
  <si>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</si>
  <si>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</si>
  <si>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</si>
  <si>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</si>
  <si>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</si>
  <si>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</si>
  <si>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</si>
  <si>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</si>
  <si>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</si>
  <si>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</si>
  <si>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</si>
  <si>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</si>
  <si>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</si>
  <si>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</si>
  <si>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</si>
  <si>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</si>
  <si>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</si>
  <si>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</si>
  <si>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</si>
  <si>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</si>
  <si>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</si>
  <si>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</si>
  <si>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</si>
  <si>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</si>
  <si>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</si>
  <si>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</si>
  <si>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</si>
  <si>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</si>
  <si>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</si>
  <si>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</si>
  <si>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</si>
  <si>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</si>
  <si>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</si>
  <si>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</si>
  <si>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</si>
  <si>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</si>
  <si>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</si>
  <si>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</si>
  <si>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</si>
  <si>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</si>
  <si>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</si>
  <si>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</si>
  <si>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</si>
  <si>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</si>
  <si>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</si>
  <si>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</si>
  <si>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</si>
  <si>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</si>
  <si>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</si>
  <si>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</si>
  <si>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</si>
  <si>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</si>
  <si>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</si>
  <si>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</si>
  <si>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</si>
  <si>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</si>
  <si>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</si>
  <si>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</si>
  <si>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</si>
  <si>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</si>
  <si>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</si>
  <si>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</si>
  <si>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</si>
  <si>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</si>
  <si>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</si>
  <si>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</si>
  <si>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</si>
  <si>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</si>
  <si>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</si>
  <si>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</si>
  <si>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</si>
  <si>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</si>
  <si>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</si>
  <si>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</si>
  <si>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</si>
  <si>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</si>
  <si>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</si>
  <si>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</si>
  <si>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</si>
  <si>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</si>
  <si>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</si>
  <si>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</si>
  <si>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</si>
  <si>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</si>
  <si>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</si>
  <si>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</si>
  <si>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</si>
  <si>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</si>
  <si>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</si>
  <si>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</si>
  <si>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</si>
  <si>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</si>
  <si>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</si>
  <si>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</si>
  <si>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</si>
  <si>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</si>
  <si>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</si>
  <si>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</si>
  <si>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</si>
  <si>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</si>
  <si>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</si>
  <si>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</si>
  <si>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</si>
  <si>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</si>
  <si>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</si>
  <si>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</si>
  <si>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</si>
  <si>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</si>
  <si>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</si>
  <si>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</si>
  <si>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</si>
  <si>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</si>
  <si>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</si>
  <si>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</si>
  <si>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</si>
  <si>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</si>
  <si>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</si>
  <si>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</si>
  <si>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</si>
  <si>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</si>
  <si>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</si>
  <si>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</si>
  <si>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</si>
  <si>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</si>
  <si>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</si>
  <si>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</si>
  <si>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</si>
  <si>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</si>
  <si>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</si>
  <si>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</si>
  <si>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</si>
  <si>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</si>
  <si>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</si>
  <si>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</si>
  <si>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</si>
  <si>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</si>
  <si>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</si>
  <si>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</si>
  <si>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</si>
  <si>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</si>
  <si>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</si>
  <si>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</si>
  <si>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</si>
  <si>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</si>
  <si>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</si>
  <si>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</si>
  <si>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</si>
  <si>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</si>
  <si>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</si>
  <si>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</si>
  <si>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</si>
  <si>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</si>
  <si>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</si>
  <si>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</si>
  <si>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</si>
  <si>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</si>
  <si>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</si>
  <si>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</si>
  <si>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</si>
  <si>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</si>
  <si>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</si>
  <si>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</si>
  <si>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</si>
  <si>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</si>
  <si>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</si>
  <si>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</si>
  <si>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</si>
  <si>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</si>
  <si>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</si>
  <si>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</si>
  <si>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</si>
  <si>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</si>
  <si>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</si>
  <si>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</si>
  <si>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</si>
  <si>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</si>
  <si>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</si>
  <si>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</si>
  <si>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</si>
  <si>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</si>
  <si>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</si>
  <si>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</si>
  <si>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</si>
  <si>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</si>
  <si>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</si>
  <si>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</si>
  <si>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</si>
  <si>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</si>
  <si>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</si>
  <si>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</si>
  <si>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</si>
  <si>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</si>
  <si>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</si>
  <si>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</si>
  <si>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</si>
  <si>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</si>
  <si>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</si>
  <si>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</si>
  <si>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</si>
  <si>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</si>
  <si>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</si>
  <si>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</si>
  <si>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</si>
  <si>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</si>
  <si>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</si>
  <si>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</si>
  <si>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</si>
  <si>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</si>
  <si>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</si>
  <si>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</si>
  <si>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</si>
  <si>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</si>
  <si>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</si>
  <si>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</si>
  <si>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</si>
  <si>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</si>
  <si>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</si>
  <si>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</si>
  <si>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</si>
  <si>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</si>
  <si>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</si>
  <si>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</si>
  <si>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</si>
  <si>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</si>
  <si>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</si>
  <si>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</si>
  <si>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</si>
  <si>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</si>
  <si>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</si>
  <si>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</si>
  <si>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</si>
  <si>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</si>
  <si>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</si>
  <si>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</si>
  <si>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</si>
  <si>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</si>
  <si>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</si>
  <si>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</si>
  <si>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</si>
  <si>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</si>
  <si>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</si>
  <si>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</si>
  <si>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</si>
  <si>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</si>
  <si>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</si>
  <si>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</si>
  <si>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</si>
  <si>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</si>
  <si>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</si>
  <si>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</si>
  <si>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</si>
  <si>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</si>
  <si>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</si>
  <si>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</si>
  <si>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</si>
  <si>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</si>
  <si>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</si>
  <si>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</si>
  <si>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</si>
  <si>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</si>
  <si>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</si>
  <si>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</si>
  <si>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</si>
  <si>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</si>
  <si>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</si>
  <si>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</si>
  <si>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</si>
  <si>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</si>
  <si>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</si>
  <si>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</si>
  <si>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</si>
  <si>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</si>
  <si>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</si>
  <si>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</si>
  <si>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</si>
  <si>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</si>
  <si>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</si>
  <si>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</si>
  <si>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</si>
  <si>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</si>
  <si>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</si>
  <si>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</si>
  <si>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</si>
  <si>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</si>
  <si>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</si>
  <si>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</si>
  <si>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</si>
  <si>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</si>
  <si>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</si>
  <si>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</si>
  <si>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</si>
  <si>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</si>
  <si>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</si>
  <si>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</si>
  <si>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</si>
  <si>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</si>
  <si>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</si>
  <si>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</si>
  <si>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</si>
  <si>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</si>
  <si>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</si>
  <si>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</si>
  <si>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</si>
  <si>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</si>
  <si>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</si>
  <si>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</si>
  <si>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</si>
  <si>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</si>
  <si>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</si>
  <si>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</si>
  <si>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Calculations</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</si>
  <si>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</si>
  <si>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</si>
  <si>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</si>
  <si>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</si>
  <si>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</si>
  <si>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</si>
  <si>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</si>
  <si>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</si>
  <si>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</si>
  <si>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</si>
  <si>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</si>
  <si>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</si>
  <si>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</si>
  <si>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</si>
  <si>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</si>
  <si>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</si>
  <si>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</si>
  <si>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</si>
  <si>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</si>
  <si>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</si>
  <si>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</si>
  <si>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</si>
  <si>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</si>
  <si>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</si>
  <si>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</si>
  <si>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</si>
  <si>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</si>
  <si>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</si>
  <si>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</si>
  <si>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</si>
  <si>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</si>
  <si>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</si>
  <si>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</si>
  <si>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</si>
  <si>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</si>
  <si>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</si>
  <si>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</si>
  <si>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</si>
  <si>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</si>
  <si>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</si>
  <si>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</si>
  <si>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</si>
  <si>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</si>
  <si>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</si>
  <si>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</si>
  <si>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</si>
  <si>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</si>
  <si>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</si>
  <si>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</si>
  <si>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</si>
  <si>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</si>
  <si>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</si>
  <si>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</si>
  <si>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</si>
  <si>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</si>
  <si>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</si>
  <si>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</si>
  <si>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</si>
  <si>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</si>
  <si>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</si>
  <si>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</si>
  <si>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</si>
  <si>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</si>
  <si>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</si>
  <si>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</si>
  <si>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</si>
  <si>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</si>
  <si>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</si>
  <si>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</si>
  <si>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</si>
  <si>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</si>
  <si>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</si>
  <si>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</si>
  <si>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</si>
  <si>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</si>
  <si>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</si>
  <si>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</si>
  <si>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</si>
  <si>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</si>
  <si>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</si>
  <si>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</si>
  <si>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</si>
  <si>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</si>
  <si>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</si>
  <si>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</si>
  <si>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</si>
  <si>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</si>
  <si>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</si>
  <si>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</si>
  <si>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</si>
  <si>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</si>
  <si>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</si>
  <si>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</si>
  <si>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</si>
  <si>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</si>
  <si>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</si>
  <si>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</si>
  <si>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</si>
  <si>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</si>
  <si>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</si>
  <si>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</si>
  <si>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</si>
  <si>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</si>
  <si>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</si>
  <si>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</si>
  <si>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</si>
  <si>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</si>
  <si>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</si>
  <si>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</si>
  <si>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</si>
  <si>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</si>
  <si>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</si>
  <si>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</si>
  <si>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</si>
  <si>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</si>
  <si>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</si>
  <si>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</si>
  <si>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</si>
  <si>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</si>
  <si>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</si>
  <si>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</si>
  <si>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</si>
  <si>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</si>
  <si>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</si>
  <si>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</si>
  <si>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</si>
  <si>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</si>
  <si>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</si>
  <si>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</si>
  <si>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</si>
  <si>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</si>
  <si>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</si>
  <si>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</si>
  <si>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</si>
  <si>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</si>
  <si>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</si>
  <si>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</si>
  <si>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</si>
  <si>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</si>
  <si>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</si>
  <si>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</si>
  <si>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</si>
  <si>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</si>
  <si>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</si>
  <si>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</si>
  <si>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</si>
  <si>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</si>
  <si>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</si>
  <si>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</si>
  <si>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</si>
  <si>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</si>
  <si>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</si>
  <si>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</si>
  <si>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</si>
  <si>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</si>
  <si>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</si>
  <si>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</si>
  <si>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</si>
  <si>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</si>
  <si>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</si>
  <si>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</si>
  <si>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</si>
  <si>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</si>
  <si>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</si>
  <si>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</si>
  <si>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</si>
  <si>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</si>
  <si>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</si>
  <si>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</si>
  <si>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</si>
  <si>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</si>
  <si>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</si>
  <si>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</si>
  <si>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</si>
  <si>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</si>
  <si>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</si>
  <si>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</si>
  <si>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</si>
  <si>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</si>
  <si>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</si>
  <si>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</si>
  <si>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</si>
  <si>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</si>
  <si>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</si>
  <si>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</si>
  <si>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</si>
  <si>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</si>
  <si>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</si>
  <si>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</si>
  <si>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</si>
  <si>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</si>
  <si>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</si>
  <si>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</si>
  <si>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</si>
  <si>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</si>
  <si>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</si>
  <si>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</si>
  <si>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</si>
  <si>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</si>
  <si>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</si>
  <si>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</si>
  <si>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</si>
  <si>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</si>
  <si>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</si>
  <si>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</si>
  <si>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</si>
  <si>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</si>
  <si>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</si>
  <si>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</si>
  <si>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</si>
  <si>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</si>
  <si>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</si>
  <si>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</si>
  <si>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</si>
  <si>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</si>
  <si>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</si>
  <si>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</si>
  <si>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</si>
  <si>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</si>
  <si>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</si>
  <si>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</si>
  <si>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</si>
  <si>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</si>
  <si>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</si>
  <si>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</si>
  <si>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</si>
  <si>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</si>
  <si>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</si>
  <si>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</si>
  <si>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</si>
  <si>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</si>
  <si>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</si>
  <si>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</si>
  <si>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</si>
  <si>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</si>
  <si>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</si>
  <si>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</si>
  <si>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</si>
  <si>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</si>
  <si>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</si>
  <si>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</si>
  <si>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</si>
  <si>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</si>
  <si>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</si>
  <si>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</si>
  <si>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</si>
  <si>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</si>
  <si>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</si>
  <si>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</si>
  <si>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</si>
  <si>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</si>
  <si>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</si>
  <si>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</si>
  <si>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</si>
  <si>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</si>
  <si>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</si>
  <si>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</si>
  <si>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</si>
  <si>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</si>
  <si>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</si>
  <si>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</si>
  <si>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</si>
  <si>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</si>
  <si>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</si>
  <si>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</si>
  <si>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</si>
  <si>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</si>
  <si>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</si>
  <si>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</si>
  <si>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</si>
  <si>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</si>
  <si>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</si>
  <si>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</si>
  <si>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</si>
  <si>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</si>
  <si>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</si>
  <si>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</si>
  <si>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</si>
  <si>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</si>
  <si>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</si>
  <si>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</si>
  <si>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</si>
  <si>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</si>
  <si>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</si>
  <si>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</si>
  <si>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</si>
  <si>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</si>
  <si>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</si>
  <si>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</si>
  <si>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</si>
  <si>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</si>
  <si>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</si>
  <si>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</si>
  <si>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</si>
  <si>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</si>
  <si>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</si>
  <si>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</si>
  <si>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</si>
  <si>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</si>
  <si>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</si>
  <si>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</si>
  <si>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</si>
  <si>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</si>
  <si>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</si>
  <si>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</si>
  <si>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</si>
  <si>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</si>
  <si>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</si>
  <si>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</si>
  <si>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</si>
  <si>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</si>
  <si>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</si>
  <si>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</si>
  <si>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</si>
  <si>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</si>
  <si>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</si>
  <si>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</si>
  <si>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</si>
  <si>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</si>
  <si>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</si>
  <si>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</si>
  <si>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</si>
  <si>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</si>
  <si>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</si>
  <si>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</si>
  <si>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</si>
  <si>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</si>
  <si>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</si>
  <si>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</si>
  <si>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</si>
  <si>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</si>
  <si>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</si>
  <si>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</si>
  <si>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</si>
  <si>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Filtered Prodcom data</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</si>
  <si>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</si>
  <si>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</si>
  <si>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</si>
  <si>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</si>
  <si>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</si>
  <si>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</si>
  <si>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Green columns:</t>
  </si>
  <si>
    <t>Improved some descriptions. Renamed some column titles and sheet name in export sheet.</t>
  </si>
  <si>
    <t>Hotspot products export</t>
  </si>
  <si>
    <t>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t>
  </si>
  <si>
    <t>Tested with Ecoinvent 3.11 and 3.12.</t>
  </si>
  <si>
    <t>Orange columns:</t>
  </si>
  <si>
    <t>Required columns to list suppliers in the BACI script.</t>
  </si>
  <si>
    <t>Required to map PRODCOM code to HS22 codes.</t>
  </si>
  <si>
    <t>Blue columns</t>
  </si>
  <si>
    <t>Additional columns required by the LCA calculation and figure output script</t>
  </si>
  <si>
    <t>Update Hotspot product export sheet description</t>
  </si>
  <si>
    <t>Chloromethane</t>
  </si>
  <si>
    <t>Butanal</t>
  </si>
  <si>
    <t>Bisphenol A</t>
  </si>
  <si>
    <t>market for bisphenol A, powder</t>
  </si>
  <si>
    <t>market for acetic anhydride</t>
  </si>
  <si>
    <t>market for methyl chloride</t>
  </si>
  <si>
    <t>"Methane, chloro-" (chloromethane) 450 kt &lt; US production (2019) &lt; 453,592 kt; "Ethane, chloro-" (chloroethane) 9 kt &lt; US production (2019) &lt; 45 kt (US EPA, 2022)</t>
  </si>
  <si>
    <t>CH3Cl</t>
  </si>
  <si>
    <t>Source : 15-08-2026 - https://pubchem.ncbi.nlm.nih.gov/compound/6327</t>
  </si>
  <si>
    <t>C4H6O3</t>
  </si>
  <si>
    <t>Source : 26-03-2026 - https://pubchem.ncbi.nlm.nih.gov/compound/7918</t>
  </si>
  <si>
    <t>C15H16O2</t>
  </si>
  <si>
    <t>Source : 26-03-2026 - https://pubchem.ncbi.nlm.nih.gov/compound/6623</t>
  </si>
  <si>
    <t>C4H8O</t>
  </si>
  <si>
    <t>Source : 26-03-2026 - https://pubchem.ncbi.nlm.nih.gov/compound/261</t>
  </si>
  <si>
    <t>Asia without China</t>
  </si>
  <si>
    <t>TR</t>
  </si>
  <si>
    <t>RNA</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</si>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</sst>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3"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
      <sz val="9"/>
      <color indexed="81"/>
      <name val="Tahoma"/>
      <charset val="1"/>
    </font>
    <font>
      <b/>
      <sz val="9"/>
      <color indexed="81"/>
      <name val="Tahoma"/>
      <charset val="1"/>
    </font>
  </fonts>
  <fills count="9">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bgColor indexed="64"/>
      </patternFill>
    </fill>
    <fill>
      <patternFill patternType="solid">
        <fgColor theme="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99">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left"/>
    </xf>
    <xf numFmtId="0" fontId="11" fillId="7" borderId="0" xfId="12" applyFont="1" applyFill="1" applyAlignment="1">
      <alignment horizontal="center" vertical="center" wrapText="1"/>
    </xf>
    <xf numFmtId="0" fontId="11" fillId="8" borderId="0" xfId="12" applyFont="1" applyFill="1" applyAlignment="1">
      <alignment horizontal="center" vertical="center" wrapText="1"/>
    </xf>
    <xf numFmtId="0" fontId="11" fillId="8" borderId="0" xfId="12" applyFont="1" applyFill="1" applyAlignment="1">
      <alignment horizontal="left" vertical="center" wrapText="1"/>
    </xf>
    <xf numFmtId="0" fontId="11" fillId="7" borderId="0" xfId="12" applyFont="1" applyFill="1" applyAlignment="1">
      <alignment horizontal="left" vertical="center" wrapText="1"/>
    </xf>
    <xf numFmtId="0" fontId="11" fillId="6" borderId="0" xfId="12" applyFont="1" applyAlignment="1">
      <alignment horizontal="left" vertical="center" wrapText="1"/>
    </xf>
    <xf numFmtId="0" fontId="0" fillId="0" borderId="0" xfId="0" applyAlignment="1">
      <alignment horizontal="center"/>
    </xf>
    <xf numFmtId="10" fontId="3" fillId="0" borderId="0" xfId="2" applyNumberFormat="1" applyAlignment="1">
      <alignment horizontal="center"/>
    </xf>
    <xf numFmtId="1" fontId="2" fillId="3" borderId="0" xfId="3" applyNumberFormat="1" applyAlignment="1">
      <alignment horizontal="center" vertical="center"/>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49"/>
  <sheetViews>
    <sheetView zoomScaleNormal="100" workbookViewId="0"/>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2701</v>
      </c>
    </row>
    <row r="3" spans="2:3" ht="15" thickTop="1" x14ac:dyDescent="0.3"/>
    <row r="5" spans="2:3" ht="18" thickBot="1" x14ac:dyDescent="0.4">
      <c r="B5" s="13" t="s">
        <v>2702</v>
      </c>
    </row>
    <row r="6" spans="2:3" ht="15" thickTop="1" x14ac:dyDescent="0.3"/>
    <row r="7" spans="2:3" x14ac:dyDescent="0.3">
      <c r="B7" t="s">
        <v>2703</v>
      </c>
      <c r="C7" t="s">
        <v>2704</v>
      </c>
    </row>
    <row r="8" spans="2:3" x14ac:dyDescent="0.3">
      <c r="B8" t="s">
        <v>2705</v>
      </c>
      <c r="C8" t="s">
        <v>2706</v>
      </c>
    </row>
    <row r="9" spans="2:3" x14ac:dyDescent="0.3">
      <c r="B9" t="s">
        <v>2707</v>
      </c>
      <c r="C9" s="14" t="s">
        <v>2708</v>
      </c>
    </row>
    <row r="10" spans="2:3" x14ac:dyDescent="0.3">
      <c r="B10" t="s">
        <v>2709</v>
      </c>
      <c r="C10" s="14" t="s">
        <v>2710</v>
      </c>
    </row>
    <row r="11" spans="2:3" x14ac:dyDescent="0.3">
      <c r="B11" t="s">
        <v>2711</v>
      </c>
      <c r="C11" s="14" t="s">
        <v>2712</v>
      </c>
    </row>
    <row r="12" spans="2:3" ht="57.6" x14ac:dyDescent="0.3">
      <c r="B12" t="s">
        <v>2713</v>
      </c>
      <c r="C12" s="15" t="s">
        <v>2714</v>
      </c>
    </row>
    <row r="13" spans="2:3" ht="43.2" x14ac:dyDescent="0.3">
      <c r="B13" t="s">
        <v>2715</v>
      </c>
      <c r="C13" s="15" t="s">
        <v>2716</v>
      </c>
    </row>
    <row r="14" spans="2:3" x14ac:dyDescent="0.3">
      <c r="B14" t="s">
        <v>2717</v>
      </c>
      <c r="C14" s="16" t="s">
        <v>2718</v>
      </c>
    </row>
    <row r="15" spans="2:3" x14ac:dyDescent="0.3">
      <c r="B15" t="s">
        <v>2719</v>
      </c>
      <c r="C15" s="16" t="s">
        <v>2720</v>
      </c>
    </row>
    <row r="18" spans="2:3" ht="18" thickBot="1" x14ac:dyDescent="0.4">
      <c r="B18" s="13" t="s">
        <v>2721</v>
      </c>
    </row>
    <row r="19" spans="2:3" ht="15.6" thickTop="1" thickBot="1" x14ac:dyDescent="0.35"/>
    <row r="20" spans="2:3" x14ac:dyDescent="0.3">
      <c r="B20" s="17" t="s">
        <v>2722</v>
      </c>
      <c r="C20" s="18" t="s">
        <v>2715</v>
      </c>
    </row>
    <row r="21" spans="2:3" x14ac:dyDescent="0.3">
      <c r="B21" s="37">
        <v>46146</v>
      </c>
      <c r="C21" s="22" t="s">
        <v>2723</v>
      </c>
    </row>
    <row r="22" spans="2:3" x14ac:dyDescent="0.3">
      <c r="B22" s="37">
        <v>46242</v>
      </c>
      <c r="C22" s="29" t="s">
        <v>2806</v>
      </c>
    </row>
    <row r="23" spans="2:3" s="50" customFormat="1" x14ac:dyDescent="0.3">
      <c r="B23" s="37">
        <v>46245</v>
      </c>
      <c r="C23" s="29" t="s">
        <v>3057</v>
      </c>
    </row>
    <row r="24" spans="2:3" s="50" customFormat="1" x14ac:dyDescent="0.3">
      <c r="B24" s="37">
        <v>46247</v>
      </c>
      <c r="C24" s="29" t="s">
        <v>3071</v>
      </c>
    </row>
    <row r="25" spans="2:3" s="50" customFormat="1" ht="15" thickBot="1" x14ac:dyDescent="0.35">
      <c r="B25" s="19">
        <v>46248</v>
      </c>
      <c r="C25" s="20" t="s">
        <v>3080</v>
      </c>
    </row>
    <row r="28" spans="2:3" ht="18" thickBot="1" x14ac:dyDescent="0.4">
      <c r="B28" s="13" t="s">
        <v>2724</v>
      </c>
    </row>
    <row r="29" spans="2:3" ht="15.6" thickTop="1" thickBot="1" x14ac:dyDescent="0.35"/>
    <row r="30" spans="2:3" x14ac:dyDescent="0.3">
      <c r="B30" s="17" t="s">
        <v>2725</v>
      </c>
      <c r="C30" s="18" t="s">
        <v>2713</v>
      </c>
    </row>
    <row r="31" spans="2:3" x14ac:dyDescent="0.3">
      <c r="B31" s="21" t="s">
        <v>2726</v>
      </c>
      <c r="C31" s="22" t="s">
        <v>2727</v>
      </c>
    </row>
    <row r="32" spans="2:3" x14ac:dyDescent="0.3">
      <c r="B32" s="85" t="s">
        <v>3063</v>
      </c>
      <c r="C32" s="86" t="str">
        <f>'Filtered Prodcom data'!$B$1</f>
        <v>Prodcom data obtained from "Extract Prodcom data.ipynb"</v>
      </c>
    </row>
    <row r="33" spans="2:7" x14ac:dyDescent="0.3">
      <c r="B33" s="85" t="s">
        <v>2728</v>
      </c>
      <c r="C33" s="86" t="str">
        <f>Calculations!$B$1</f>
        <v>Data and necessary calculation to split polyamides and isocyanates. Prodcom products into separate product matching with Ecoinvent datasets</v>
      </c>
    </row>
    <row r="34" spans="2:7" x14ac:dyDescent="0.3">
      <c r="B34" s="85" t="s">
        <v>3072</v>
      </c>
      <c r="C34" s="86" t="str">
        <f>'Hotspot products export'!$B$1</f>
        <v>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v>
      </c>
    </row>
    <row r="35" spans="2:7" ht="15" thickBot="1" x14ac:dyDescent="0.35">
      <c r="B35" s="87" t="s">
        <v>2729</v>
      </c>
      <c r="C35" s="88" t="str">
        <f>References!$B$1</f>
        <v>Bibliography: list of references used thoughout the workbook</v>
      </c>
    </row>
    <row r="37" spans="2:7" s="50" customFormat="1" x14ac:dyDescent="0.3"/>
    <row r="38" spans="2:7" ht="18" thickBot="1" x14ac:dyDescent="0.4">
      <c r="B38" s="13" t="s">
        <v>2730</v>
      </c>
    </row>
    <row r="39" spans="2:7" ht="15.6" thickTop="1" thickBot="1" x14ac:dyDescent="0.35"/>
    <row r="40" spans="2:7" x14ac:dyDescent="0.3">
      <c r="B40" s="17" t="s">
        <v>2731</v>
      </c>
      <c r="C40" s="23" t="s">
        <v>2713</v>
      </c>
      <c r="D40" s="23" t="s">
        <v>2732</v>
      </c>
      <c r="E40" s="23" t="s">
        <v>2733</v>
      </c>
      <c r="F40" s="23" t="s">
        <v>2734</v>
      </c>
      <c r="G40" s="24" t="s">
        <v>2735</v>
      </c>
    </row>
    <row r="41" spans="2:7" x14ac:dyDescent="0.3">
      <c r="B41" s="21" t="s">
        <v>2736</v>
      </c>
      <c r="C41" t="s">
        <v>2737</v>
      </c>
      <c r="D41" s="25" t="s">
        <v>2738</v>
      </c>
      <c r="E41" s="25">
        <v>15</v>
      </c>
      <c r="F41" s="25">
        <v>4.1154000000000003E-2</v>
      </c>
      <c r="G41" s="26">
        <v>5.5855E-5</v>
      </c>
    </row>
    <row r="42" spans="2:7" x14ac:dyDescent="0.3">
      <c r="B42" s="21" t="s">
        <v>2739</v>
      </c>
      <c r="C42" t="s">
        <v>2740</v>
      </c>
      <c r="D42" s="3" t="s">
        <v>2741</v>
      </c>
      <c r="E42" s="3">
        <v>15</v>
      </c>
      <c r="F42" s="3">
        <v>4.1154000000000003E-2</v>
      </c>
      <c r="G42" s="76">
        <v>5.5855E-5</v>
      </c>
    </row>
    <row r="43" spans="2:7" x14ac:dyDescent="0.3">
      <c r="B43" s="21" t="s">
        <v>2742</v>
      </c>
      <c r="C43" t="s">
        <v>2743</v>
      </c>
      <c r="D43" s="4" t="s">
        <v>2744</v>
      </c>
      <c r="E43" s="4">
        <v>15</v>
      </c>
      <c r="F43" s="68">
        <v>4.1154000000000003E-2</v>
      </c>
      <c r="G43" s="69">
        <v>5.5855E-5</v>
      </c>
    </row>
    <row r="44" spans="2:7" x14ac:dyDescent="0.3">
      <c r="B44" s="21" t="s">
        <v>2745</v>
      </c>
      <c r="C44" t="s">
        <v>2746</v>
      </c>
      <c r="D44" s="27" t="s">
        <v>2747</v>
      </c>
      <c r="E44" s="27">
        <v>15</v>
      </c>
      <c r="F44" s="27">
        <v>4.1154000000000003E-2</v>
      </c>
      <c r="G44" s="28">
        <v>5.5855E-5</v>
      </c>
    </row>
    <row r="45" spans="2:7" x14ac:dyDescent="0.3">
      <c r="B45" s="21" t="s">
        <v>2748</v>
      </c>
      <c r="C45" t="s">
        <v>2749</v>
      </c>
      <c r="D45" s="1" t="s">
        <v>2750</v>
      </c>
      <c r="E45" s="1" t="s">
        <v>2751</v>
      </c>
      <c r="F45" s="1" t="s">
        <v>2752</v>
      </c>
      <c r="G45" s="81" t="s">
        <v>2753</v>
      </c>
    </row>
    <row r="46" spans="2:7" x14ac:dyDescent="0.3">
      <c r="B46" s="21" t="s">
        <v>2754</v>
      </c>
      <c r="C46" t="s">
        <v>2755</v>
      </c>
      <c r="D46" s="2" t="s">
        <v>2756</v>
      </c>
      <c r="E46" s="2" t="s">
        <v>2757</v>
      </c>
      <c r="F46" s="2" t="s">
        <v>2758</v>
      </c>
      <c r="G46" s="73" t="s">
        <v>2759</v>
      </c>
    </row>
    <row r="47" spans="2:7" x14ac:dyDescent="0.3">
      <c r="B47" s="21" t="s">
        <v>2760</v>
      </c>
      <c r="C47" t="s">
        <v>2761</v>
      </c>
      <c r="D47" s="66" t="s">
        <v>2762</v>
      </c>
      <c r="E47" s="66" t="s">
        <v>2763</v>
      </c>
      <c r="F47" s="66" t="s">
        <v>2764</v>
      </c>
      <c r="G47" s="67"/>
    </row>
    <row r="48" spans="2:7" x14ac:dyDescent="0.3">
      <c r="B48" s="30" t="s">
        <v>2765</v>
      </c>
      <c r="C48" t="s">
        <v>2766</v>
      </c>
      <c r="D48" s="31" t="s">
        <v>2767</v>
      </c>
      <c r="E48" s="31">
        <v>15</v>
      </c>
      <c r="F48" s="31">
        <v>4.1154000000000003E-2</v>
      </c>
      <c r="G48" s="32">
        <v>5.5855E-5</v>
      </c>
    </row>
    <row r="49" spans="2:7" ht="15" thickBot="1" x14ac:dyDescent="0.35">
      <c r="B49" s="33" t="s">
        <v>2765</v>
      </c>
      <c r="C49" s="34" t="s">
        <v>2768</v>
      </c>
      <c r="D49" s="35" t="s">
        <v>2769</v>
      </c>
      <c r="E49" s="70">
        <v>15</v>
      </c>
      <c r="F49" s="36">
        <v>4.1154000000000003E-2</v>
      </c>
      <c r="G49"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2" location="'Filtered Prodcom data'!A1" display="'Filtered Prodcom data'!A1" xr:uid="{10E90DFE-AB5A-4AC1-8DF9-F7272B3062AD}"/>
    <hyperlink ref="B33" location="'Calculations'!A1" display="'Calculations'!A1" xr:uid="{98A2ACEB-5840-4141-AD9C-D2CBBA86D412}"/>
    <hyperlink ref="B34" location="'Hotspot products export'!A1" display="'Hotspot products export'!A1" xr:uid="{773A090A-19D3-42DC-8B76-7EEDEA334565}"/>
    <hyperlink ref="B35" location="'References'!A1" display="'References'!A1" xr:uid="{EBC96B5D-3218-48C1-8C4C-720D5912EF5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topLeftCell="A59" zoomScaleNormal="100" workbookViewId="0">
      <selection activeCell="C150" sqref="A150:AK150"/>
    </sheetView>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3058</v>
      </c>
      <c r="B1" s="50" t="s">
        <v>3061</v>
      </c>
      <c r="AC1" s="44"/>
      <c r="AE1" s="44"/>
      <c r="AG1" s="44"/>
      <c r="AI1" s="44"/>
      <c r="AJ1" s="44"/>
    </row>
    <row r="2" spans="1:37" s="50" customFormat="1" x14ac:dyDescent="0.3">
      <c r="A2" s="50" t="s">
        <v>3060</v>
      </c>
      <c r="B2" s="50" t="s">
        <v>3062</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2807</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2641</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2642</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2642</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2642</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2642</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2642</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2642</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2641</v>
      </c>
    </row>
    <row r="13" spans="1:37" hidden="1" x14ac:dyDescent="0.3">
      <c r="A13" s="5" t="s">
        <v>3</v>
      </c>
      <c r="B13" s="5" t="s">
        <v>525</v>
      </c>
      <c r="C13" s="5" t="s">
        <v>526</v>
      </c>
      <c r="D13" s="5" t="s">
        <v>2618</v>
      </c>
      <c r="E13" s="6" t="s">
        <v>7</v>
      </c>
      <c r="F13" s="5" t="s">
        <v>2619</v>
      </c>
      <c r="G13" s="6" t="s">
        <v>7</v>
      </c>
      <c r="H13" s="5" t="s">
        <v>2620</v>
      </c>
      <c r="I13" s="6" t="s">
        <v>7</v>
      </c>
      <c r="J13" s="5" t="s">
        <v>2621</v>
      </c>
      <c r="K13" s="6" t="s">
        <v>7</v>
      </c>
      <c r="L13" s="5" t="s">
        <v>2622</v>
      </c>
      <c r="M13" s="6" t="s">
        <v>7</v>
      </c>
      <c r="N13" s="5" t="s">
        <v>2623</v>
      </c>
      <c r="O13" s="6" t="s">
        <v>7</v>
      </c>
      <c r="P13" s="5" t="s">
        <v>2624</v>
      </c>
      <c r="Q13" s="6" t="s">
        <v>7</v>
      </c>
      <c r="R13" s="5" t="s">
        <v>2625</v>
      </c>
      <c r="S13" s="6" t="s">
        <v>7</v>
      </c>
      <c r="T13" s="5" t="s">
        <v>2626</v>
      </c>
      <c r="U13" s="6" t="s">
        <v>7</v>
      </c>
      <c r="V13" s="5" t="s">
        <v>2627</v>
      </c>
      <c r="W13" s="6" t="s">
        <v>7</v>
      </c>
      <c r="X13" s="5" t="s">
        <v>2628</v>
      </c>
      <c r="Y13" s="6" t="s">
        <v>7</v>
      </c>
      <c r="Z13" s="5" t="s">
        <v>2629</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2649</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2642</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2642</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2641</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2642</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2642</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2642</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2642</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2658</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2641</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2642</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2641</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2641</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2642</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2641</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2641</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2641</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2642</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2641</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2642</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2641</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2642</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2641</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2641</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2642</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2641</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2642</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2641</v>
      </c>
    </row>
    <row r="41" spans="1:37" hidden="1" x14ac:dyDescent="0.3">
      <c r="A41" s="5" t="s">
        <v>3</v>
      </c>
      <c r="B41" s="5" t="s">
        <v>528</v>
      </c>
      <c r="C41" s="5" t="s">
        <v>529</v>
      </c>
      <c r="D41" s="5" t="s">
        <v>2630</v>
      </c>
      <c r="E41" s="6" t="s">
        <v>7</v>
      </c>
      <c r="F41" s="5" t="s">
        <v>2631</v>
      </c>
      <c r="G41" s="6" t="s">
        <v>7</v>
      </c>
      <c r="H41" s="5" t="s">
        <v>2632</v>
      </c>
      <c r="I41" s="6" t="s">
        <v>7</v>
      </c>
      <c r="J41" s="5" t="s">
        <v>2633</v>
      </c>
      <c r="K41" s="6" t="s">
        <v>7</v>
      </c>
      <c r="L41" s="5" t="s">
        <v>2634</v>
      </c>
      <c r="M41" s="6" t="s">
        <v>7</v>
      </c>
      <c r="N41" s="5" t="s">
        <v>2635</v>
      </c>
      <c r="O41" s="6" t="s">
        <v>7</v>
      </c>
      <c r="P41" s="5" t="s">
        <v>2636</v>
      </c>
      <c r="Q41" s="6" t="s">
        <v>7</v>
      </c>
      <c r="R41" s="5" t="s">
        <v>2637</v>
      </c>
      <c r="S41" s="6" t="s">
        <v>7</v>
      </c>
      <c r="T41" s="5" t="s">
        <v>2638</v>
      </c>
      <c r="U41" s="6" t="s">
        <v>7</v>
      </c>
      <c r="V41" s="5" t="s">
        <v>2611</v>
      </c>
      <c r="W41" s="6" t="s">
        <v>527</v>
      </c>
      <c r="X41" s="5" t="s">
        <v>2639</v>
      </c>
      <c r="Y41" s="6" t="s">
        <v>7</v>
      </c>
      <c r="Z41" s="5" t="s">
        <v>2640</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2649</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2641</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2641</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2642</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2642</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2642</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2642</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2642</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2642</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2641</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2642</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2642</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2642</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2649</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2642</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2642</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2642</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2658</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2642</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2642</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2649</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2658</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2642</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2641</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2642</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2641</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2642</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2641</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2641</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2649</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2641</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2641</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2642</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2642</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2642</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2658</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2642</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2641</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2641</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2642</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2649</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2649</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2642</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2641</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2642</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2641</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2658</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2641</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2641</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2649</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2641</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2649</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2642</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2641</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2649</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2658</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2641</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2641</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2641</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2641</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2641</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2641</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2642</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2649</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2641</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2649</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2641</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2642</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2641</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2641</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2641</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2649</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2641</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2641</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2658</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2642</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2649</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2642</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2641</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2642</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2642</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2641</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2641</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2642</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2642</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2649</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2641</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2649</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2642</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2642</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2641</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2641</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2658</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2642</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2642</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2641</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2641</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2642</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2642</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2642</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2642</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2641</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2642</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2642</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2641</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2642</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2642</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2642</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2642</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2642</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2642</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2642</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2641</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2642</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2642</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2642</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2641</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2642</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2642</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2642</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2642</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2642</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2642</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2642</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2642</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2642</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2642</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2642</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2642</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2642</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2642</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2642</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2641</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2642</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2642</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2642</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2642</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2642</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2641</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2642</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2642</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2642</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2642</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2642</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2642</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2642</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2642</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2642</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2642</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2642</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2642</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2642</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2642</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2642</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2642</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2642</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2642</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2642</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2642</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2642</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2642</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2642</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2642</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2642</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2642</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2642</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2642</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2642</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2642</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2641</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2642</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2642</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2642</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2642</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2642</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2642</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2642</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2642</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2642</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2642</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2642</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2642</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2642</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2700</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2642</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2641</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2642</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2649</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2641</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2642</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2642</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2641</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2641</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2642</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2642</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2642</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2642</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2649</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heetViews>
  <sheetFormatPr defaultRowHeight="14.4" x14ac:dyDescent="0.3"/>
  <cols>
    <col min="2" max="2" width="54.33203125" customWidth="1"/>
    <col min="3" max="3" width="16.109375" customWidth="1"/>
    <col min="4" max="4" width="15" customWidth="1"/>
  </cols>
  <sheetData>
    <row r="1" spans="1:5" x14ac:dyDescent="0.3">
      <c r="A1" s="50" t="s">
        <v>3058</v>
      </c>
      <c r="B1" t="s">
        <v>3064</v>
      </c>
    </row>
    <row r="2" spans="1:5" s="50" customFormat="1" x14ac:dyDescent="0.3"/>
    <row r="3" spans="1:5" ht="18" thickBot="1" x14ac:dyDescent="0.4">
      <c r="B3" s="13" t="s">
        <v>2856</v>
      </c>
    </row>
    <row r="4" spans="1:5" ht="15" thickTop="1" x14ac:dyDescent="0.3"/>
    <row r="5" spans="1:5" x14ac:dyDescent="0.3">
      <c r="B5" s="43" t="s">
        <v>635</v>
      </c>
      <c r="D5" s="10"/>
    </row>
    <row r="6" spans="1:5" x14ac:dyDescent="0.3">
      <c r="B6" s="43" t="s">
        <v>705</v>
      </c>
      <c r="C6" s="55">
        <f>'Filtered Prodcom data'!$AD$26</f>
        <v>2370412440</v>
      </c>
      <c r="D6" s="53" t="s">
        <v>3031</v>
      </c>
    </row>
    <row r="7" spans="1:5" x14ac:dyDescent="0.3">
      <c r="D7" s="10"/>
    </row>
    <row r="8" spans="1:5" ht="15" thickBot="1" x14ac:dyDescent="0.35">
      <c r="B8" s="45" t="s">
        <v>2857</v>
      </c>
      <c r="D8" s="10"/>
    </row>
    <row r="9" spans="1:5" x14ac:dyDescent="0.3">
      <c r="D9" s="10"/>
    </row>
    <row r="10" spans="1:5" x14ac:dyDescent="0.3">
      <c r="B10" s="43" t="s">
        <v>2858</v>
      </c>
      <c r="C10" s="78">
        <v>1009</v>
      </c>
      <c r="D10" s="53" t="s">
        <v>2859</v>
      </c>
      <c r="E10" s="82" t="s">
        <v>2860</v>
      </c>
    </row>
    <row r="11" spans="1:5" x14ac:dyDescent="0.3">
      <c r="B11" s="43" t="s">
        <v>2858</v>
      </c>
      <c r="C11" s="71">
        <f>C10/1000</f>
        <v>1.0089999999999999</v>
      </c>
      <c r="D11" s="53" t="s">
        <v>2861</v>
      </c>
    </row>
    <row r="12" spans="1:5" x14ac:dyDescent="0.3">
      <c r="B12" s="43" t="s">
        <v>35</v>
      </c>
      <c r="C12" s="78">
        <v>0.95</v>
      </c>
      <c r="D12" s="53" t="s">
        <v>2862</v>
      </c>
      <c r="E12" s="82" t="s">
        <v>2863</v>
      </c>
    </row>
    <row r="13" spans="1:5" x14ac:dyDescent="0.3">
      <c r="B13" s="43" t="s">
        <v>35</v>
      </c>
      <c r="C13" s="71">
        <f>C12*C11</f>
        <v>0.9585499999999999</v>
      </c>
      <c r="D13" s="53" t="s">
        <v>2861</v>
      </c>
    </row>
    <row r="14" spans="1:5" x14ac:dyDescent="0.3">
      <c r="D14" s="10"/>
    </row>
    <row r="15" spans="1:5" x14ac:dyDescent="0.3">
      <c r="B15" s="43" t="s">
        <v>2864</v>
      </c>
      <c r="C15" s="79">
        <v>4</v>
      </c>
      <c r="D15" s="53" t="s">
        <v>2865</v>
      </c>
      <c r="E15" s="82" t="s">
        <v>2772</v>
      </c>
    </row>
    <row r="16" spans="1:5" x14ac:dyDescent="0.3">
      <c r="D16" s="10"/>
    </row>
    <row r="17" spans="2:5" ht="15" thickBot="1" x14ac:dyDescent="0.35">
      <c r="B17" s="45" t="s">
        <v>2866</v>
      </c>
      <c r="D17" s="10"/>
    </row>
    <row r="18" spans="2:5" x14ac:dyDescent="0.3">
      <c r="D18" s="10"/>
    </row>
    <row r="19" spans="2:5" x14ac:dyDescent="0.3">
      <c r="B19" s="43" t="s">
        <v>2867</v>
      </c>
      <c r="C19" s="78">
        <v>646</v>
      </c>
      <c r="D19" s="53" t="s">
        <v>2868</v>
      </c>
      <c r="E19" s="82" t="s">
        <v>2860</v>
      </c>
    </row>
    <row r="20" spans="2:5" x14ac:dyDescent="0.3">
      <c r="B20" s="43" t="s">
        <v>2869</v>
      </c>
      <c r="C20" s="78">
        <v>513</v>
      </c>
      <c r="D20" s="53" t="s">
        <v>2868</v>
      </c>
      <c r="E20" s="82" t="s">
        <v>2860</v>
      </c>
    </row>
    <row r="21" spans="2:5" x14ac:dyDescent="0.3">
      <c r="B21" s="43" t="s">
        <v>2867</v>
      </c>
      <c r="C21" s="71">
        <f>C19/1000</f>
        <v>0.64600000000000002</v>
      </c>
      <c r="D21" s="53" t="s">
        <v>2870</v>
      </c>
    </row>
    <row r="22" spans="2:5" x14ac:dyDescent="0.3">
      <c r="B22" s="43" t="s">
        <v>2869</v>
      </c>
      <c r="C22" s="71">
        <f>C20/1000</f>
        <v>0.51300000000000001</v>
      </c>
      <c r="D22" s="53" t="s">
        <v>2870</v>
      </c>
    </row>
    <row r="23" spans="2:5" x14ac:dyDescent="0.3">
      <c r="D23" s="10"/>
    </row>
    <row r="24" spans="2:5" x14ac:dyDescent="0.3">
      <c r="B24" s="43" t="s">
        <v>2871</v>
      </c>
      <c r="C24" s="79">
        <v>3.4</v>
      </c>
      <c r="D24" s="53" t="s">
        <v>2865</v>
      </c>
      <c r="E24" s="82" t="s">
        <v>2772</v>
      </c>
    </row>
    <row r="25" spans="2:5" x14ac:dyDescent="0.3">
      <c r="D25" s="10"/>
    </row>
    <row r="26" spans="2:5" ht="18" thickBot="1" x14ac:dyDescent="0.4">
      <c r="B26" s="13" t="s">
        <v>346</v>
      </c>
      <c r="D26" s="10"/>
    </row>
    <row r="27" spans="2:5" ht="15" thickTop="1" x14ac:dyDescent="0.3">
      <c r="B27" s="43"/>
      <c r="D27" s="74"/>
    </row>
    <row r="28" spans="2:5" x14ac:dyDescent="0.3">
      <c r="B28" s="43" t="s">
        <v>2872</v>
      </c>
      <c r="C28" s="79">
        <v>10</v>
      </c>
      <c r="D28" s="74" t="s">
        <v>2865</v>
      </c>
      <c r="E28" s="82" t="s">
        <v>2774</v>
      </c>
    </row>
    <row r="29" spans="2:5" x14ac:dyDescent="0.3">
      <c r="B29" s="43" t="s">
        <v>2873</v>
      </c>
      <c r="C29" s="79">
        <v>3</v>
      </c>
      <c r="D29" s="74" t="s">
        <v>2865</v>
      </c>
      <c r="E29" s="82" t="s">
        <v>2774</v>
      </c>
    </row>
    <row r="30" spans="2:5" x14ac:dyDescent="0.3">
      <c r="D30" s="10"/>
    </row>
    <row r="31" spans="2:5" x14ac:dyDescent="0.3">
      <c r="B31" s="43" t="s">
        <v>346</v>
      </c>
      <c r="D31" s="10"/>
    </row>
    <row r="32" spans="2:5" x14ac:dyDescent="0.3">
      <c r="B32" s="43" t="s">
        <v>705</v>
      </c>
      <c r="C32" s="55">
        <f>'Filtered Prodcom data'!AD48</f>
        <v>1049281862</v>
      </c>
      <c r="D32" s="53" t="s">
        <v>3031</v>
      </c>
    </row>
    <row r="34" spans="2:5" ht="18" thickBot="1" x14ac:dyDescent="0.4">
      <c r="B34" s="46" t="s">
        <v>2874</v>
      </c>
    </row>
    <row r="35" spans="2:5" ht="15" thickTop="1" x14ac:dyDescent="0.3"/>
    <row r="36" spans="2:5" x14ac:dyDescent="0.3">
      <c r="C36" t="s">
        <v>2875</v>
      </c>
      <c r="D36" s="75"/>
    </row>
    <row r="37" spans="2:5" x14ac:dyDescent="0.3">
      <c r="B37" s="43" t="s">
        <v>2876</v>
      </c>
      <c r="C37" s="79">
        <v>12.010999999999999</v>
      </c>
      <c r="D37" s="53" t="s">
        <v>2877</v>
      </c>
      <c r="E37" s="82" t="s">
        <v>2878</v>
      </c>
    </row>
    <row r="38" spans="2:5" x14ac:dyDescent="0.3">
      <c r="B38" s="43" t="s">
        <v>2879</v>
      </c>
      <c r="C38" s="79">
        <v>15.999000000000001</v>
      </c>
      <c r="D38" s="53" t="s">
        <v>2877</v>
      </c>
      <c r="E38" s="82" t="s">
        <v>2878</v>
      </c>
    </row>
    <row r="39" spans="2:5" x14ac:dyDescent="0.3">
      <c r="B39" s="43" t="s">
        <v>2880</v>
      </c>
      <c r="C39" s="79">
        <v>1.008</v>
      </c>
      <c r="D39" s="53" t="s">
        <v>2877</v>
      </c>
      <c r="E39" s="82" t="s">
        <v>2881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15"/>
  <sheetViews>
    <sheetView tabSelected="1" zoomScale="55" zoomScaleNormal="55" workbookViewId="0">
      <selection activeCell="J28" sqref="J28"/>
    </sheetView>
  </sheetViews>
  <sheetFormatPr defaultRowHeight="14.4" x14ac:dyDescent="0.3"/>
  <cols>
    <col min="1" max="1" width="19.5546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3058</v>
      </c>
      <c r="B1" t="s">
        <v>3073</v>
      </c>
    </row>
    <row r="2" spans="1:31" x14ac:dyDescent="0.3">
      <c r="A2" t="s">
        <v>3060</v>
      </c>
      <c r="B2" s="90" t="s">
        <v>3068</v>
      </c>
    </row>
    <row r="3" spans="1:31" s="50" customFormat="1" x14ac:dyDescent="0.3"/>
    <row r="4" spans="1:31" s="50" customFormat="1" x14ac:dyDescent="0.3">
      <c r="A4" s="93" t="s">
        <v>3075</v>
      </c>
      <c r="B4" s="50" t="s">
        <v>3077</v>
      </c>
    </row>
    <row r="5" spans="1:31" x14ac:dyDescent="0.3">
      <c r="A5" s="94" t="s">
        <v>3070</v>
      </c>
      <c r="B5" t="s">
        <v>3076</v>
      </c>
    </row>
    <row r="6" spans="1:31" s="50" customFormat="1" x14ac:dyDescent="0.3">
      <c r="A6" s="95" t="s">
        <v>3078</v>
      </c>
      <c r="B6" s="50" t="s">
        <v>3079</v>
      </c>
    </row>
    <row r="7" spans="1:31" x14ac:dyDescent="0.3">
      <c r="F7" s="96" t="s">
        <v>705</v>
      </c>
      <c r="G7" s="96"/>
      <c r="I7" s="47" t="s">
        <v>3074</v>
      </c>
      <c r="J7" s="47"/>
    </row>
    <row r="8" spans="1:31" s="15" customFormat="1" ht="72" x14ac:dyDescent="0.3">
      <c r="A8" s="91" t="s">
        <v>3055</v>
      </c>
      <c r="B8" s="92" t="s">
        <v>2882</v>
      </c>
      <c r="C8" s="91" t="s">
        <v>2808</v>
      </c>
      <c r="D8" s="57" t="s">
        <v>2883</v>
      </c>
      <c r="E8" s="57" t="s">
        <v>2884</v>
      </c>
      <c r="F8" s="57" t="s">
        <v>3032</v>
      </c>
      <c r="G8" s="57" t="s">
        <v>3033</v>
      </c>
      <c r="H8" s="91" t="s">
        <v>3056</v>
      </c>
      <c r="I8" s="91" t="s">
        <v>3069</v>
      </c>
      <c r="J8" s="57" t="s">
        <v>2617</v>
      </c>
      <c r="K8" s="57" t="s">
        <v>2885</v>
      </c>
      <c r="L8" s="57" t="s">
        <v>2886</v>
      </c>
      <c r="M8" s="57" t="s">
        <v>2887</v>
      </c>
      <c r="N8" s="57" t="s">
        <v>2888</v>
      </c>
      <c r="O8" s="62" t="s">
        <v>2889</v>
      </c>
      <c r="P8" s="57" t="s">
        <v>3034</v>
      </c>
      <c r="Q8" s="57" t="s">
        <v>3035</v>
      </c>
      <c r="R8" s="57" t="s">
        <v>3037</v>
      </c>
      <c r="S8" s="57" t="s">
        <v>3038</v>
      </c>
      <c r="T8" s="57" t="s">
        <v>3047</v>
      </c>
      <c r="U8" s="62" t="s">
        <v>3048</v>
      </c>
      <c r="V8" s="57" t="s">
        <v>3040</v>
      </c>
      <c r="W8" s="57" t="s">
        <v>3041</v>
      </c>
      <c r="X8" s="57" t="s">
        <v>3039</v>
      </c>
      <c r="Y8" s="57" t="s">
        <v>3045</v>
      </c>
      <c r="Z8" s="57" t="s">
        <v>3049</v>
      </c>
      <c r="AA8" s="57" t="s">
        <v>3050</v>
      </c>
      <c r="AB8" s="57" t="s">
        <v>3052</v>
      </c>
      <c r="AC8" s="57" t="s">
        <v>3053</v>
      </c>
      <c r="AD8" s="57" t="s">
        <v>3066</v>
      </c>
      <c r="AE8" s="57" t="s">
        <v>3067</v>
      </c>
    </row>
    <row r="9" spans="1:31" x14ac:dyDescent="0.3">
      <c r="A9" s="64">
        <v>1</v>
      </c>
      <c r="B9" t="s">
        <v>614</v>
      </c>
      <c r="C9" s="64" t="s">
        <v>2809</v>
      </c>
      <c r="D9" t="s">
        <v>615</v>
      </c>
      <c r="E9" s="48" t="s">
        <v>2890</v>
      </c>
      <c r="F9" s="56">
        <f>INDEX(prodcom_data[PRODQNT + IMPQNT - EU27 - 2022], MATCH(B9, prodcom_data[product], 0))</f>
        <v>11059816493</v>
      </c>
      <c r="G9" s="54">
        <f>F9/1000000000</f>
        <v>11.059816493</v>
      </c>
      <c r="H9" s="97">
        <f>INDEX(prodcom_data[Local production share of available quantity (PRODQNT + IMPQNT) - EU27 - 2022], MATCH(B9, prodcom_data[product], 0))</f>
        <v>0.86402104863567564</v>
      </c>
      <c r="I9" s="49" t="s">
        <v>2643</v>
      </c>
      <c r="J9" s="49" t="s">
        <v>2642</v>
      </c>
      <c r="K9" s="79" t="s">
        <v>2891</v>
      </c>
      <c r="L9" s="79">
        <v>42.081000000000003</v>
      </c>
      <c r="M9" s="80" t="s">
        <v>2892</v>
      </c>
      <c r="N9" s="72">
        <f>M9*Calculations!$C$37/L9</f>
        <v>0.85627717972481643</v>
      </c>
      <c r="O9" s="81" t="s">
        <v>2893</v>
      </c>
      <c r="P9" s="59" t="s">
        <v>3042</v>
      </c>
      <c r="Q9" s="58">
        <v>1</v>
      </c>
      <c r="R9" s="59"/>
      <c r="S9" s="60"/>
      <c r="T9" s="59"/>
      <c r="U9" s="63"/>
      <c r="V9" s="59" t="s">
        <v>3036</v>
      </c>
      <c r="W9" s="58">
        <v>0.89</v>
      </c>
      <c r="X9" s="59" t="s">
        <v>3096</v>
      </c>
      <c r="Y9" s="61">
        <f>0.05+0.01</f>
        <v>6.0000000000000005E-2</v>
      </c>
      <c r="Z9" s="59" t="s">
        <v>3043</v>
      </c>
      <c r="AA9" s="61" cm="1">
        <f t="array" ref="AA9">1-SUM(IF(ISNUMBER(V9:Y9), V9:Y9, 0))</f>
        <v>4.9999999999999933E-2</v>
      </c>
      <c r="AB9" s="59"/>
      <c r="AC9" s="60"/>
      <c r="AD9" s="59"/>
      <c r="AE9" s="60"/>
    </row>
    <row r="10" spans="1:31" x14ac:dyDescent="0.3">
      <c r="A10" s="64">
        <v>2</v>
      </c>
      <c r="B10" t="s">
        <v>8</v>
      </c>
      <c r="C10" s="64" t="s">
        <v>2810</v>
      </c>
      <c r="D10" t="s">
        <v>9</v>
      </c>
      <c r="E10" s="48" t="s">
        <v>9</v>
      </c>
      <c r="F10" s="56">
        <f>INDEX(prodcom_data[PRODQNT + IMPQNT - EU27 - 2022], MATCH(B10, prodcom_data[product], 0))</f>
        <v>10337493766</v>
      </c>
      <c r="G10" s="54">
        <f t="shared" ref="G10:G65" si="0">F10/1000000000</f>
        <v>10.337493766</v>
      </c>
      <c r="H10" s="97">
        <f>INDEX(prodcom_data[Local production share of available quantity (PRODQNT + IMPQNT) - EU27 - 2022], MATCH(B10, prodcom_data[product], 0))</f>
        <v>0.87904863332422545</v>
      </c>
      <c r="I10" s="49" t="s">
        <v>2644</v>
      </c>
      <c r="J10" s="49" t="s">
        <v>2642</v>
      </c>
      <c r="K10" s="79" t="s">
        <v>2897</v>
      </c>
      <c r="L10" s="79">
        <v>28.05</v>
      </c>
      <c r="M10" s="80" t="s">
        <v>2898</v>
      </c>
      <c r="N10" s="72">
        <f>M10*Calculations!$C$37/L10</f>
        <v>0.85639928698752221</v>
      </c>
      <c r="O10" s="81" t="s">
        <v>2899</v>
      </c>
      <c r="P10" s="59" t="s">
        <v>3036</v>
      </c>
      <c r="Q10" s="58">
        <v>0.96</v>
      </c>
      <c r="R10" s="59" t="s">
        <v>3043</v>
      </c>
      <c r="S10" s="61" cm="1">
        <f t="array" ref="S10">1-SUM(IF(ISNUMBER(P10:Q10), P10:Q10, 0))</f>
        <v>4.0000000000000036E-2</v>
      </c>
      <c r="T10" s="59"/>
      <c r="U10" s="63"/>
      <c r="V10" s="59" t="s">
        <v>3044</v>
      </c>
      <c r="W10" s="58">
        <v>0.94</v>
      </c>
      <c r="X10" s="59" t="s">
        <v>3097</v>
      </c>
      <c r="Y10" s="60">
        <v>0.03</v>
      </c>
      <c r="Z10" s="59" t="s">
        <v>3054</v>
      </c>
      <c r="AA10" s="60">
        <v>0.02</v>
      </c>
      <c r="AB10" s="59" t="s">
        <v>3046</v>
      </c>
      <c r="AC10" s="60">
        <v>0.01</v>
      </c>
      <c r="AD10" s="59"/>
      <c r="AE10" s="60"/>
    </row>
    <row r="11" spans="1:31" x14ac:dyDescent="0.3">
      <c r="A11" s="64">
        <v>3</v>
      </c>
      <c r="B11" t="s">
        <v>11</v>
      </c>
      <c r="C11" s="64" t="s">
        <v>2810</v>
      </c>
      <c r="D11" t="s">
        <v>12</v>
      </c>
      <c r="E11" s="48" t="s">
        <v>2894</v>
      </c>
      <c r="F11" s="56">
        <f>INDEX(prodcom_data[PRODQNT + IMPQNT - EU27 - 2022], MATCH(B11, prodcom_data[product], 0))</f>
        <v>9081741202</v>
      </c>
      <c r="G11" s="54">
        <f t="shared" si="0"/>
        <v>9.0817412019999999</v>
      </c>
      <c r="H11" s="97">
        <f>INDEX(prodcom_data[Local production share of available quantity (PRODQNT + IMPQNT) - EU27 - 2022], MATCH(B11, prodcom_data[product], 0))</f>
        <v>0.94409418582769256</v>
      </c>
      <c r="I11" s="49" t="s">
        <v>2645</v>
      </c>
      <c r="J11" s="49" t="s">
        <v>2642</v>
      </c>
      <c r="K11" s="79" t="s">
        <v>2895</v>
      </c>
      <c r="L11" s="79">
        <v>42.08</v>
      </c>
      <c r="M11" s="80" t="s">
        <v>2892</v>
      </c>
      <c r="N11" s="72">
        <f>M11*Calculations!$C$37/L11</f>
        <v>0.85629752851711038</v>
      </c>
      <c r="O11" s="81" t="s">
        <v>2896</v>
      </c>
      <c r="P11" s="59" t="s">
        <v>3036</v>
      </c>
      <c r="Q11" s="58">
        <v>0.98</v>
      </c>
      <c r="R11" s="59" t="s">
        <v>3043</v>
      </c>
      <c r="S11" s="61" cm="1">
        <f t="array" ref="S11">1-SUM(IF(ISNUMBER(P11:Q11), P11:Q11, 0))</f>
        <v>2.0000000000000018E-2</v>
      </c>
      <c r="T11" s="59"/>
      <c r="U11" s="63"/>
      <c r="V11" s="59" t="s">
        <v>3044</v>
      </c>
      <c r="W11" s="58">
        <v>0.97</v>
      </c>
      <c r="X11" s="59" t="s">
        <v>3097</v>
      </c>
      <c r="Y11" s="60">
        <v>0.01</v>
      </c>
      <c r="Z11" s="59" t="s">
        <v>3054</v>
      </c>
      <c r="AA11" s="60">
        <v>0.01</v>
      </c>
      <c r="AB11" s="59" t="s">
        <v>3043</v>
      </c>
      <c r="AC11" s="61" cm="1">
        <f t="array" ref="AC11">1-SUM(IF(ISNUMBER(V11:AA11), V11:AA11, 0))</f>
        <v>1.0000000000000009E-2</v>
      </c>
      <c r="AD11" s="59"/>
      <c r="AE11" s="60"/>
    </row>
    <row r="12" spans="1:31" x14ac:dyDescent="0.3">
      <c r="A12" s="64">
        <v>4</v>
      </c>
      <c r="B12" t="s">
        <v>539</v>
      </c>
      <c r="C12" s="64" t="s">
        <v>2811</v>
      </c>
      <c r="D12" t="s">
        <v>540</v>
      </c>
      <c r="E12" s="48" t="s">
        <v>2900</v>
      </c>
      <c r="F12" s="56">
        <f>INDEX(prodcom_data[PRODQNT + IMPQNT - EU27 - 2022], MATCH(B12, prodcom_data[product], 0))</f>
        <v>7628879471</v>
      </c>
      <c r="G12" s="54">
        <f t="shared" si="0"/>
        <v>7.6288794710000003</v>
      </c>
      <c r="H12" s="97">
        <f>INDEX(prodcom_data[Local production share of available quantity (PRODQNT + IMPQNT) - EU27 - 2022], MATCH(B12, prodcom_data[product], 0))</f>
        <v>0.78369292184089345</v>
      </c>
      <c r="I12" s="49" t="s">
        <v>2646</v>
      </c>
      <c r="J12" s="49" t="s">
        <v>2642</v>
      </c>
      <c r="K12" s="79" t="s">
        <v>2901</v>
      </c>
      <c r="L12" s="79">
        <v>28.053999999999998</v>
      </c>
      <c r="M12" s="80" t="s">
        <v>2898</v>
      </c>
      <c r="N12" s="72">
        <f>M12*Calculations!$C$37/L12</f>
        <v>0.85627717972481643</v>
      </c>
      <c r="O12" s="81" t="s">
        <v>2902</v>
      </c>
      <c r="P12" s="59" t="s">
        <v>3042</v>
      </c>
      <c r="Q12" s="58">
        <v>1</v>
      </c>
      <c r="R12" s="59"/>
      <c r="S12" s="60"/>
      <c r="T12" s="59"/>
      <c r="U12" s="63"/>
      <c r="V12" s="59" t="s">
        <v>3036</v>
      </c>
      <c r="W12" s="58">
        <v>0.81</v>
      </c>
      <c r="X12" s="59" t="s">
        <v>3046</v>
      </c>
      <c r="Y12" s="60">
        <v>0.05</v>
      </c>
      <c r="Z12" s="59" t="s">
        <v>3043</v>
      </c>
      <c r="AA12" s="61" cm="1">
        <f t="array" ref="AA12">1-SUM(IF(ISNUMBER(V12:Y12), V12:Y12, 0))</f>
        <v>0.1399999999999999</v>
      </c>
      <c r="AB12" s="59"/>
      <c r="AC12" s="60"/>
      <c r="AD12" s="59"/>
      <c r="AE12" s="60"/>
    </row>
    <row r="13" spans="1:31" x14ac:dyDescent="0.3">
      <c r="A13" s="64">
        <v>5</v>
      </c>
      <c r="B13" t="s">
        <v>111</v>
      </c>
      <c r="C13" s="89" t="s">
        <v>3065</v>
      </c>
      <c r="D13" t="s">
        <v>112</v>
      </c>
      <c r="E13" s="48" t="s">
        <v>2903</v>
      </c>
      <c r="F13" s="56">
        <f>INDEX(prodcom_data[PRODQNT + IMPQNT - EU27 - 2022], MATCH(B13, prodcom_data[product], 0))</f>
        <v>6904732058</v>
      </c>
      <c r="G13" s="54">
        <f t="shared" si="0"/>
        <v>6.9047320579999996</v>
      </c>
      <c r="H13" s="97">
        <f>INDEX(prodcom_data[Local production share of available quantity (PRODQNT + IMPQNT) - EU27 - 2022], MATCH(B13, prodcom_data[product], 0))</f>
        <v>0.14193164800139446</v>
      </c>
      <c r="I13" s="49" t="s">
        <v>2647</v>
      </c>
      <c r="J13" s="49" t="s">
        <v>2642</v>
      </c>
      <c r="K13" s="79" t="s">
        <v>2904</v>
      </c>
      <c r="L13" s="79">
        <v>32.042000000000002</v>
      </c>
      <c r="M13" s="80" t="s">
        <v>2905</v>
      </c>
      <c r="N13" s="72">
        <f>M13*Calculations!$C$37/L13</f>
        <v>0.3748517570688471</v>
      </c>
      <c r="O13" s="81" t="s">
        <v>2906</v>
      </c>
      <c r="P13" s="59" t="s">
        <v>3036</v>
      </c>
      <c r="Q13" s="58">
        <v>0.35</v>
      </c>
      <c r="R13" s="59" t="s">
        <v>3046</v>
      </c>
      <c r="S13" s="58">
        <v>0.23</v>
      </c>
      <c r="T13" s="59" t="s">
        <v>3043</v>
      </c>
      <c r="U13" s="61">
        <f>1-Q13-S13</f>
        <v>0.42000000000000004</v>
      </c>
      <c r="V13" s="59" t="s">
        <v>3044</v>
      </c>
      <c r="W13" s="58">
        <v>0.18</v>
      </c>
      <c r="X13" s="59" t="s">
        <v>3051</v>
      </c>
      <c r="Y13" s="58">
        <v>0.21</v>
      </c>
      <c r="Z13" s="59" t="s">
        <v>3046</v>
      </c>
      <c r="AA13" s="58">
        <v>0.23</v>
      </c>
      <c r="AB13" s="59" t="s">
        <v>3054</v>
      </c>
      <c r="AC13" s="60">
        <v>0.16</v>
      </c>
      <c r="AD13" s="59" t="s">
        <v>3043</v>
      </c>
      <c r="AE13" s="61" cm="1">
        <f t="array" ref="AE13">1-SUM(IF(ISNUMBER(V13:AC13), V13:AC13, 0))</f>
        <v>0.21999999999999997</v>
      </c>
    </row>
    <row r="14" spans="1:31" x14ac:dyDescent="0.3">
      <c r="A14" s="64">
        <v>6</v>
      </c>
      <c r="B14" t="s">
        <v>34</v>
      </c>
      <c r="C14" s="64" t="s">
        <v>2813</v>
      </c>
      <c r="D14" t="s">
        <v>35</v>
      </c>
      <c r="E14" s="48" t="s">
        <v>35</v>
      </c>
      <c r="F14" s="56">
        <f>INDEX(prodcom_data[PRODQNT + IMPQNT - EU27 - 2022], MATCH(B14, prodcom_data[product], 0))</f>
        <v>6234476067</v>
      </c>
      <c r="G14" s="54">
        <f t="shared" si="0"/>
        <v>6.2344760670000001</v>
      </c>
      <c r="H14" s="97">
        <f>INDEX(prodcom_data[Local production share of available quantity (PRODQNT + IMPQNT) - EU27 - 2022], MATCH(B14, prodcom_data[product], 0))</f>
        <v>0.88287081478020857</v>
      </c>
      <c r="I14" s="49" t="s">
        <v>2648</v>
      </c>
      <c r="J14" s="49" t="s">
        <v>2642</v>
      </c>
      <c r="K14" s="79" t="s">
        <v>2907</v>
      </c>
      <c r="L14" s="79">
        <v>78.11</v>
      </c>
      <c r="M14" s="80" t="s">
        <v>2908</v>
      </c>
      <c r="N14" s="72">
        <f>M14*Calculations!$C$37/L14</f>
        <v>0.92262194341313541</v>
      </c>
      <c r="O14" s="81" t="s">
        <v>2909</v>
      </c>
      <c r="P14" s="59" t="s">
        <v>3036</v>
      </c>
      <c r="Q14" s="58">
        <v>0.93</v>
      </c>
      <c r="R14" s="59" t="s">
        <v>3043</v>
      </c>
      <c r="S14" s="61" cm="1">
        <f t="array" ref="S14">1-SUM(IF(ISNUMBER(P14:Q14), P14:Q14, 0))</f>
        <v>6.9999999999999951E-2</v>
      </c>
      <c r="T14" s="59"/>
      <c r="U14" s="63"/>
      <c r="V14" s="59" t="s">
        <v>3036</v>
      </c>
      <c r="W14" s="58">
        <v>0.93</v>
      </c>
      <c r="X14" s="59" t="s">
        <v>3043</v>
      </c>
      <c r="Y14" s="61" cm="1">
        <f t="array" ref="Y14">1-SUM(IF(ISNUMBER(V14:W14), V14:W14, 0))</f>
        <v>6.9999999999999951E-2</v>
      </c>
      <c r="Z14" s="59"/>
      <c r="AA14" s="60"/>
      <c r="AB14" s="59"/>
      <c r="AC14" s="60"/>
      <c r="AD14" s="59"/>
      <c r="AE14" s="60"/>
    </row>
    <row r="15" spans="1:31" x14ac:dyDescent="0.3">
      <c r="A15" s="64">
        <v>7</v>
      </c>
      <c r="B15" t="s">
        <v>563</v>
      </c>
      <c r="C15" s="64" t="s">
        <v>2814</v>
      </c>
      <c r="D15" t="s">
        <v>564</v>
      </c>
      <c r="E15" s="48" t="s">
        <v>2910</v>
      </c>
      <c r="F15" s="56">
        <f>INDEX(prodcom_data[PRODQNT + IMPQNT - EU27 - 2022], MATCH(B15, prodcom_data[product], 0))</f>
        <v>5008047468</v>
      </c>
      <c r="G15" s="54">
        <f t="shared" si="0"/>
        <v>5.008047468</v>
      </c>
      <c r="H15" s="97">
        <f>INDEX(prodcom_data[Local production share of available quantity (PRODQNT + IMPQNT) - EU27 - 2022], MATCH(B15, prodcom_data[product], 0))</f>
        <v>0.89272188364169869</v>
      </c>
      <c r="I15" s="49" t="s">
        <v>2650</v>
      </c>
      <c r="J15" s="49" t="s">
        <v>2642</v>
      </c>
      <c r="K15" s="79" t="s">
        <v>2911</v>
      </c>
      <c r="L15" s="79">
        <v>62.5</v>
      </c>
      <c r="M15" s="80" t="s">
        <v>2898</v>
      </c>
      <c r="N15" s="72">
        <f>M15*Calculations!$C$37/L15</f>
        <v>0.38435199999999997</v>
      </c>
      <c r="O15" s="81" t="s">
        <v>2912</v>
      </c>
      <c r="P15" s="59" t="s">
        <v>3036</v>
      </c>
      <c r="Q15" s="58">
        <v>0.92</v>
      </c>
      <c r="R15" s="59" t="s">
        <v>3043</v>
      </c>
      <c r="S15" s="61" cm="1">
        <f t="array" ref="S15">1-SUM(IF(ISNUMBER(P15:Q15), P15:Q15, 0))</f>
        <v>7.999999999999996E-2</v>
      </c>
      <c r="T15" s="59"/>
      <c r="U15" s="63"/>
      <c r="V15" s="59" t="s">
        <v>3036</v>
      </c>
      <c r="W15" s="58">
        <v>0.92</v>
      </c>
      <c r="X15" s="59" t="s">
        <v>3098</v>
      </c>
      <c r="Y15" s="61">
        <f>0.03+0.03</f>
        <v>0.06</v>
      </c>
      <c r="Z15" s="59" t="s">
        <v>3043</v>
      </c>
      <c r="AA15" s="61" cm="1">
        <f t="array" ref="AA15">1-SUM(IF(ISNUMBER(V15:Y15), V15:Y15, 0))</f>
        <v>2.0000000000000018E-2</v>
      </c>
      <c r="AB15" s="59"/>
      <c r="AC15" s="60"/>
      <c r="AD15" s="59"/>
      <c r="AE15" s="60"/>
    </row>
    <row r="16" spans="1:31" x14ac:dyDescent="0.3">
      <c r="A16" s="64">
        <v>8</v>
      </c>
      <c r="B16" t="s">
        <v>536</v>
      </c>
      <c r="C16" s="64" t="s">
        <v>2812</v>
      </c>
      <c r="D16" t="s">
        <v>537</v>
      </c>
      <c r="E16" s="48" t="s">
        <v>2900</v>
      </c>
      <c r="F16" s="56">
        <f>INDEX(prodcom_data[PRODQNT + IMPQNT - EU27 - 2022], MATCH(B16, prodcom_data[product], 0))</f>
        <v>4474213876</v>
      </c>
      <c r="G16" s="54">
        <f t="shared" si="0"/>
        <v>4.4742138760000003</v>
      </c>
      <c r="H16" s="97">
        <f>INDEX(prodcom_data[Local production share of available quantity (PRODQNT + IMPQNT) - EU27 - 2022], MATCH(B16, prodcom_data[product], 0))</f>
        <v>0.7961067883023123</v>
      </c>
      <c r="I16" s="49" t="s">
        <v>2651</v>
      </c>
      <c r="J16" s="49" t="s">
        <v>2642</v>
      </c>
      <c r="K16" s="79" t="s">
        <v>2901</v>
      </c>
      <c r="L16" s="79">
        <v>28.053999999999998</v>
      </c>
      <c r="M16" s="80" t="s">
        <v>2898</v>
      </c>
      <c r="N16" s="72">
        <f>M16*Calculations!$C$37/L16</f>
        <v>0.85627717972481643</v>
      </c>
      <c r="O16" s="81" t="s">
        <v>2902</v>
      </c>
      <c r="P16" s="59" t="s">
        <v>3042</v>
      </c>
      <c r="Q16" s="58">
        <v>1</v>
      </c>
      <c r="R16" s="59"/>
      <c r="S16" s="60"/>
      <c r="T16" s="59"/>
      <c r="U16" s="63"/>
      <c r="V16" s="59" t="s">
        <v>3036</v>
      </c>
      <c r="W16" s="58">
        <v>0.84</v>
      </c>
      <c r="X16" s="59" t="s">
        <v>3046</v>
      </c>
      <c r="Y16" s="60">
        <v>0.04</v>
      </c>
      <c r="Z16" s="59" t="s">
        <v>3043</v>
      </c>
      <c r="AA16" s="61" cm="1">
        <f t="array" ref="AA16">1-SUM(IF(ISNUMBER(V16:Y16), V16:Y16, 0))</f>
        <v>0.12</v>
      </c>
      <c r="AB16" s="59"/>
      <c r="AC16" s="60"/>
      <c r="AD16" s="59"/>
      <c r="AE16" s="60"/>
    </row>
    <row r="17" spans="1:31" x14ac:dyDescent="0.3">
      <c r="A17" s="64">
        <v>9</v>
      </c>
      <c r="B17" t="s">
        <v>533</v>
      </c>
      <c r="C17" s="64" t="s">
        <v>2812</v>
      </c>
      <c r="D17" t="s">
        <v>534</v>
      </c>
      <c r="E17" s="48" t="s">
        <v>2900</v>
      </c>
      <c r="F17" s="56">
        <f>INDEX(prodcom_data[PRODQNT + IMPQNT - EU27 - 2022], MATCH(B17, prodcom_data[product], 0))</f>
        <v>4238710053</v>
      </c>
      <c r="G17" s="54">
        <f t="shared" si="0"/>
        <v>4.2387100530000001</v>
      </c>
      <c r="H17" s="97">
        <f>INDEX(prodcom_data[Local production share of available quantity (PRODQNT + IMPQNT) - EU27 - 2022], MATCH(B17, prodcom_data[product], 0))</f>
        <v>0.8225375065540016</v>
      </c>
      <c r="I17" s="49" t="s">
        <v>2653</v>
      </c>
      <c r="J17" s="49" t="s">
        <v>2642</v>
      </c>
      <c r="K17" s="79" t="s">
        <v>2901</v>
      </c>
      <c r="L17" s="79">
        <v>28.053999999999998</v>
      </c>
      <c r="M17" s="80" t="s">
        <v>2898</v>
      </c>
      <c r="N17" s="72">
        <f>M17*Calculations!$C$37/L17</f>
        <v>0.85627717972481643</v>
      </c>
      <c r="O17" s="81" t="s">
        <v>2902</v>
      </c>
      <c r="P17" s="59" t="s">
        <v>3042</v>
      </c>
      <c r="Q17" s="58">
        <v>1</v>
      </c>
      <c r="R17" s="59"/>
      <c r="S17" s="60"/>
      <c r="T17" s="59"/>
      <c r="U17" s="63"/>
      <c r="V17" s="59" t="s">
        <v>3042</v>
      </c>
      <c r="W17" s="58">
        <v>1</v>
      </c>
      <c r="X17" s="59"/>
      <c r="Y17" s="60"/>
      <c r="Z17" s="59"/>
      <c r="AA17" s="60"/>
      <c r="AB17" s="59"/>
      <c r="AC17" s="60"/>
      <c r="AD17" s="59"/>
      <c r="AE17" s="60"/>
    </row>
    <row r="18" spans="1:31" x14ac:dyDescent="0.3">
      <c r="A18" s="64">
        <v>10</v>
      </c>
      <c r="B18" t="s">
        <v>49</v>
      </c>
      <c r="C18" s="64" t="s">
        <v>2815</v>
      </c>
      <c r="D18" t="s">
        <v>50</v>
      </c>
      <c r="E18" s="48" t="s">
        <v>50</v>
      </c>
      <c r="F18" s="56">
        <f>INDEX(prodcom_data[PRODQNT + IMPQNT - EU27 - 2022], MATCH(B18, prodcom_data[product], 0))</f>
        <v>3627976392</v>
      </c>
      <c r="G18" s="54">
        <f t="shared" si="0"/>
        <v>3.6279763919999999</v>
      </c>
      <c r="H18" s="97">
        <f>INDEX(prodcom_data[Local production share of available quantity (PRODQNT + IMPQNT) - EU27 - 2022], MATCH(B18, prodcom_data[product], 0))</f>
        <v>0.82690725513409014</v>
      </c>
      <c r="I18" s="49" t="s">
        <v>2654</v>
      </c>
      <c r="J18" s="49" t="s">
        <v>2642</v>
      </c>
      <c r="K18" s="79" t="s">
        <v>2921</v>
      </c>
      <c r="L18" s="79">
        <v>104.15</v>
      </c>
      <c r="M18" s="80" t="s">
        <v>2915</v>
      </c>
      <c r="N18" s="72">
        <f>M18*Calculations!$C$37/L18</f>
        <v>0.92259241478636567</v>
      </c>
      <c r="O18" s="81" t="s">
        <v>2922</v>
      </c>
      <c r="P18" s="59" t="s">
        <v>3036</v>
      </c>
      <c r="Q18" s="58">
        <v>0.84</v>
      </c>
      <c r="R18" s="59" t="s">
        <v>3043</v>
      </c>
      <c r="S18" s="61" cm="1">
        <f t="array" ref="S18">1-SUM(IF(ISNUMBER(P18:Q18), P18:Q18, 0))</f>
        <v>0.16000000000000003</v>
      </c>
      <c r="T18" s="59"/>
      <c r="U18" s="63"/>
      <c r="V18" s="59" t="s">
        <v>3036</v>
      </c>
      <c r="W18" s="58">
        <v>0.84</v>
      </c>
      <c r="X18" s="59" t="s">
        <v>3046</v>
      </c>
      <c r="Y18" s="60">
        <v>0.06</v>
      </c>
      <c r="Z18" s="59" t="s">
        <v>3099</v>
      </c>
      <c r="AA18" s="60">
        <v>0.03</v>
      </c>
      <c r="AB18" s="59" t="s">
        <v>3043</v>
      </c>
      <c r="AC18" s="61" cm="1">
        <f t="array" ref="AC18">1-SUM(IF(ISNUMBER(V18:AA18), V18:AA18, 0))</f>
        <v>7.0000000000000062E-2</v>
      </c>
      <c r="AD18" s="59"/>
      <c r="AE18" s="60"/>
    </row>
    <row r="19" spans="1:31" x14ac:dyDescent="0.3">
      <c r="A19" s="64">
        <v>11</v>
      </c>
      <c r="B19" t="s">
        <v>263</v>
      </c>
      <c r="C19" s="64" t="s">
        <v>2816</v>
      </c>
      <c r="D19" t="s">
        <v>264</v>
      </c>
      <c r="E19" s="48" t="s">
        <v>2913</v>
      </c>
      <c r="F19" s="56">
        <f>INDEX(prodcom_data[PRODQNT + IMPQNT - EU27 - 2022], MATCH(B19, prodcom_data[product], 0))</f>
        <v>3491283735</v>
      </c>
      <c r="G19" s="54">
        <f t="shared" si="0"/>
        <v>3.4912837350000001</v>
      </c>
      <c r="H19" s="97">
        <f>INDEX(prodcom_data[Local production share of available quantity (PRODQNT + IMPQNT) - EU27 - 2022], MATCH(B19, prodcom_data[product], 0))</f>
        <v>0.80199726304971886</v>
      </c>
      <c r="I19" s="49" t="s">
        <v>2655</v>
      </c>
      <c r="J19" s="49" t="s">
        <v>2656</v>
      </c>
      <c r="K19" s="79" t="s">
        <v>2914</v>
      </c>
      <c r="L19" s="79">
        <v>166.13</v>
      </c>
      <c r="M19" s="80" t="s">
        <v>2915</v>
      </c>
      <c r="N19" s="72">
        <f>M19*Calculations!$C$37/L19</f>
        <v>0.57839041714320105</v>
      </c>
      <c r="O19" s="81" t="s">
        <v>2916</v>
      </c>
      <c r="P19" s="59" t="s">
        <v>3042</v>
      </c>
      <c r="Q19" s="58">
        <v>1</v>
      </c>
      <c r="R19" s="59"/>
      <c r="S19" s="60"/>
      <c r="T19" s="59"/>
      <c r="U19" s="63"/>
      <c r="V19" s="59" t="s">
        <v>3042</v>
      </c>
      <c r="W19" s="58">
        <v>1</v>
      </c>
      <c r="X19" s="59"/>
      <c r="Y19" s="60"/>
      <c r="Z19" s="59"/>
      <c r="AA19" s="60"/>
      <c r="AB19" s="59"/>
      <c r="AC19" s="60"/>
      <c r="AD19" s="59"/>
      <c r="AE19" s="60"/>
    </row>
    <row r="20" spans="1:31" x14ac:dyDescent="0.3">
      <c r="A20" s="64">
        <v>12</v>
      </c>
      <c r="B20" t="s">
        <v>599</v>
      </c>
      <c r="C20" s="64" t="s">
        <v>2817</v>
      </c>
      <c r="D20" t="s">
        <v>600</v>
      </c>
      <c r="E20" s="48" t="s">
        <v>2917</v>
      </c>
      <c r="F20" s="56">
        <f>INDEX(prodcom_data[PRODQNT + IMPQNT - EU27 - 2022], MATCH(B20, prodcom_data[product], 0))</f>
        <v>3349184970</v>
      </c>
      <c r="G20" s="54">
        <f t="shared" si="0"/>
        <v>3.34918497</v>
      </c>
      <c r="H20" s="97">
        <f>INDEX(prodcom_data[Local production share of available quantity (PRODQNT + IMPQNT) - EU27 - 2022], MATCH(B20, prodcom_data[product], 0))</f>
        <v>0.6568762309953875</v>
      </c>
      <c r="I20" s="49" t="s">
        <v>2657</v>
      </c>
      <c r="J20" s="49" t="s">
        <v>2642</v>
      </c>
      <c r="K20" s="79" t="s">
        <v>2918</v>
      </c>
      <c r="L20" s="79">
        <v>222.24</v>
      </c>
      <c r="M20" s="80" t="s">
        <v>2919</v>
      </c>
      <c r="N20" s="72">
        <f>M20*Calculations!$C$37/L20</f>
        <v>0.64854211663066952</v>
      </c>
      <c r="O20" s="81" t="s">
        <v>2920</v>
      </c>
      <c r="P20" s="59" t="s">
        <v>3042</v>
      </c>
      <c r="Q20" s="58">
        <v>1</v>
      </c>
      <c r="R20" s="59"/>
      <c r="S20" s="60"/>
      <c r="T20" s="59"/>
      <c r="U20" s="63"/>
      <c r="V20" s="59" t="s">
        <v>3042</v>
      </c>
      <c r="W20" s="58">
        <v>1</v>
      </c>
      <c r="X20" s="59"/>
      <c r="Y20" s="60"/>
      <c r="Z20" s="59"/>
      <c r="AA20" s="60"/>
      <c r="AB20" s="59"/>
      <c r="AC20" s="60"/>
      <c r="AD20" s="59"/>
      <c r="AE20" s="60"/>
    </row>
    <row r="21" spans="1:31" x14ac:dyDescent="0.3">
      <c r="A21" s="64">
        <v>13</v>
      </c>
      <c r="B21" t="s">
        <v>17</v>
      </c>
      <c r="C21" s="64" t="s">
        <v>2818</v>
      </c>
      <c r="D21" t="s">
        <v>18</v>
      </c>
      <c r="E21" s="48" t="s">
        <v>2923</v>
      </c>
      <c r="F21" s="56">
        <f>INDEX(prodcom_data[PRODQNT + IMPQNT - EU27 - 2022], MATCH(B21, prodcom_data[product], 0))</f>
        <v>2808940257</v>
      </c>
      <c r="G21" s="54">
        <f t="shared" si="0"/>
        <v>2.8089402570000002</v>
      </c>
      <c r="H21" s="97">
        <f>INDEX(prodcom_data[Local production share of available quantity (PRODQNT + IMPQNT) - EU27 - 2022], MATCH(B21, prodcom_data[product], 0))</f>
        <v>0.9968172135460267</v>
      </c>
      <c r="I21" s="49" t="s">
        <v>2659</v>
      </c>
      <c r="J21" s="49" t="s">
        <v>2660</v>
      </c>
      <c r="K21" s="79" t="s">
        <v>2924</v>
      </c>
      <c r="L21" s="79">
        <v>54.09</v>
      </c>
      <c r="M21" s="80" t="s">
        <v>2925</v>
      </c>
      <c r="N21" s="72">
        <f>M21*Calculations!$C$37/L21</f>
        <v>0.88822333148456267</v>
      </c>
      <c r="O21" s="81" t="s">
        <v>2926</v>
      </c>
      <c r="P21" s="59" t="s">
        <v>3036</v>
      </c>
      <c r="Q21" s="58">
        <v>1</v>
      </c>
      <c r="R21" s="59"/>
      <c r="S21" s="60"/>
      <c r="T21" s="59"/>
      <c r="U21" s="63"/>
      <c r="V21" s="59" t="s">
        <v>3044</v>
      </c>
      <c r="W21" s="58">
        <v>1</v>
      </c>
      <c r="X21" s="59"/>
      <c r="Y21" s="60"/>
      <c r="Z21" s="59"/>
      <c r="AA21" s="60"/>
      <c r="AB21" s="59"/>
      <c r="AC21" s="60"/>
      <c r="AD21" s="59"/>
      <c r="AE21" s="60"/>
    </row>
    <row r="22" spans="1:31" x14ac:dyDescent="0.3">
      <c r="A22" s="64">
        <v>14</v>
      </c>
      <c r="B22" t="s">
        <v>14</v>
      </c>
      <c r="C22" s="64" t="s">
        <v>2820</v>
      </c>
      <c r="D22" t="s">
        <v>15</v>
      </c>
      <c r="E22" s="48" t="s">
        <v>2927</v>
      </c>
      <c r="F22" s="56">
        <f>INDEX(prodcom_data[PRODQNT + IMPQNT - EU27 - 2022], MATCH(B22, prodcom_data[product], 0))</f>
        <v>2000046666</v>
      </c>
      <c r="G22" s="54">
        <f t="shared" si="0"/>
        <v>2.0000466659999998</v>
      </c>
      <c r="H22" s="97">
        <f>INDEX(prodcom_data[Local production share of available quantity (PRODQNT + IMPQNT) - EU27 - 2022], MATCH(B22, prodcom_data[product], 0))</f>
        <v>0.99997666754441616</v>
      </c>
      <c r="I22" s="49" t="s">
        <v>2662</v>
      </c>
      <c r="J22" s="49" t="s">
        <v>2642</v>
      </c>
      <c r="K22" s="79" t="s">
        <v>2928</v>
      </c>
      <c r="L22" s="79">
        <v>112.21</v>
      </c>
      <c r="M22" s="80" t="s">
        <v>2915</v>
      </c>
      <c r="N22" s="72">
        <f>M22*Calculations!$C$37/L22</f>
        <v>0.85632296586756973</v>
      </c>
      <c r="O22" s="81" t="s">
        <v>2929</v>
      </c>
      <c r="P22" s="59" t="s">
        <v>3036</v>
      </c>
      <c r="Q22" s="58">
        <v>1</v>
      </c>
      <c r="R22" s="59"/>
      <c r="S22" s="60"/>
      <c r="T22" s="59"/>
      <c r="U22" s="63"/>
      <c r="V22" s="59" t="s">
        <v>3044</v>
      </c>
      <c r="W22" s="58">
        <v>1</v>
      </c>
      <c r="X22" s="59"/>
      <c r="Y22" s="60"/>
      <c r="Z22" s="59"/>
      <c r="AA22" s="60"/>
      <c r="AB22" s="59"/>
      <c r="AC22" s="60"/>
      <c r="AD22" s="59"/>
      <c r="AE22" s="60"/>
    </row>
    <row r="23" spans="1:31" x14ac:dyDescent="0.3">
      <c r="A23" s="64">
        <v>15</v>
      </c>
      <c r="B23" t="s">
        <v>548</v>
      </c>
      <c r="C23" s="64" t="s">
        <v>2821</v>
      </c>
      <c r="D23" t="s">
        <v>549</v>
      </c>
      <c r="E23" s="48" t="s">
        <v>2930</v>
      </c>
      <c r="F23" s="56">
        <f>INDEX(prodcom_data[PRODQNT + IMPQNT - EU27 - 2022], MATCH(B23, prodcom_data[product], 0))</f>
        <v>1864065177</v>
      </c>
      <c r="G23" s="54">
        <f t="shared" si="0"/>
        <v>1.8640651770000001</v>
      </c>
      <c r="H23" s="97">
        <f>INDEX(prodcom_data[Local production share of available quantity (PRODQNT + IMPQNT) - EU27 - 2022], MATCH(B23, prodcom_data[product], 0))</f>
        <v>0.88707249478326589</v>
      </c>
      <c r="I23" s="49" t="s">
        <v>2663</v>
      </c>
      <c r="J23" s="49" t="s">
        <v>2642</v>
      </c>
      <c r="K23" s="79" t="s">
        <v>2931</v>
      </c>
      <c r="L23" s="79">
        <v>104.15199999999999</v>
      </c>
      <c r="M23" s="80" t="s">
        <v>2915</v>
      </c>
      <c r="N23" s="72">
        <f>M23*Calculations!$C$37/L23</f>
        <v>0.92257469851755136</v>
      </c>
      <c r="O23" s="81" t="s">
        <v>2932</v>
      </c>
      <c r="P23" s="59" t="s">
        <v>3042</v>
      </c>
      <c r="Q23" s="58">
        <v>1</v>
      </c>
      <c r="R23" s="59"/>
      <c r="S23" s="60"/>
      <c r="T23" s="59"/>
      <c r="U23" s="63"/>
      <c r="V23" s="59" t="s">
        <v>3036</v>
      </c>
      <c r="W23" s="58">
        <v>0.91</v>
      </c>
      <c r="X23" s="59" t="s">
        <v>3043</v>
      </c>
      <c r="Y23" s="61" cm="1">
        <f t="array" ref="Y23">1-SUM(IF(ISNUMBER(V23:W23), V23:W23, 0))</f>
        <v>8.9999999999999969E-2</v>
      </c>
      <c r="Z23" s="59"/>
      <c r="AA23" s="60"/>
      <c r="AB23" s="59"/>
      <c r="AC23" s="60"/>
      <c r="AD23" s="59"/>
      <c r="AE23" s="60"/>
    </row>
    <row r="24" spans="1:31" x14ac:dyDescent="0.3">
      <c r="A24" s="64">
        <v>16</v>
      </c>
      <c r="B24" t="s">
        <v>132</v>
      </c>
      <c r="C24" s="64" t="s">
        <v>2822</v>
      </c>
      <c r="D24" t="s">
        <v>133</v>
      </c>
      <c r="E24" s="48" t="s">
        <v>2936</v>
      </c>
      <c r="F24" s="56">
        <f>INDEX(prodcom_data[PRODQNT + IMPQNT - EU27 - 2022], MATCH(B24, prodcom_data[product], 0))</f>
        <v>1795747967</v>
      </c>
      <c r="G24" s="54">
        <f t="shared" si="0"/>
        <v>1.7957479670000001</v>
      </c>
      <c r="H24" s="97">
        <f>INDEX(prodcom_data[Local production share of available quantity (PRODQNT + IMPQNT) - EU27 - 2022], MATCH(B24, prodcom_data[product], 0))</f>
        <v>0.55687101886052137</v>
      </c>
      <c r="I24" s="49" t="s">
        <v>2664</v>
      </c>
      <c r="J24" s="49" t="s">
        <v>2642</v>
      </c>
      <c r="K24" s="79" t="s">
        <v>2937</v>
      </c>
      <c r="L24" s="79">
        <v>62.07</v>
      </c>
      <c r="M24" s="80" t="s">
        <v>2898</v>
      </c>
      <c r="N24" s="72">
        <f>M24*Calculations!$C$37/L24</f>
        <v>0.38701466086676328</v>
      </c>
      <c r="O24" s="81" t="s">
        <v>2938</v>
      </c>
      <c r="P24" s="59" t="s">
        <v>3036</v>
      </c>
      <c r="Q24" s="60">
        <v>0.56000000000000005</v>
      </c>
      <c r="R24" s="59" t="s">
        <v>3043</v>
      </c>
      <c r="S24" s="61" cm="1">
        <f t="array" ref="S24">1-SUM(IF(ISNUMBER(P24:Q24), P24:Q24, 0))</f>
        <v>0.43999999999999995</v>
      </c>
      <c r="T24" s="59"/>
      <c r="U24" s="63"/>
      <c r="V24" s="59" t="s">
        <v>3036</v>
      </c>
      <c r="W24" s="60">
        <v>0.56000000000000005</v>
      </c>
      <c r="X24" s="59" t="s">
        <v>3043</v>
      </c>
      <c r="Y24" s="61" cm="1">
        <f t="array" ref="Y24">1-SUM(IF(ISNUMBER(V24:W24), V24:W24, 0))</f>
        <v>0.43999999999999995</v>
      </c>
      <c r="Z24" s="59"/>
      <c r="AA24" s="60"/>
      <c r="AB24" s="59"/>
      <c r="AC24" s="60"/>
      <c r="AD24" s="59"/>
      <c r="AE24" s="60"/>
    </row>
    <row r="25" spans="1:31" x14ac:dyDescent="0.3">
      <c r="A25" s="64">
        <v>17</v>
      </c>
      <c r="B25" t="s">
        <v>476</v>
      </c>
      <c r="C25" s="64" t="s">
        <v>2823</v>
      </c>
      <c r="D25" t="s">
        <v>477</v>
      </c>
      <c r="E25" s="48" t="s">
        <v>2933</v>
      </c>
      <c r="F25" s="56">
        <f>INDEX(prodcom_data[PRODQNT + IMPQNT - EU27 - 2022], MATCH(B25, prodcom_data[product], 0))</f>
        <v>1650938177</v>
      </c>
      <c r="G25" s="54">
        <f t="shared" si="0"/>
        <v>1.650938177</v>
      </c>
      <c r="H25" s="97">
        <f>INDEX(prodcom_data[Local production share of available quantity (PRODQNT + IMPQNT) - EU27 - 2022], MATCH(B25, prodcom_data[product], 0))</f>
        <v>0.98168669522505081</v>
      </c>
      <c r="I25" s="49" t="s">
        <v>2665</v>
      </c>
      <c r="J25" s="49" t="s">
        <v>2642</v>
      </c>
      <c r="K25" s="79" t="s">
        <v>2934</v>
      </c>
      <c r="L25" s="79">
        <v>58.08</v>
      </c>
      <c r="M25" s="80" t="s">
        <v>2892</v>
      </c>
      <c r="N25" s="72">
        <f>M25*Calculations!$C$37/L25</f>
        <v>0.62040289256198355</v>
      </c>
      <c r="O25" s="81" t="s">
        <v>2935</v>
      </c>
      <c r="P25" s="59" t="s">
        <v>3036</v>
      </c>
      <c r="Q25" s="58">
        <v>0.98</v>
      </c>
      <c r="R25" s="59" t="s">
        <v>3043</v>
      </c>
      <c r="S25" s="61" cm="1">
        <f t="array" ref="S25">1-SUM(IF(ISNUMBER(P25:Q25), P25:Q25, 0))</f>
        <v>2.0000000000000018E-2</v>
      </c>
      <c r="T25" s="59"/>
      <c r="U25" s="63"/>
      <c r="V25" s="59" t="s">
        <v>3036</v>
      </c>
      <c r="W25" s="58">
        <v>0.98</v>
      </c>
      <c r="X25" s="59" t="s">
        <v>3046</v>
      </c>
      <c r="Y25" s="60">
        <v>0.02</v>
      </c>
      <c r="Z25" s="59"/>
      <c r="AA25" s="60"/>
      <c r="AB25" s="59"/>
      <c r="AC25" s="60"/>
      <c r="AD25" s="59"/>
      <c r="AE25" s="60"/>
    </row>
    <row r="26" spans="1:31" x14ac:dyDescent="0.3">
      <c r="A26" s="64">
        <v>18</v>
      </c>
      <c r="B26" t="s">
        <v>551</v>
      </c>
      <c r="C26" s="64" t="s">
        <v>2824</v>
      </c>
      <c r="D26" t="s">
        <v>552</v>
      </c>
      <c r="E26" s="48" t="s">
        <v>2930</v>
      </c>
      <c r="F26" s="56">
        <f>INDEX(prodcom_data[PRODQNT + IMPQNT - EU27 - 2022], MATCH(B26, prodcom_data[product], 0))</f>
        <v>1592476459</v>
      </c>
      <c r="G26" s="54">
        <f t="shared" si="0"/>
        <v>1.592476459</v>
      </c>
      <c r="H26" s="97">
        <f>INDEX(prodcom_data[Local production share of available quantity (PRODQNT + IMPQNT) - EU27 - 2022], MATCH(B26, prodcom_data[product], 0))</f>
        <v>0.93163807390386044</v>
      </c>
      <c r="I26" s="49" t="s">
        <v>2666</v>
      </c>
      <c r="J26" s="49" t="s">
        <v>2642</v>
      </c>
      <c r="K26" s="79" t="s">
        <v>2931</v>
      </c>
      <c r="L26" s="79">
        <v>104.15199999999999</v>
      </c>
      <c r="M26" s="80" t="s">
        <v>2915</v>
      </c>
      <c r="N26" s="72">
        <f>M26*Calculations!$C$37/L26</f>
        <v>0.92257469851755136</v>
      </c>
      <c r="O26" s="81" t="s">
        <v>2932</v>
      </c>
      <c r="P26" s="59" t="s">
        <v>3042</v>
      </c>
      <c r="Q26" s="58">
        <v>1</v>
      </c>
      <c r="R26" s="59"/>
      <c r="S26" s="60"/>
      <c r="T26" s="59"/>
      <c r="U26" s="63"/>
      <c r="V26" s="59" t="s">
        <v>3042</v>
      </c>
      <c r="W26" s="58">
        <v>1</v>
      </c>
      <c r="X26" s="59"/>
      <c r="Y26" s="60"/>
      <c r="Z26" s="59"/>
      <c r="AA26" s="60"/>
      <c r="AB26" s="59"/>
      <c r="AC26" s="60"/>
      <c r="AD26" s="59"/>
      <c r="AE26" s="60"/>
    </row>
    <row r="27" spans="1:31" x14ac:dyDescent="0.3">
      <c r="A27" s="64">
        <v>19</v>
      </c>
      <c r="B27" t="s">
        <v>72</v>
      </c>
      <c r="C27" s="64" t="s">
        <v>2825</v>
      </c>
      <c r="D27" t="s">
        <v>73</v>
      </c>
      <c r="E27" s="48" t="s">
        <v>2943</v>
      </c>
      <c r="F27" s="56">
        <f>INDEX(prodcom_data[PRODQNT + IMPQNT - EU27 - 2022], MATCH(B27, prodcom_data[product], 0))</f>
        <v>1202939382</v>
      </c>
      <c r="G27" s="54">
        <f t="shared" si="0"/>
        <v>1.2029393820000001</v>
      </c>
      <c r="H27" s="97">
        <f>INDEX(prodcom_data[Local production share of available quantity (PRODQNT + IMPQNT) - EU27 - 2022], MATCH(B27, prodcom_data[product], 0))</f>
        <v>0.7564803460728331</v>
      </c>
      <c r="I27" s="49" t="s">
        <v>2667</v>
      </c>
      <c r="J27" s="49" t="s">
        <v>2642</v>
      </c>
      <c r="K27" s="79" t="s">
        <v>2944</v>
      </c>
      <c r="L27" s="79">
        <v>98.96</v>
      </c>
      <c r="M27" s="80" t="s">
        <v>2898</v>
      </c>
      <c r="N27" s="72">
        <f>M27*Calculations!$C$37/L27</f>
        <v>0.24274454324979791</v>
      </c>
      <c r="O27" s="81" t="s">
        <v>2945</v>
      </c>
      <c r="P27" s="59" t="s">
        <v>3036</v>
      </c>
      <c r="Q27" s="58">
        <v>0.86</v>
      </c>
      <c r="R27" s="59" t="s">
        <v>3043</v>
      </c>
      <c r="S27" s="61" cm="1">
        <f t="array" ref="S27">1-SUM(IF(ISNUMBER(P27:Q27), P27:Q27, 0))</f>
        <v>0.14000000000000001</v>
      </c>
      <c r="T27" s="59"/>
      <c r="U27" s="63"/>
      <c r="V27" s="59" t="s">
        <v>3036</v>
      </c>
      <c r="W27" s="58">
        <v>0.86</v>
      </c>
      <c r="X27" s="59" t="s">
        <v>3043</v>
      </c>
      <c r="Y27" s="61" cm="1">
        <f t="array" ref="Y27">1-SUM(IF(ISNUMBER(V27:W27), V27:W27, 0))</f>
        <v>0.14000000000000001</v>
      </c>
      <c r="Z27" s="59"/>
      <c r="AA27" s="60"/>
      <c r="AB27" s="59"/>
      <c r="AC27" s="60"/>
      <c r="AD27" s="59"/>
      <c r="AE27" s="60"/>
    </row>
    <row r="28" spans="1:31" x14ac:dyDescent="0.3">
      <c r="A28" s="64">
        <v>20</v>
      </c>
      <c r="B28" t="s">
        <v>43</v>
      </c>
      <c r="C28" s="64" t="s">
        <v>2826</v>
      </c>
      <c r="D28" t="s">
        <v>44</v>
      </c>
      <c r="E28" s="48" t="s">
        <v>44</v>
      </c>
      <c r="F28" s="56">
        <f>INDEX(prodcom_data[PRODQNT + IMPQNT - EU27 - 2022], MATCH(B28, prodcom_data[product], 0))</f>
        <v>1191905947</v>
      </c>
      <c r="G28" s="54">
        <f t="shared" si="0"/>
        <v>1.191905947</v>
      </c>
      <c r="H28" s="97">
        <f>INDEX(prodcom_data[Local production share of available quantity (PRODQNT + IMPQNT) - EU27 - 2022], MATCH(B28, prodcom_data[product], 0))</f>
        <v>0.46597635861951109</v>
      </c>
      <c r="I28" s="49" t="s">
        <v>2668</v>
      </c>
      <c r="J28" s="49" t="s">
        <v>2642</v>
      </c>
      <c r="K28" s="79" t="s">
        <v>2980</v>
      </c>
      <c r="L28" s="79">
        <v>106.16</v>
      </c>
      <c r="M28" s="80" t="s">
        <v>2915</v>
      </c>
      <c r="N28" s="72">
        <f>M28*Calculations!$C$37/L28</f>
        <v>0.90512434061793512</v>
      </c>
      <c r="O28" s="81" t="s">
        <v>2981</v>
      </c>
      <c r="P28" s="59" t="s">
        <v>3036</v>
      </c>
      <c r="Q28" s="58">
        <v>0.48</v>
      </c>
      <c r="R28" s="59" t="s">
        <v>3043</v>
      </c>
      <c r="S28" s="61" cm="1">
        <f t="array" ref="S28">1-SUM(IF(ISNUMBER(P28:Q28), P28:Q28, 0))</f>
        <v>0.52</v>
      </c>
      <c r="T28" s="59"/>
      <c r="U28" s="63"/>
      <c r="V28" s="59" t="s">
        <v>3036</v>
      </c>
      <c r="W28" s="58">
        <v>0.48</v>
      </c>
      <c r="X28" s="59" t="s">
        <v>3043</v>
      </c>
      <c r="Y28" s="61" cm="1">
        <f t="array" ref="Y28">1-SUM(IF(ISNUMBER(V28:W28), V28:W28, 0))</f>
        <v>0.52</v>
      </c>
      <c r="Z28" s="59"/>
      <c r="AA28" s="60"/>
      <c r="AB28" s="59"/>
      <c r="AC28" s="60"/>
      <c r="AD28" s="59"/>
      <c r="AE28" s="60"/>
    </row>
    <row r="29" spans="1:31" x14ac:dyDescent="0.3">
      <c r="A29" s="64">
        <v>21</v>
      </c>
      <c r="B29" t="s">
        <v>37</v>
      </c>
      <c r="C29" s="64" t="s">
        <v>2827</v>
      </c>
      <c r="D29" t="s">
        <v>38</v>
      </c>
      <c r="E29" s="48" t="s">
        <v>38</v>
      </c>
      <c r="F29" s="56">
        <f>INDEX(prodcom_data[PRODQNT + IMPQNT - EU27 - 2022], MATCH(B29, prodcom_data[product], 0))</f>
        <v>1120381615</v>
      </c>
      <c r="G29" s="54">
        <f t="shared" si="0"/>
        <v>1.1203816150000001</v>
      </c>
      <c r="H29" s="97">
        <f>INDEX(prodcom_data[Local production share of available quantity (PRODQNT + IMPQNT) - EU27 - 2022], MATCH(B29, prodcom_data[product], 0))</f>
        <v>0.97878773028598831</v>
      </c>
      <c r="I29" s="49" t="s">
        <v>2669</v>
      </c>
      <c r="J29" s="49" t="s">
        <v>2642</v>
      </c>
      <c r="K29" s="79" t="s">
        <v>2946</v>
      </c>
      <c r="L29" s="79">
        <v>92.14</v>
      </c>
      <c r="M29" s="80" t="s">
        <v>2947</v>
      </c>
      <c r="N29" s="72">
        <f>M29*Calculations!$C$37/L29</f>
        <v>0.91249186021271977</v>
      </c>
      <c r="O29" s="81" t="s">
        <v>2948</v>
      </c>
      <c r="P29" s="59" t="s">
        <v>3036</v>
      </c>
      <c r="Q29" s="58">
        <v>1</v>
      </c>
      <c r="R29" s="59"/>
      <c r="S29" s="60"/>
      <c r="T29" s="59"/>
      <c r="U29" s="63"/>
      <c r="V29" s="59" t="s">
        <v>3036</v>
      </c>
      <c r="W29" s="58">
        <v>1</v>
      </c>
      <c r="X29" s="59"/>
      <c r="Y29" s="60"/>
      <c r="Z29" s="59"/>
      <c r="AA29" s="60"/>
      <c r="AB29" s="59"/>
      <c r="AC29" s="60"/>
      <c r="AD29" s="59"/>
      <c r="AE29" s="60"/>
    </row>
    <row r="30" spans="1:31" x14ac:dyDescent="0.3">
      <c r="A30" s="64">
        <v>22</v>
      </c>
      <c r="B30" t="s">
        <v>420</v>
      </c>
      <c r="C30" s="64" t="s">
        <v>2828</v>
      </c>
      <c r="D30" t="s">
        <v>421</v>
      </c>
      <c r="E30" s="48" t="s">
        <v>421</v>
      </c>
      <c r="F30" s="56">
        <f>INDEX(prodcom_data[PRODQNT + IMPQNT - EU27 - 2022], MATCH(B30, prodcom_data[product], 0))</f>
        <v>1090852807</v>
      </c>
      <c r="G30" s="54">
        <f t="shared" si="0"/>
        <v>1.0908528070000001</v>
      </c>
      <c r="H30" s="97">
        <f>INDEX(prodcom_data[Local production share of available quantity (PRODQNT + IMPQNT) - EU27 - 2022], MATCH(B30, prodcom_data[product], 0))</f>
        <v>0.92846915963429333</v>
      </c>
      <c r="I30" s="49" t="s">
        <v>2670</v>
      </c>
      <c r="J30" s="49" t="s">
        <v>2642</v>
      </c>
      <c r="K30" s="79" t="s">
        <v>2934</v>
      </c>
      <c r="L30" s="79">
        <v>58.08</v>
      </c>
      <c r="M30" s="80" t="s">
        <v>2892</v>
      </c>
      <c r="N30" s="72">
        <f>M30*Calculations!$C$37/L30</f>
        <v>0.62040289256198355</v>
      </c>
      <c r="O30" s="81" t="s">
        <v>2942</v>
      </c>
      <c r="P30" s="59" t="s">
        <v>3036</v>
      </c>
      <c r="Q30" s="58">
        <v>0.93</v>
      </c>
      <c r="R30" s="59" t="s">
        <v>3043</v>
      </c>
      <c r="S30" s="61" cm="1">
        <f t="array" ref="S30">1-SUM(IF(ISNUMBER(P30:Q30), P30:Q30, 0))</f>
        <v>6.9999999999999951E-2</v>
      </c>
      <c r="T30" s="59"/>
      <c r="U30" s="63"/>
      <c r="V30" s="59" t="s">
        <v>3036</v>
      </c>
      <c r="W30" s="58">
        <v>0.93</v>
      </c>
      <c r="X30" s="59" t="s">
        <v>3043</v>
      </c>
      <c r="Y30" s="61" cm="1">
        <f t="array" ref="Y30">1-SUM(IF(ISNUMBER(V30:W30), V30:W30, 0))</f>
        <v>6.9999999999999951E-2</v>
      </c>
      <c r="Z30" s="59"/>
      <c r="AA30" s="60"/>
      <c r="AB30" s="59"/>
      <c r="AC30" s="60"/>
      <c r="AD30" s="59"/>
      <c r="AE30" s="60"/>
    </row>
    <row r="31" spans="1:31" x14ac:dyDescent="0.3">
      <c r="A31" s="64">
        <v>23</v>
      </c>
      <c r="B31" t="s">
        <v>387</v>
      </c>
      <c r="C31" s="64" t="s">
        <v>2830</v>
      </c>
      <c r="D31" t="s">
        <v>388</v>
      </c>
      <c r="E31" s="48" t="s">
        <v>2952</v>
      </c>
      <c r="F31" s="56">
        <f>INDEX(prodcom_data[PRODQNT + IMPQNT - EU27 - 2022], MATCH(B31, prodcom_data[product], 0))</f>
        <v>931200527</v>
      </c>
      <c r="G31" s="54">
        <f t="shared" si="0"/>
        <v>0.931200527</v>
      </c>
      <c r="H31" s="97">
        <f>INDEX(prodcom_data[Local production share of available quantity (PRODQNT + IMPQNT) - EU27 - 2022], MATCH(B31, prodcom_data[product], 0))</f>
        <v>0.97723312392412343</v>
      </c>
      <c r="I31" s="49" t="s">
        <v>2672</v>
      </c>
      <c r="J31" s="49" t="s">
        <v>2642</v>
      </c>
      <c r="K31" s="79" t="s">
        <v>2953</v>
      </c>
      <c r="L31" s="79">
        <v>30.026</v>
      </c>
      <c r="M31" s="80" t="s">
        <v>2905</v>
      </c>
      <c r="N31" s="72">
        <f>M31*Calculations!$C$37/L31</f>
        <v>0.40001998268167588</v>
      </c>
      <c r="O31" s="81" t="s">
        <v>2954</v>
      </c>
      <c r="P31" s="59" t="s">
        <v>3036</v>
      </c>
      <c r="Q31" s="58">
        <v>0.99</v>
      </c>
      <c r="R31" s="59" t="s">
        <v>3043</v>
      </c>
      <c r="S31" s="61" cm="1">
        <f t="array" ref="S31">1-SUM(IF(ISNUMBER(P31:Q31), P31:Q31, 0))</f>
        <v>1.0000000000000009E-2</v>
      </c>
      <c r="T31" s="59"/>
      <c r="U31" s="63"/>
      <c r="V31" s="59" t="s">
        <v>3036</v>
      </c>
      <c r="W31" s="58">
        <v>0.99</v>
      </c>
      <c r="X31" s="59" t="s">
        <v>3043</v>
      </c>
      <c r="Y31" s="61" cm="1">
        <f t="array" ref="Y31">1-SUM(IF(ISNUMBER(V31:W31), V31:W31, 0))</f>
        <v>1.0000000000000009E-2</v>
      </c>
      <c r="Z31" s="59"/>
      <c r="AA31" s="60"/>
      <c r="AB31" s="59"/>
      <c r="AC31" s="60"/>
      <c r="AD31" s="59"/>
      <c r="AE31" s="60"/>
    </row>
    <row r="32" spans="1:31" x14ac:dyDescent="0.3">
      <c r="A32" s="64">
        <v>24</v>
      </c>
      <c r="B32" t="s">
        <v>620</v>
      </c>
      <c r="C32" s="64" t="s">
        <v>2831</v>
      </c>
      <c r="D32" t="s">
        <v>621</v>
      </c>
      <c r="E32" s="48" t="s">
        <v>2939</v>
      </c>
      <c r="F32" s="56">
        <f>INDEX(prodcom_data[PRODQNT + IMPQNT - EU27 - 2022], MATCH(B32, prodcom_data[product], 0))</f>
        <v>914892768</v>
      </c>
      <c r="G32" s="54">
        <f t="shared" si="0"/>
        <v>0.91489276799999997</v>
      </c>
      <c r="H32" s="97">
        <f>INDEX(prodcom_data[Local production share of available quantity (PRODQNT + IMPQNT) - EU27 - 2022], MATCH(B32, prodcom_data[product], 0))</f>
        <v>0.98372184312642852</v>
      </c>
      <c r="I32" s="49" t="s">
        <v>2673</v>
      </c>
      <c r="J32" s="49" t="s">
        <v>2642</v>
      </c>
      <c r="K32" s="79" t="s">
        <v>2940</v>
      </c>
      <c r="L32" s="79">
        <v>86.09</v>
      </c>
      <c r="M32" s="80" t="s">
        <v>2925</v>
      </c>
      <c r="N32" s="72">
        <f>M32*Calculations!$C$37/L32</f>
        <v>0.55806713904053895</v>
      </c>
      <c r="O32" s="81" t="s">
        <v>2941</v>
      </c>
      <c r="P32" s="59" t="s">
        <v>3036</v>
      </c>
      <c r="Q32" s="58">
        <v>0.99</v>
      </c>
      <c r="R32" s="59" t="s">
        <v>3043</v>
      </c>
      <c r="S32" s="61" cm="1">
        <f t="array" ref="S32">1-SUM(IF(ISNUMBER(P32:Q32), P32:Q32, 0))</f>
        <v>1.0000000000000009E-2</v>
      </c>
      <c r="T32" s="59"/>
      <c r="U32" s="63"/>
      <c r="V32" s="59" t="s">
        <v>3036</v>
      </c>
      <c r="W32" s="58">
        <v>0.99</v>
      </c>
      <c r="X32" s="59" t="s">
        <v>3043</v>
      </c>
      <c r="Y32" s="61" cm="1">
        <f t="array" ref="Y32">1-SUM(IF(ISNUMBER(V32:W32), V32:W32, 0))</f>
        <v>1.0000000000000009E-2</v>
      </c>
      <c r="Z32" s="59"/>
      <c r="AA32" s="60"/>
      <c r="AB32" s="59"/>
      <c r="AC32" s="60"/>
      <c r="AD32" s="59"/>
      <c r="AE32" s="60"/>
    </row>
    <row r="33" spans="1:31" x14ac:dyDescent="0.3">
      <c r="A33" s="64">
        <v>25</v>
      </c>
      <c r="B33" t="s">
        <v>205</v>
      </c>
      <c r="C33" s="64" t="s">
        <v>2832</v>
      </c>
      <c r="D33" t="s">
        <v>206</v>
      </c>
      <c r="E33" s="48" t="s">
        <v>206</v>
      </c>
      <c r="F33" s="56">
        <f>INDEX(prodcom_data[PRODQNT + IMPQNT - EU27 - 2022], MATCH(B33, prodcom_data[product], 0))</f>
        <v>888564975</v>
      </c>
      <c r="G33" s="54">
        <f t="shared" si="0"/>
        <v>0.88856497499999998</v>
      </c>
      <c r="H33" s="97">
        <f>INDEX(prodcom_data[Local production share of available quantity (PRODQNT + IMPQNT) - EU27 - 2022], MATCH(B33, prodcom_data[product], 0))</f>
        <v>0.16881151544376369</v>
      </c>
      <c r="I33" s="49" t="s">
        <v>2674</v>
      </c>
      <c r="J33" s="49" t="s">
        <v>2642</v>
      </c>
      <c r="K33" s="79" t="s">
        <v>2955</v>
      </c>
      <c r="L33" s="79">
        <v>60.05</v>
      </c>
      <c r="M33" s="80" t="s">
        <v>2898</v>
      </c>
      <c r="N33" s="72">
        <f>M33*Calculations!$C$37/L33</f>
        <v>0.40003330557868444</v>
      </c>
      <c r="O33" s="81" t="s">
        <v>2956</v>
      </c>
      <c r="P33" s="59" t="s">
        <v>3042</v>
      </c>
      <c r="Q33" s="58">
        <v>1</v>
      </c>
      <c r="R33" s="59"/>
      <c r="S33" s="60"/>
      <c r="T33" s="59"/>
      <c r="U33" s="63"/>
      <c r="V33" s="59" t="s">
        <v>3042</v>
      </c>
      <c r="W33" s="58">
        <v>1</v>
      </c>
      <c r="X33" s="59"/>
      <c r="Y33" s="60"/>
      <c r="Z33" s="59"/>
      <c r="AA33" s="60"/>
      <c r="AB33" s="59"/>
      <c r="AC33" s="60"/>
      <c r="AD33" s="59"/>
      <c r="AE33" s="60"/>
    </row>
    <row r="34" spans="1:31" x14ac:dyDescent="0.3">
      <c r="A34" s="64">
        <v>26</v>
      </c>
      <c r="B34" t="s">
        <v>473</v>
      </c>
      <c r="C34" s="64" t="s">
        <v>2833</v>
      </c>
      <c r="D34" t="s">
        <v>474</v>
      </c>
      <c r="E34" s="48" t="s">
        <v>2962</v>
      </c>
      <c r="F34" s="56">
        <f>INDEX(prodcom_data[PRODQNT + IMPQNT - EU27 - 2022], MATCH(B34, prodcom_data[product], 0))</f>
        <v>886759378</v>
      </c>
      <c r="G34" s="54">
        <f t="shared" si="0"/>
        <v>0.88675937800000004</v>
      </c>
      <c r="H34" s="97">
        <f>INDEX(prodcom_data[Local production share of available quantity (PRODQNT + IMPQNT) - EU27 - 2022], MATCH(B34, prodcom_data[product], 0))</f>
        <v>0.9949802605865421</v>
      </c>
      <c r="I34" s="49" t="s">
        <v>2675</v>
      </c>
      <c r="J34" s="49" t="s">
        <v>2642</v>
      </c>
      <c r="K34" s="79" t="s">
        <v>2963</v>
      </c>
      <c r="L34" s="79">
        <v>44.05</v>
      </c>
      <c r="M34" s="80" t="s">
        <v>2898</v>
      </c>
      <c r="N34" s="72">
        <f>M34*Calculations!$C$37/L34</f>
        <v>0.54533484676503974</v>
      </c>
      <c r="O34" s="81" t="s">
        <v>2964</v>
      </c>
      <c r="P34" s="59" t="s">
        <v>3036</v>
      </c>
      <c r="Q34" s="58">
        <v>1</v>
      </c>
      <c r="R34" s="59"/>
      <c r="S34" s="60"/>
      <c r="T34" s="59"/>
      <c r="U34" s="63"/>
      <c r="V34" s="59" t="s">
        <v>3044</v>
      </c>
      <c r="W34" s="58">
        <v>1</v>
      </c>
      <c r="X34" s="59"/>
      <c r="Y34" s="60"/>
      <c r="Z34" s="59"/>
      <c r="AA34" s="60"/>
      <c r="AB34" s="59"/>
      <c r="AC34" s="60"/>
      <c r="AD34" s="59"/>
      <c r="AE34" s="60"/>
    </row>
    <row r="35" spans="1:31" x14ac:dyDescent="0.3">
      <c r="A35" s="64">
        <v>27</v>
      </c>
      <c r="B35" t="s">
        <v>78</v>
      </c>
      <c r="C35" s="64" t="s">
        <v>2834</v>
      </c>
      <c r="D35" t="s">
        <v>79</v>
      </c>
      <c r="E35" s="48" t="s">
        <v>2961</v>
      </c>
      <c r="F35" s="56">
        <f>INDEX(prodcom_data[PRODQNT + IMPQNT - EU27 - 2022], MATCH(B35, prodcom_data[product], 0))</f>
        <v>882272543</v>
      </c>
      <c r="G35" s="54">
        <f t="shared" si="0"/>
        <v>0.88227254300000002</v>
      </c>
      <c r="H35" s="97">
        <f>INDEX(prodcom_data[Local production share of available quantity (PRODQNT + IMPQNT) - EU27 - 2022], MATCH(B35, prodcom_data[product], 0))</f>
        <v>0.90674928778782138</v>
      </c>
      <c r="I35" s="49" t="s">
        <v>2676</v>
      </c>
      <c r="J35" s="49" t="s">
        <v>2642</v>
      </c>
      <c r="K35" s="79" t="s">
        <v>2911</v>
      </c>
      <c r="L35" s="79">
        <v>62.5</v>
      </c>
      <c r="M35" s="80" t="s">
        <v>2898</v>
      </c>
      <c r="N35" s="72">
        <f>M35*Calculations!$C$37/L35</f>
        <v>0.38435199999999997</v>
      </c>
      <c r="O35" s="81" t="s">
        <v>2912</v>
      </c>
      <c r="P35" s="59" t="s">
        <v>3036</v>
      </c>
      <c r="Q35" s="58">
        <v>0.98</v>
      </c>
      <c r="R35" s="59" t="s">
        <v>3043</v>
      </c>
      <c r="S35" s="61" cm="1">
        <f t="array" ref="S35">1-SUM(IF(ISNUMBER(P35:Q35), P35:Q35, 0))</f>
        <v>2.0000000000000018E-2</v>
      </c>
      <c r="T35" s="59"/>
      <c r="U35" s="63"/>
      <c r="V35" s="59" t="s">
        <v>3036</v>
      </c>
      <c r="W35" s="58">
        <v>0.98</v>
      </c>
      <c r="X35" s="59" t="s">
        <v>3096</v>
      </c>
      <c r="Y35" s="60">
        <v>0.01</v>
      </c>
      <c r="Z35" s="59" t="s">
        <v>3043</v>
      </c>
      <c r="AA35" s="61" cm="1">
        <f t="array" ref="AA35">1-SUM(IF(ISNUMBER(V35:Y35), V35:Y35, 0))</f>
        <v>1.0000000000000009E-2</v>
      </c>
      <c r="AB35" s="59"/>
      <c r="AC35" s="60"/>
      <c r="AD35" s="59"/>
      <c r="AE35" s="60"/>
    </row>
    <row r="36" spans="1:31" x14ac:dyDescent="0.3">
      <c r="A36" s="64">
        <v>28</v>
      </c>
      <c r="B36" t="s">
        <v>293</v>
      </c>
      <c r="C36" s="64" t="s">
        <v>2835</v>
      </c>
      <c r="D36" t="s">
        <v>294</v>
      </c>
      <c r="E36" s="48" t="s">
        <v>2949</v>
      </c>
      <c r="F36" s="56">
        <f>INDEX(prodcom_data[PRODQNT + IMPQNT - EU27 - 2022], MATCH(B36, prodcom_data[product], 0))</f>
        <v>881884158</v>
      </c>
      <c r="G36" s="54">
        <f t="shared" si="0"/>
        <v>0.88188415799999997</v>
      </c>
      <c r="H36" s="97">
        <f>INDEX(prodcom_data[Local production share of available quantity (PRODQNT + IMPQNT) - EU27 - 2022], MATCH(B36, prodcom_data[product], 0))</f>
        <v>0.54958148029233567</v>
      </c>
      <c r="I36" s="49" t="s">
        <v>2677</v>
      </c>
      <c r="J36" s="49" t="s">
        <v>2642</v>
      </c>
      <c r="K36" s="79" t="s">
        <v>2950</v>
      </c>
      <c r="L36" s="79">
        <v>93.13</v>
      </c>
      <c r="M36" s="80" t="s">
        <v>2908</v>
      </c>
      <c r="N36" s="72">
        <f>M36*Calculations!$C$37/L36</f>
        <v>0.77382153978309898</v>
      </c>
      <c r="O36" s="81" t="s">
        <v>2951</v>
      </c>
      <c r="P36" s="59" t="s">
        <v>3036</v>
      </c>
      <c r="Q36" s="58">
        <v>0.8</v>
      </c>
      <c r="R36" s="59" t="s">
        <v>3043</v>
      </c>
      <c r="S36" s="61" cm="1">
        <f t="array" ref="S36">1-SUM(IF(ISNUMBER(P36:Q36), P36:Q36, 0))</f>
        <v>0.19999999999999996</v>
      </c>
      <c r="T36" s="59"/>
      <c r="U36" s="63"/>
      <c r="V36" s="59" t="s">
        <v>3036</v>
      </c>
      <c r="W36" s="58">
        <v>0.8</v>
      </c>
      <c r="X36" s="59" t="s">
        <v>3043</v>
      </c>
      <c r="Y36" s="61" cm="1">
        <f t="array" ref="Y36">1-SUM(IF(ISNUMBER(V36:W36), V36:W36, 0))</f>
        <v>0.19999999999999996</v>
      </c>
      <c r="Z36" s="59"/>
      <c r="AA36" s="60"/>
      <c r="AB36" s="59"/>
      <c r="AC36" s="60"/>
      <c r="AD36" s="59"/>
      <c r="AE36" s="60"/>
    </row>
    <row r="37" spans="1:31" x14ac:dyDescent="0.3">
      <c r="A37" s="64">
        <v>29</v>
      </c>
      <c r="B37" t="s">
        <v>602</v>
      </c>
      <c r="C37" s="64" t="s">
        <v>2836</v>
      </c>
      <c r="D37" t="s">
        <v>603</v>
      </c>
      <c r="E37" s="48" t="s">
        <v>2917</v>
      </c>
      <c r="F37" s="56">
        <f>INDEX(prodcom_data[PRODQNT + IMPQNT - EU27 - 2022], MATCH(B37, prodcom_data[product], 0))</f>
        <v>872335906</v>
      </c>
      <c r="G37" s="54">
        <f t="shared" si="0"/>
        <v>0.87233590599999999</v>
      </c>
      <c r="H37" s="97">
        <f>INDEX(prodcom_data[Local production share of available quantity (PRODQNT + IMPQNT) - EU27 - 2022], MATCH(B37, prodcom_data[product], 0))</f>
        <v>0.50439285712492499</v>
      </c>
      <c r="I37" s="49" t="s">
        <v>2657</v>
      </c>
      <c r="J37" s="49" t="s">
        <v>2642</v>
      </c>
      <c r="K37" s="79" t="s">
        <v>2918</v>
      </c>
      <c r="L37" s="79">
        <v>222.24</v>
      </c>
      <c r="M37" s="80" t="s">
        <v>2919</v>
      </c>
      <c r="N37" s="72">
        <f>M37*Calculations!$C$37/L37</f>
        <v>0.64854211663066952</v>
      </c>
      <c r="O37" s="81" t="s">
        <v>2920</v>
      </c>
      <c r="P37" s="59" t="s">
        <v>3042</v>
      </c>
      <c r="Q37" s="58">
        <v>1</v>
      </c>
      <c r="R37" s="59"/>
      <c r="S37" s="60"/>
      <c r="T37" s="59"/>
      <c r="U37" s="63"/>
      <c r="V37" s="59" t="s">
        <v>3042</v>
      </c>
      <c r="W37" s="58">
        <v>1</v>
      </c>
      <c r="X37" s="59"/>
      <c r="Y37" s="60"/>
      <c r="Z37" s="59"/>
      <c r="AA37" s="60"/>
      <c r="AB37" s="59"/>
      <c r="AC37" s="60"/>
      <c r="AD37" s="59"/>
      <c r="AE37" s="60"/>
    </row>
    <row r="38" spans="1:31" x14ac:dyDescent="0.3">
      <c r="A38" s="64">
        <v>30</v>
      </c>
      <c r="B38" t="s">
        <v>135</v>
      </c>
      <c r="C38" s="64" t="s">
        <v>2837</v>
      </c>
      <c r="D38" t="s">
        <v>136</v>
      </c>
      <c r="E38" s="48" t="s">
        <v>2983</v>
      </c>
      <c r="F38" s="56">
        <f>INDEX(prodcom_data[PRODQNT + IMPQNT - EU27 - 2022], MATCH(B38, prodcom_data[product], 0))</f>
        <v>848026699</v>
      </c>
      <c r="G38" s="54">
        <f t="shared" si="0"/>
        <v>0.84802669900000005</v>
      </c>
      <c r="H38" s="97">
        <f>INDEX(prodcom_data[Local production share of available quantity (PRODQNT + IMPQNT) - EU27 - 2022], MATCH(B38, prodcom_data[product], 0))</f>
        <v>0.94336652483154892</v>
      </c>
      <c r="I38" s="49" t="s">
        <v>2678</v>
      </c>
      <c r="J38" s="49" t="s">
        <v>2642</v>
      </c>
      <c r="K38" s="79" t="s">
        <v>2984</v>
      </c>
      <c r="L38" s="79">
        <v>76.09</v>
      </c>
      <c r="M38" s="80" t="s">
        <v>2892</v>
      </c>
      <c r="N38" s="72">
        <f>M38*Calculations!$C$37/L38</f>
        <v>0.47355762912340649</v>
      </c>
      <c r="O38" s="81" t="s">
        <v>2985</v>
      </c>
      <c r="P38" s="59" t="s">
        <v>3036</v>
      </c>
      <c r="Q38" s="58">
        <v>0.95</v>
      </c>
      <c r="R38" s="59" t="s">
        <v>3043</v>
      </c>
      <c r="S38" s="61" cm="1">
        <f t="array" ref="S38">1-SUM(IF(ISNUMBER(P38:Q38), P38:Q38, 0))</f>
        <v>5.0000000000000044E-2</v>
      </c>
      <c r="T38" s="59"/>
      <c r="U38" s="63"/>
      <c r="V38" s="59" t="s">
        <v>3036</v>
      </c>
      <c r="W38" s="58">
        <v>0.95</v>
      </c>
      <c r="X38" s="59" t="s">
        <v>3043</v>
      </c>
      <c r="Y38" s="61" cm="1">
        <f t="array" ref="Y38">1-SUM(IF(ISNUMBER(V38:W38), V38:W38, 0))</f>
        <v>5.0000000000000044E-2</v>
      </c>
      <c r="Z38" s="59"/>
      <c r="AA38" s="60"/>
      <c r="AB38" s="59"/>
      <c r="AC38" s="60"/>
      <c r="AD38" s="59"/>
      <c r="AE38" s="60"/>
    </row>
    <row r="39" spans="1:31" x14ac:dyDescent="0.3">
      <c r="A39" s="64">
        <v>31</v>
      </c>
      <c r="B39" t="s">
        <v>557</v>
      </c>
      <c r="C39" s="64" t="s">
        <v>2838</v>
      </c>
      <c r="D39" t="s">
        <v>558</v>
      </c>
      <c r="E39" s="48" t="s">
        <v>2957</v>
      </c>
      <c r="F39" s="56">
        <f>INDEX(prodcom_data[PRODQNT + IMPQNT - EU27 - 2022], MATCH(B39, prodcom_data[product], 0))</f>
        <v>846217183</v>
      </c>
      <c r="G39" s="54">
        <f t="shared" si="0"/>
        <v>0.84621718300000004</v>
      </c>
      <c r="H39" s="97">
        <f>INDEX(prodcom_data[Local production share of available quantity (PRODQNT + IMPQNT) - EU27 - 2022], MATCH(B39, prodcom_data[product], 0))</f>
        <v>0.71535186139088358</v>
      </c>
      <c r="I39" s="49" t="s">
        <v>2679</v>
      </c>
      <c r="J39" s="49" t="s">
        <v>2642</v>
      </c>
      <c r="K39" s="79" t="s">
        <v>2958</v>
      </c>
      <c r="L39" s="79">
        <v>211.3</v>
      </c>
      <c r="M39" s="80" t="s">
        <v>2959</v>
      </c>
      <c r="N39" s="72">
        <f>M39*Calculations!$C$37/L39</f>
        <v>0.85265026029342161</v>
      </c>
      <c r="O39" s="81" t="s">
        <v>2960</v>
      </c>
      <c r="P39" s="59" t="s">
        <v>3042</v>
      </c>
      <c r="Q39" s="58">
        <v>1</v>
      </c>
      <c r="R39" s="59"/>
      <c r="S39" s="60"/>
      <c r="T39" s="59"/>
      <c r="U39" s="63"/>
      <c r="V39" s="59" t="s">
        <v>3042</v>
      </c>
      <c r="W39" s="58">
        <v>1</v>
      </c>
      <c r="X39" s="59"/>
      <c r="Y39" s="60"/>
      <c r="Z39" s="59"/>
      <c r="AA39" s="60"/>
      <c r="AB39" s="59"/>
      <c r="AC39" s="60"/>
      <c r="AD39" s="59"/>
      <c r="AE39" s="60"/>
    </row>
    <row r="40" spans="1:31" x14ac:dyDescent="0.3">
      <c r="A40" s="64">
        <v>32</v>
      </c>
      <c r="B40" t="s">
        <v>46</v>
      </c>
      <c r="C40" s="64" t="s">
        <v>2839</v>
      </c>
      <c r="D40" t="s">
        <v>47</v>
      </c>
      <c r="E40" s="48" t="s">
        <v>2992</v>
      </c>
      <c r="F40" s="56">
        <f>INDEX(prodcom_data[PRODQNT + IMPQNT - EU27 - 2022], MATCH(B40, prodcom_data[product], 0))</f>
        <v>821433537</v>
      </c>
      <c r="G40" s="54">
        <f t="shared" si="0"/>
        <v>0.82143353699999999</v>
      </c>
      <c r="H40" s="97">
        <f>INDEX(prodcom_data[Local production share of available quantity (PRODQNT + IMPQNT) - EU27 - 2022], MATCH(B40, prodcom_data[product], 0))</f>
        <v>0.97390715616715806</v>
      </c>
      <c r="I40" s="49" t="s">
        <v>2680</v>
      </c>
      <c r="J40" s="49" t="s">
        <v>2642</v>
      </c>
      <c r="K40" s="79" t="s">
        <v>2980</v>
      </c>
      <c r="L40" s="79">
        <v>106.16</v>
      </c>
      <c r="M40" s="80" t="s">
        <v>2915</v>
      </c>
      <c r="N40" s="72">
        <f>M40*Calculations!$C$37/L40</f>
        <v>0.90512434061793512</v>
      </c>
      <c r="O40" s="81" t="s">
        <v>2993</v>
      </c>
      <c r="P40" s="59" t="s">
        <v>3036</v>
      </c>
      <c r="Q40" s="58">
        <v>0.97</v>
      </c>
      <c r="R40" s="59" t="s">
        <v>3043</v>
      </c>
      <c r="S40" s="61" cm="1">
        <f t="array" ref="S40">1-SUM(IF(ISNUMBER(P40:Q40), P40:Q40, 0))</f>
        <v>3.0000000000000027E-2</v>
      </c>
      <c r="T40" s="59"/>
      <c r="U40" s="63"/>
      <c r="V40" s="59" t="s">
        <v>3036</v>
      </c>
      <c r="W40" s="58">
        <v>0.97</v>
      </c>
      <c r="X40" s="59" t="s">
        <v>3043</v>
      </c>
      <c r="Y40" s="61" cm="1">
        <f t="array" ref="Y40">1-SUM(IF(ISNUMBER(V40:W40), V40:W40, 0))</f>
        <v>3.0000000000000027E-2</v>
      </c>
      <c r="Z40" s="59"/>
      <c r="AA40" s="60"/>
      <c r="AB40" s="59"/>
      <c r="AC40" s="60"/>
      <c r="AD40" s="59"/>
      <c r="AE40" s="60"/>
    </row>
    <row r="41" spans="1:31" x14ac:dyDescent="0.3">
      <c r="A41" s="64">
        <v>33</v>
      </c>
      <c r="B41" t="s">
        <v>569</v>
      </c>
      <c r="C41" s="64" t="s">
        <v>2840</v>
      </c>
      <c r="D41" t="s">
        <v>570</v>
      </c>
      <c r="E41" s="48" t="s">
        <v>2910</v>
      </c>
      <c r="F41" s="56">
        <f>INDEX(prodcom_data[PRODQNT + IMPQNT - EU27 - 2022], MATCH(B41, prodcom_data[product], 0))</f>
        <v>790721030</v>
      </c>
      <c r="G41" s="54">
        <f t="shared" si="0"/>
        <v>0.79072103000000005</v>
      </c>
      <c r="H41" s="97">
        <f>INDEX(prodcom_data[Local production share of available quantity (PRODQNT + IMPQNT) - EU27 - 2022], MATCH(B41, prodcom_data[product], 0))</f>
        <v>0.93548794446506622</v>
      </c>
      <c r="I41" s="49" t="s">
        <v>2681</v>
      </c>
      <c r="J41" s="49" t="s">
        <v>2642</v>
      </c>
      <c r="K41" s="79" t="s">
        <v>2911</v>
      </c>
      <c r="L41" s="79">
        <v>62.5</v>
      </c>
      <c r="M41" s="80" t="s">
        <v>2898</v>
      </c>
      <c r="N41" s="72">
        <f>M41*Calculations!$C$37/L41</f>
        <v>0.38435199999999997</v>
      </c>
      <c r="O41" s="81" t="s">
        <v>2912</v>
      </c>
      <c r="P41" s="59" t="s">
        <v>3036</v>
      </c>
      <c r="Q41" s="58">
        <v>0.98</v>
      </c>
      <c r="R41" s="59" t="s">
        <v>3043</v>
      </c>
      <c r="S41" s="61" cm="1">
        <f t="array" ref="S41">1-SUM(IF(ISNUMBER(P41:Q41), P41:Q41, 0))</f>
        <v>2.0000000000000018E-2</v>
      </c>
      <c r="T41" s="59"/>
      <c r="U41" s="63"/>
      <c r="V41" s="59" t="s">
        <v>3036</v>
      </c>
      <c r="W41" s="58">
        <v>0.98</v>
      </c>
      <c r="X41" s="59" t="s">
        <v>3043</v>
      </c>
      <c r="Y41" s="61" cm="1">
        <f t="array" ref="Y41">1-SUM(IF(ISNUMBER(V41:W41), V41:W41, 0))</f>
        <v>2.0000000000000018E-2</v>
      </c>
      <c r="Z41" s="59"/>
      <c r="AA41" s="60"/>
      <c r="AB41" s="59"/>
      <c r="AC41" s="60"/>
      <c r="AD41" s="59"/>
      <c r="AE41" s="60"/>
    </row>
    <row r="42" spans="1:31" x14ac:dyDescent="0.3">
      <c r="A42" s="64">
        <v>34</v>
      </c>
      <c r="B42" t="s">
        <v>55</v>
      </c>
      <c r="C42" s="64" t="s">
        <v>2841</v>
      </c>
      <c r="D42" t="s">
        <v>56</v>
      </c>
      <c r="E42" s="48" t="s">
        <v>56</v>
      </c>
      <c r="F42" s="56">
        <f>INDEX(prodcom_data[PRODQNT + IMPQNT - EU27 - 2022], MATCH(B42, prodcom_data[product], 0))</f>
        <v>778495527</v>
      </c>
      <c r="G42" s="54">
        <f t="shared" si="0"/>
        <v>0.77849552700000002</v>
      </c>
      <c r="H42" s="97">
        <f>INDEX(prodcom_data[Local production share of available quantity (PRODQNT + IMPQNT) - EU27 - 2022], MATCH(B42, prodcom_data[product], 0))</f>
        <v>0.9345821199560983</v>
      </c>
      <c r="I42" s="49" t="s">
        <v>2682</v>
      </c>
      <c r="J42" s="49" t="s">
        <v>2642</v>
      </c>
      <c r="K42" s="79" t="s">
        <v>2973</v>
      </c>
      <c r="L42" s="79">
        <v>120.19</v>
      </c>
      <c r="M42" s="80" t="s">
        <v>2974</v>
      </c>
      <c r="N42" s="72">
        <f>M42*Calculations!$C$37/L42</f>
        <v>0.89940094849821106</v>
      </c>
      <c r="O42" s="81" t="s">
        <v>2975</v>
      </c>
      <c r="P42" s="59" t="s">
        <v>3036</v>
      </c>
      <c r="Q42" s="58">
        <v>0.94</v>
      </c>
      <c r="R42" s="59" t="s">
        <v>3043</v>
      </c>
      <c r="S42" s="61" cm="1">
        <f t="array" ref="S42">1-SUM(IF(ISNUMBER(P42:Q42), P42:Q42, 0))</f>
        <v>6.0000000000000053E-2</v>
      </c>
      <c r="T42" s="59"/>
      <c r="U42" s="63"/>
      <c r="V42" s="59" t="s">
        <v>3036</v>
      </c>
      <c r="W42" s="58">
        <v>0.94</v>
      </c>
      <c r="X42" s="59" t="s">
        <v>3043</v>
      </c>
      <c r="Y42" s="61" cm="1">
        <f t="array" ref="Y42">1-SUM(IF(ISNUMBER(V42:W42), V42:W42, 0))</f>
        <v>6.0000000000000053E-2</v>
      </c>
      <c r="Z42" s="59"/>
      <c r="AA42" s="60"/>
      <c r="AB42" s="59"/>
      <c r="AC42" s="60"/>
      <c r="AD42" s="59"/>
      <c r="AE42" s="60"/>
    </row>
    <row r="43" spans="1:31" x14ac:dyDescent="0.3">
      <c r="A43" s="64">
        <v>35</v>
      </c>
      <c r="B43" t="s">
        <v>332</v>
      </c>
      <c r="C43" s="64" t="s">
        <v>2842</v>
      </c>
      <c r="D43" t="s">
        <v>333</v>
      </c>
      <c r="E43" s="48" t="s">
        <v>333</v>
      </c>
      <c r="F43" s="56">
        <f>INDEX(prodcom_data[PRODQNT + IMPQNT - EU27 - 2022], MATCH(B43, prodcom_data[product], 0))</f>
        <v>705069102</v>
      </c>
      <c r="G43" s="54">
        <f t="shared" si="0"/>
        <v>0.70506910199999995</v>
      </c>
      <c r="H43" s="97">
        <f>INDEX(prodcom_data[Local production share of available quantity (PRODQNT + IMPQNT) - EU27 - 2022], MATCH(B43, prodcom_data[product], 0))</f>
        <v>0.85098041922137724</v>
      </c>
      <c r="I43" s="49" t="s">
        <v>2683</v>
      </c>
      <c r="J43" s="49" t="s">
        <v>2642</v>
      </c>
      <c r="K43" s="79" t="s">
        <v>2998</v>
      </c>
      <c r="L43" s="79">
        <v>53.06</v>
      </c>
      <c r="M43" s="80" t="s">
        <v>2892</v>
      </c>
      <c r="N43" s="72">
        <f>M43*Calculations!$C$37/L43</f>
        <v>0.67909913305691672</v>
      </c>
      <c r="O43" s="81" t="s">
        <v>2999</v>
      </c>
      <c r="P43" s="59" t="s">
        <v>3042</v>
      </c>
      <c r="Q43" s="58">
        <v>1</v>
      </c>
      <c r="R43" s="59"/>
      <c r="S43" s="60"/>
      <c r="T43" s="59"/>
      <c r="U43" s="63"/>
      <c r="V43" s="59" t="s">
        <v>3042</v>
      </c>
      <c r="W43" s="58">
        <v>1</v>
      </c>
      <c r="X43" s="59"/>
      <c r="Y43" s="60"/>
      <c r="Z43" s="59"/>
      <c r="AA43" s="60"/>
      <c r="AB43" s="59"/>
      <c r="AC43" s="60"/>
      <c r="AD43" s="59"/>
      <c r="AE43" s="60"/>
    </row>
    <row r="44" spans="1:31" x14ac:dyDescent="0.3">
      <c r="A44" s="64">
        <v>36</v>
      </c>
      <c r="B44" t="s">
        <v>28</v>
      </c>
      <c r="C44" s="64" t="s">
        <v>2843</v>
      </c>
      <c r="D44" t="s">
        <v>29</v>
      </c>
      <c r="E44" s="48" t="s">
        <v>29</v>
      </c>
      <c r="F44" s="56">
        <f>INDEX(prodcom_data[PRODQNT + IMPQNT - EU27 - 2022], MATCH(B44, prodcom_data[product], 0))</f>
        <v>683315016</v>
      </c>
      <c r="G44" s="54">
        <f t="shared" si="0"/>
        <v>0.683315016</v>
      </c>
      <c r="H44" s="97">
        <f>INDEX(prodcom_data[Local production share of available quantity (PRODQNT + IMPQNT) - EU27 - 2022], MATCH(B44, prodcom_data[product], 0))</f>
        <v>0.35122892718634474</v>
      </c>
      <c r="I44" s="49" t="s">
        <v>2684</v>
      </c>
      <c r="J44" s="49" t="s">
        <v>2642</v>
      </c>
      <c r="K44" s="79" t="s">
        <v>2976</v>
      </c>
      <c r="L44" s="79">
        <v>84.16</v>
      </c>
      <c r="M44" s="80" t="s">
        <v>2908</v>
      </c>
      <c r="N44" s="72">
        <f>M44*Calculations!$C$37/L44</f>
        <v>0.85629752851711038</v>
      </c>
      <c r="O44" s="81" t="s">
        <v>2977</v>
      </c>
      <c r="P44" s="59" t="s">
        <v>3042</v>
      </c>
      <c r="Q44" s="58">
        <v>1</v>
      </c>
      <c r="R44" s="59"/>
      <c r="S44" s="60"/>
      <c r="T44" s="59"/>
      <c r="U44" s="63"/>
      <c r="V44" s="59" t="s">
        <v>3042</v>
      </c>
      <c r="W44" s="58">
        <v>1</v>
      </c>
      <c r="X44" s="59"/>
      <c r="Y44" s="60"/>
      <c r="Z44" s="59"/>
      <c r="AA44" s="60"/>
      <c r="AB44" s="59"/>
      <c r="AC44" s="60"/>
      <c r="AD44" s="59"/>
      <c r="AE44" s="60"/>
    </row>
    <row r="45" spans="1:31" x14ac:dyDescent="0.3">
      <c r="A45" s="64">
        <v>37</v>
      </c>
      <c r="B45" t="s">
        <v>252</v>
      </c>
      <c r="C45" s="64" t="s">
        <v>2844</v>
      </c>
      <c r="D45" t="s">
        <v>253</v>
      </c>
      <c r="E45" s="48" t="s">
        <v>2867</v>
      </c>
      <c r="F45" s="56">
        <f>INDEX(prodcom_data[PRODQNT + IMPQNT - EU27 - 2022], MATCH(B45, prodcom_data[product], 0))</f>
        <v>667655569</v>
      </c>
      <c r="G45" s="54">
        <f t="shared" si="0"/>
        <v>0.667655569</v>
      </c>
      <c r="H45" s="97">
        <f>INDEX(prodcom_data[Local production share of available quantity (PRODQNT + IMPQNT) - EU27 - 2022], MATCH(B45, prodcom_data[product], 0))</f>
        <v>0.85514301162071182</v>
      </c>
      <c r="I45" s="49" t="s">
        <v>2685</v>
      </c>
      <c r="J45" s="49" t="s">
        <v>2642</v>
      </c>
      <c r="K45" s="79" t="s">
        <v>2978</v>
      </c>
      <c r="L45" s="79">
        <v>146.13999999999999</v>
      </c>
      <c r="M45" s="80" t="s">
        <v>2908</v>
      </c>
      <c r="N45" s="72">
        <f>M45*Calculations!$C$37/L45</f>
        <v>0.49312987546188591</v>
      </c>
      <c r="O45" s="81" t="s">
        <v>2979</v>
      </c>
      <c r="P45" s="59" t="s">
        <v>3042</v>
      </c>
      <c r="Q45" s="58">
        <v>1</v>
      </c>
      <c r="R45" s="59"/>
      <c r="S45" s="60"/>
      <c r="T45" s="59"/>
      <c r="U45" s="63"/>
      <c r="V45" s="59" t="s">
        <v>3042</v>
      </c>
      <c r="W45" s="58">
        <v>1</v>
      </c>
      <c r="X45" s="59"/>
      <c r="Y45" s="60"/>
      <c r="Z45" s="59"/>
      <c r="AA45" s="60"/>
      <c r="AB45" s="59"/>
      <c r="AC45" s="60"/>
      <c r="AD45" s="59"/>
      <c r="AE45" s="60"/>
    </row>
    <row r="46" spans="1:31" x14ac:dyDescent="0.3">
      <c r="A46" s="64">
        <v>38</v>
      </c>
      <c r="B46" t="s">
        <v>114</v>
      </c>
      <c r="C46" s="64" t="s">
        <v>2845</v>
      </c>
      <c r="D46" t="s">
        <v>115</v>
      </c>
      <c r="E46" s="48" t="s">
        <v>2970</v>
      </c>
      <c r="F46" s="56">
        <f>INDEX(prodcom_data[PRODQNT + IMPQNT - EU27 - 2022], MATCH(B46, prodcom_data[product], 0))</f>
        <v>667347651</v>
      </c>
      <c r="G46" s="54">
        <f t="shared" si="0"/>
        <v>0.66734765100000004</v>
      </c>
      <c r="H46" s="97">
        <f>INDEX(prodcom_data[Local production share of available quantity (PRODQNT + IMPQNT) - EU27 - 2022], MATCH(B46, prodcom_data[product], 0))</f>
        <v>0.80917344833809868</v>
      </c>
      <c r="I46" s="49" t="s">
        <v>2686</v>
      </c>
      <c r="J46" s="49" t="s">
        <v>2687</v>
      </c>
      <c r="K46" s="79" t="s">
        <v>2971</v>
      </c>
      <c r="L46" s="79">
        <v>60.1</v>
      </c>
      <c r="M46" s="80" t="s">
        <v>2892</v>
      </c>
      <c r="N46" s="72">
        <f>M46*Calculations!$C$37/L46</f>
        <v>0.59955074875207992</v>
      </c>
      <c r="O46" s="81" t="s">
        <v>2972</v>
      </c>
      <c r="P46" s="59" t="s">
        <v>3036</v>
      </c>
      <c r="Q46" s="58">
        <v>0.82</v>
      </c>
      <c r="R46" s="59" t="s">
        <v>3043</v>
      </c>
      <c r="S46" s="61" cm="1">
        <f t="array" ref="S46">1-SUM(IF(ISNUMBER(P46:Q46), P46:Q46, 0))</f>
        <v>0.18000000000000005</v>
      </c>
      <c r="T46" s="59"/>
      <c r="U46" s="63"/>
      <c r="V46" s="59" t="s">
        <v>3036</v>
      </c>
      <c r="W46" s="58">
        <v>0.82</v>
      </c>
      <c r="X46" s="59" t="s">
        <v>3043</v>
      </c>
      <c r="Y46" s="61" cm="1">
        <f t="array" ref="Y46">1-SUM(IF(ISNUMBER(V46:W46), V46:W46, 0))</f>
        <v>0.18000000000000005</v>
      </c>
      <c r="Z46" s="59"/>
      <c r="AA46" s="60"/>
      <c r="AB46" s="59"/>
      <c r="AC46" s="60"/>
      <c r="AD46" s="59"/>
      <c r="AE46" s="60"/>
    </row>
    <row r="47" spans="1:31" x14ac:dyDescent="0.3">
      <c r="A47" s="64">
        <v>39</v>
      </c>
      <c r="B47" t="s">
        <v>52</v>
      </c>
      <c r="C47" s="64" t="s">
        <v>2846</v>
      </c>
      <c r="D47" t="s">
        <v>53</v>
      </c>
      <c r="E47" s="48" t="s">
        <v>53</v>
      </c>
      <c r="F47" s="56">
        <f>INDEX(prodcom_data[PRODQNT + IMPQNT - EU27 - 2022], MATCH(B47, prodcom_data[product], 0))</f>
        <v>642497260</v>
      </c>
      <c r="G47" s="54">
        <f t="shared" si="0"/>
        <v>0.64249725999999996</v>
      </c>
      <c r="H47" s="97">
        <f>INDEX(prodcom_data[Local production share of available quantity (PRODQNT + IMPQNT) - EU27 - 2022], MATCH(B47, prodcom_data[product], 0))</f>
        <v>0.93385612259264728</v>
      </c>
      <c r="I47" s="49" t="s">
        <v>2688</v>
      </c>
      <c r="J47" s="49" t="s">
        <v>2642</v>
      </c>
      <c r="K47" s="79" t="s">
        <v>2980</v>
      </c>
      <c r="L47" s="79">
        <v>106.16</v>
      </c>
      <c r="M47" s="80" t="s">
        <v>2915</v>
      </c>
      <c r="N47" s="72">
        <f>M47*Calculations!$C$37/L47</f>
        <v>0.90512434061793512</v>
      </c>
      <c r="O47" s="81" t="s">
        <v>2982</v>
      </c>
      <c r="P47" s="59" t="s">
        <v>3036</v>
      </c>
      <c r="Q47" s="58">
        <v>0.99</v>
      </c>
      <c r="R47" s="59" t="s">
        <v>3043</v>
      </c>
      <c r="S47" s="61" cm="1">
        <f t="array" ref="S47">1-SUM(IF(ISNUMBER(P47:Q47), P47:Q47, 0))</f>
        <v>1.0000000000000009E-2</v>
      </c>
      <c r="T47" s="59"/>
      <c r="U47" s="63"/>
      <c r="V47" s="59" t="s">
        <v>3036</v>
      </c>
      <c r="W47" s="58">
        <v>0.99</v>
      </c>
      <c r="X47" s="59" t="s">
        <v>3046</v>
      </c>
      <c r="Y47" s="60">
        <v>0.01</v>
      </c>
      <c r="Z47" s="59"/>
      <c r="AA47" s="60"/>
      <c r="AB47" s="59"/>
      <c r="AC47" s="60"/>
      <c r="AD47" s="59"/>
      <c r="AE47" s="60"/>
    </row>
    <row r="48" spans="1:31" x14ac:dyDescent="0.3">
      <c r="A48" s="64">
        <v>40</v>
      </c>
      <c r="B48" t="s">
        <v>220</v>
      </c>
      <c r="C48" s="64" t="s">
        <v>2847</v>
      </c>
      <c r="D48" t="s">
        <v>221</v>
      </c>
      <c r="E48" s="48" t="s">
        <v>221</v>
      </c>
      <c r="F48" s="56">
        <f>INDEX(prodcom_data[PRODQNT + IMPQNT - EU27 - 2022], MATCH(B48, prodcom_data[product], 0))</f>
        <v>604861873</v>
      </c>
      <c r="G48" s="54">
        <f t="shared" si="0"/>
        <v>0.60486187300000005</v>
      </c>
      <c r="H48" s="97">
        <f>INDEX(prodcom_data[Local production share of available quantity (PRODQNT + IMPQNT) - EU27 - 2022], MATCH(B48, prodcom_data[product], 0))</f>
        <v>0.66130800742337414</v>
      </c>
      <c r="I48" s="49" t="s">
        <v>2652</v>
      </c>
      <c r="J48" s="49" t="s">
        <v>2689</v>
      </c>
      <c r="K48" s="79" t="s">
        <v>2968</v>
      </c>
      <c r="L48" s="79">
        <v>128.16900000000001</v>
      </c>
      <c r="M48" s="80" t="s">
        <v>2947</v>
      </c>
      <c r="N48" s="72">
        <f>M48*Calculations!$C$37/L48</f>
        <v>0.6559854567016985</v>
      </c>
      <c r="O48" s="81" t="s">
        <v>2969</v>
      </c>
      <c r="P48" s="59" t="s">
        <v>3036</v>
      </c>
      <c r="Q48" s="58">
        <v>0.72</v>
      </c>
      <c r="R48" s="59" t="s">
        <v>3043</v>
      </c>
      <c r="S48" s="61" cm="1">
        <f t="array" ref="S48">1-SUM(IF(ISNUMBER(P48:Q48), P48:Q48, 0))</f>
        <v>0.28000000000000003</v>
      </c>
      <c r="T48" s="59"/>
      <c r="U48" s="63"/>
      <c r="V48" s="59" t="s">
        <v>3036</v>
      </c>
      <c r="W48" s="58">
        <v>0.72</v>
      </c>
      <c r="X48" s="59" t="s">
        <v>3043</v>
      </c>
      <c r="Y48" s="61" cm="1">
        <f t="array" ref="Y48">1-SUM(IF(ISNUMBER(V48:W48), V48:W48, 0))</f>
        <v>0.28000000000000003</v>
      </c>
      <c r="Z48" s="59"/>
      <c r="AA48" s="60"/>
      <c r="AB48" s="59"/>
      <c r="AC48" s="60"/>
      <c r="AD48" s="59"/>
      <c r="AE48" s="60"/>
    </row>
    <row r="49" spans="1:32" x14ac:dyDescent="0.3">
      <c r="A49" s="64">
        <v>41</v>
      </c>
      <c r="B49" t="s">
        <v>542</v>
      </c>
      <c r="C49" s="64" t="s">
        <v>2848</v>
      </c>
      <c r="D49" t="s">
        <v>543</v>
      </c>
      <c r="E49" s="48" t="s">
        <v>2965</v>
      </c>
      <c r="F49" s="56">
        <f>INDEX(prodcom_data[PRODQNT + IMPQNT - EU27 - 2022], MATCH(B49, prodcom_data[product], 0))</f>
        <v>593659673</v>
      </c>
      <c r="G49" s="54">
        <f t="shared" si="0"/>
        <v>0.593659673</v>
      </c>
      <c r="H49" s="97">
        <f>INDEX(prodcom_data[Local production share of available quantity (PRODQNT + IMPQNT) - EU27 - 2022], MATCH(B49, prodcom_data[product], 0))</f>
        <v>0.84223339185782964</v>
      </c>
      <c r="I49" s="49" t="s">
        <v>2690</v>
      </c>
      <c r="J49" s="49" t="s">
        <v>2642</v>
      </c>
      <c r="K49" s="79" t="s">
        <v>2966</v>
      </c>
      <c r="L49" s="79">
        <v>114.14</v>
      </c>
      <c r="M49" s="80" t="s">
        <v>2908</v>
      </c>
      <c r="N49" s="72">
        <f>M49*Calculations!$C$37/L49</f>
        <v>0.63138251270369727</v>
      </c>
      <c r="O49" s="81" t="s">
        <v>2967</v>
      </c>
      <c r="P49" s="59" t="s">
        <v>3036</v>
      </c>
      <c r="Q49" s="58">
        <v>0.87</v>
      </c>
      <c r="R49" s="59" t="s">
        <v>3043</v>
      </c>
      <c r="S49" s="61" cm="1">
        <f t="array" ref="S49">1-SUM(IF(ISNUMBER(P49:Q49), P49:Q49, 0))</f>
        <v>0.13</v>
      </c>
      <c r="T49" s="59"/>
      <c r="U49" s="63"/>
      <c r="V49" s="59" t="s">
        <v>3036</v>
      </c>
      <c r="W49" s="58">
        <v>0.87</v>
      </c>
      <c r="X49" s="59" t="s">
        <v>3043</v>
      </c>
      <c r="Y49" s="61" cm="1">
        <f t="array" ref="Y49">1-SUM(IF(ISNUMBER(V49:W49), V49:W49, 0))</f>
        <v>0.13</v>
      </c>
      <c r="Z49" s="59"/>
      <c r="AA49" s="60"/>
      <c r="AB49" s="59"/>
      <c r="AC49" s="60"/>
      <c r="AD49" s="59"/>
      <c r="AE49" s="60"/>
    </row>
    <row r="50" spans="1:32" x14ac:dyDescent="0.3">
      <c r="A50" s="64">
        <v>42</v>
      </c>
      <c r="B50" t="s">
        <v>117</v>
      </c>
      <c r="C50" s="64" t="s">
        <v>2849</v>
      </c>
      <c r="D50" t="s">
        <v>118</v>
      </c>
      <c r="E50" s="48" t="s">
        <v>2986</v>
      </c>
      <c r="F50" s="56">
        <f>INDEX(prodcom_data[PRODQNT + IMPQNT - EU27 - 2022], MATCH(B50, prodcom_data[product], 0))</f>
        <v>507331541</v>
      </c>
      <c r="G50" s="54">
        <f t="shared" si="0"/>
        <v>0.507331541</v>
      </c>
      <c r="H50" s="97">
        <f>INDEX(prodcom_data[Local production share of available quantity (PRODQNT + IMPQNT) - EU27 - 2022], MATCH(B50, prodcom_data[product], 0))</f>
        <v>0.78843905350643284</v>
      </c>
      <c r="I50" s="49" t="s">
        <v>2691</v>
      </c>
      <c r="J50" s="49" t="s">
        <v>2642</v>
      </c>
      <c r="K50" s="79" t="s">
        <v>2987</v>
      </c>
      <c r="L50" s="79">
        <v>74.12</v>
      </c>
      <c r="M50" s="80" t="s">
        <v>2925</v>
      </c>
      <c r="N50" s="72">
        <f>M50*Calculations!$C$37/L50</f>
        <v>0.64819212088505118</v>
      </c>
      <c r="O50" s="81" t="s">
        <v>2988</v>
      </c>
      <c r="P50" s="59" t="s">
        <v>3042</v>
      </c>
      <c r="Q50" s="58">
        <v>1</v>
      </c>
      <c r="R50" s="59"/>
      <c r="S50" s="60"/>
      <c r="T50" s="59"/>
      <c r="U50" s="63"/>
      <c r="V50" s="59" t="s">
        <v>3042</v>
      </c>
      <c r="W50" s="58">
        <v>1</v>
      </c>
      <c r="X50" s="59"/>
      <c r="Y50" s="60"/>
      <c r="Z50" s="59"/>
      <c r="AA50" s="60"/>
      <c r="AB50" s="59"/>
      <c r="AC50" s="60"/>
      <c r="AD50" s="59"/>
      <c r="AE50" s="60"/>
    </row>
    <row r="51" spans="1:32" x14ac:dyDescent="0.3">
      <c r="A51" s="64">
        <v>43</v>
      </c>
      <c r="B51" t="s">
        <v>284</v>
      </c>
      <c r="C51" s="64" t="s">
        <v>2850</v>
      </c>
      <c r="D51" t="s">
        <v>285</v>
      </c>
      <c r="E51" s="48" t="s">
        <v>2989</v>
      </c>
      <c r="F51" s="56">
        <f>INDEX(prodcom_data[PRODQNT + IMPQNT - EU27 - 2022], MATCH(B51, prodcom_data[product], 0))</f>
        <v>443739559</v>
      </c>
      <c r="G51" s="54">
        <f t="shared" si="0"/>
        <v>0.44373955900000001</v>
      </c>
      <c r="H51" s="97">
        <f>INDEX(prodcom_data[Local production share of available quantity (PRODQNT + IMPQNT) - EU27 - 2022], MATCH(B51, prodcom_data[product], 0))</f>
        <v>0.9014296604554024</v>
      </c>
      <c r="I51" s="49" t="s">
        <v>2692</v>
      </c>
      <c r="J51" s="49" t="s">
        <v>2693</v>
      </c>
      <c r="K51" s="79" t="s">
        <v>2990</v>
      </c>
      <c r="L51" s="79">
        <v>116.2</v>
      </c>
      <c r="M51" s="80" t="s">
        <v>2908</v>
      </c>
      <c r="N51" s="72">
        <f>M51*Calculations!$C$37/L51</f>
        <v>0.6201893287435456</v>
      </c>
      <c r="O51" s="81" t="s">
        <v>2991</v>
      </c>
      <c r="P51" s="59" t="s">
        <v>3036</v>
      </c>
      <c r="Q51" s="58">
        <v>0.91</v>
      </c>
      <c r="R51" s="59" t="s">
        <v>3043</v>
      </c>
      <c r="S51" s="61" cm="1">
        <f t="array" ref="S51">1-SUM(IF(ISNUMBER(P51:Q51), P51:Q51, 0))</f>
        <v>8.9999999999999969E-2</v>
      </c>
      <c r="T51" s="59"/>
      <c r="U51" s="63"/>
      <c r="V51" s="59" t="s">
        <v>3036</v>
      </c>
      <c r="W51" s="58">
        <v>0.91</v>
      </c>
      <c r="X51" s="59" t="s">
        <v>3043</v>
      </c>
      <c r="Y51" s="61" cm="1">
        <f t="array" ref="Y51">1-SUM(IF(ISNUMBER(V51:W51), V51:W51, 0))</f>
        <v>8.9999999999999969E-2</v>
      </c>
      <c r="Z51" s="59"/>
      <c r="AA51" s="60"/>
      <c r="AB51" s="59"/>
      <c r="AC51" s="60"/>
      <c r="AD51" s="59"/>
      <c r="AE51" s="60"/>
    </row>
    <row r="52" spans="1:32" x14ac:dyDescent="0.3">
      <c r="A52" s="64">
        <v>44</v>
      </c>
      <c r="B52" t="s">
        <v>186</v>
      </c>
      <c r="C52" s="64" t="s">
        <v>2851</v>
      </c>
      <c r="D52" t="s">
        <v>187</v>
      </c>
      <c r="E52" s="48" t="s">
        <v>187</v>
      </c>
      <c r="F52" s="56">
        <f>INDEX(prodcom_data[PRODQNT + IMPQNT - EU27 - 2022], MATCH(B52, prodcom_data[product], 0))</f>
        <v>377601386</v>
      </c>
      <c r="G52" s="54">
        <f t="shared" si="0"/>
        <v>0.37760138599999998</v>
      </c>
      <c r="H52" s="97">
        <f>INDEX(prodcom_data[Local production share of available quantity (PRODQNT + IMPQNT) - EU27 - 2022], MATCH(B52, prodcom_data[product], 0))</f>
        <v>0.11917329138193365</v>
      </c>
      <c r="I52" s="49" t="s">
        <v>2694</v>
      </c>
      <c r="J52" s="49" t="s">
        <v>2642</v>
      </c>
      <c r="K52" s="79" t="s">
        <v>3004</v>
      </c>
      <c r="L52" s="79">
        <v>88.11</v>
      </c>
      <c r="M52" s="80" t="s">
        <v>2925</v>
      </c>
      <c r="N52" s="72">
        <f>M52*Calculations!$C$37/L52</f>
        <v>0.54527295426171829</v>
      </c>
      <c r="O52" s="81" t="s">
        <v>3005</v>
      </c>
      <c r="P52" s="59" t="s">
        <v>3042</v>
      </c>
      <c r="Q52" s="58">
        <v>1</v>
      </c>
      <c r="R52" s="59"/>
      <c r="S52" s="60"/>
      <c r="T52" s="59"/>
      <c r="U52" s="63"/>
      <c r="V52" s="59" t="s">
        <v>3042</v>
      </c>
      <c r="W52" s="58">
        <v>1</v>
      </c>
      <c r="X52" s="59"/>
      <c r="Y52" s="60"/>
      <c r="Z52" s="59"/>
      <c r="AA52" s="60"/>
      <c r="AB52" s="59"/>
      <c r="AC52" s="60"/>
      <c r="AD52" s="59"/>
      <c r="AE52" s="60"/>
    </row>
    <row r="53" spans="1:32" x14ac:dyDescent="0.3">
      <c r="A53" s="64">
        <v>45</v>
      </c>
      <c r="B53" t="s">
        <v>581</v>
      </c>
      <c r="C53" s="64" t="s">
        <v>2852</v>
      </c>
      <c r="D53" t="s">
        <v>582</v>
      </c>
      <c r="E53" s="48" t="s">
        <v>3000</v>
      </c>
      <c r="F53" s="56">
        <f>INDEX(prodcom_data[PRODQNT + IMPQNT - EU27 - 2022], MATCH(B53, prodcom_data[product], 0))</f>
        <v>334412816</v>
      </c>
      <c r="G53" s="54">
        <f t="shared" si="0"/>
        <v>0.334412816</v>
      </c>
      <c r="H53" s="97">
        <f>INDEX(prodcom_data[Local production share of available quantity (PRODQNT + IMPQNT) - EU27 - 2022], MATCH(B53, prodcom_data[product], 0))</f>
        <v>0.59226283959165005</v>
      </c>
      <c r="I53" s="51" t="s">
        <v>3001</v>
      </c>
      <c r="J53" s="49" t="s">
        <v>2695</v>
      </c>
      <c r="K53" s="79" t="s">
        <v>3002</v>
      </c>
      <c r="L53" s="79">
        <v>30.026</v>
      </c>
      <c r="M53" s="80" t="s">
        <v>2905</v>
      </c>
      <c r="N53" s="72">
        <f>M53*Calculations!$C$37/L53</f>
        <v>0.40001998268167588</v>
      </c>
      <c r="O53" s="81" t="s">
        <v>3003</v>
      </c>
      <c r="P53" s="59"/>
      <c r="Q53" s="60"/>
      <c r="R53" s="59"/>
      <c r="S53" s="60"/>
      <c r="T53" s="59"/>
      <c r="U53" s="63"/>
      <c r="V53" s="59"/>
      <c r="W53" s="60"/>
      <c r="X53" s="59"/>
      <c r="Y53" s="60"/>
      <c r="Z53" s="59"/>
      <c r="AA53" s="60"/>
      <c r="AB53" s="59"/>
      <c r="AC53" s="60"/>
      <c r="AD53" s="59"/>
      <c r="AE53" s="60"/>
    </row>
    <row r="54" spans="1:32" x14ac:dyDescent="0.3">
      <c r="A54" s="64">
        <v>46</v>
      </c>
      <c r="B54" t="s">
        <v>459</v>
      </c>
      <c r="C54" s="64" t="s">
        <v>2853</v>
      </c>
      <c r="D54" t="s">
        <v>460</v>
      </c>
      <c r="E54" s="48" t="s">
        <v>3006</v>
      </c>
      <c r="F54" s="56">
        <f>INDEX(prodcom_data[PRODQNT + IMPQNT - EU27 - 2022], MATCH(B54, prodcom_data[product], 0))</f>
        <v>321846701</v>
      </c>
      <c r="G54" s="54">
        <f t="shared" si="0"/>
        <v>0.32184670100000001</v>
      </c>
      <c r="H54" s="97">
        <f>INDEX(prodcom_data[Local production share of available quantity (PRODQNT + IMPQNT) - EU27 - 2022], MATCH(B54, prodcom_data[product], 0))</f>
        <v>0.18642415725740188</v>
      </c>
      <c r="I54" s="49" t="s">
        <v>2696</v>
      </c>
      <c r="J54" s="49" t="s">
        <v>2642</v>
      </c>
      <c r="K54" s="79" t="s">
        <v>3007</v>
      </c>
      <c r="L54" s="79">
        <v>106.12</v>
      </c>
      <c r="M54" s="80" t="s">
        <v>2925</v>
      </c>
      <c r="N54" s="72">
        <f>M54*Calculations!$C$37/L54</f>
        <v>0.45273275537127777</v>
      </c>
      <c r="O54" s="81" t="s">
        <v>3008</v>
      </c>
      <c r="P54" s="59" t="s">
        <v>3036</v>
      </c>
      <c r="Q54" s="58">
        <v>0.21</v>
      </c>
      <c r="R54" s="59" t="s">
        <v>3043</v>
      </c>
      <c r="S54" s="61" cm="1">
        <f t="array" ref="S54">1-SUM(IF(ISNUMBER(P54:Q54), P54:Q54, 0))</f>
        <v>0.79</v>
      </c>
      <c r="T54" s="59"/>
      <c r="U54" s="63"/>
      <c r="V54" s="59" t="s">
        <v>3036</v>
      </c>
      <c r="W54" s="58">
        <v>0.21</v>
      </c>
      <c r="X54" s="59" t="s">
        <v>3043</v>
      </c>
      <c r="Y54" s="61" cm="1">
        <f t="array" ref="Y54">1-SUM(IF(ISNUMBER(V54:W54), V54:W54, 0))</f>
        <v>0.79</v>
      </c>
      <c r="Z54" s="59"/>
      <c r="AA54" s="60"/>
      <c r="AB54" s="59"/>
      <c r="AC54" s="60"/>
      <c r="AD54" s="59"/>
      <c r="AE54" s="60"/>
    </row>
    <row r="55" spans="1:32" x14ac:dyDescent="0.3">
      <c r="A55" s="64">
        <v>47</v>
      </c>
      <c r="B55" t="s">
        <v>226</v>
      </c>
      <c r="C55" s="64" t="s">
        <v>2854</v>
      </c>
      <c r="D55" t="s">
        <v>227</v>
      </c>
      <c r="E55" s="48" t="s">
        <v>2994</v>
      </c>
      <c r="F55" s="56">
        <f>INDEX(prodcom_data[PRODQNT + IMPQNT - EU27 - 2022], MATCH(B55, prodcom_data[product], 0))</f>
        <v>321638245</v>
      </c>
      <c r="G55" s="54">
        <f t="shared" si="0"/>
        <v>0.32163824499999999</v>
      </c>
      <c r="H55" s="97">
        <f>INDEX(prodcom_data[Local production share of available quantity (PRODQNT + IMPQNT) - EU27 - 2022], MATCH(B55, prodcom_data[product], 0))</f>
        <v>0.27981747008972768</v>
      </c>
      <c r="I55" s="49" t="s">
        <v>2697</v>
      </c>
      <c r="J55" s="49" t="s">
        <v>2698</v>
      </c>
      <c r="K55" s="79" t="s">
        <v>2995</v>
      </c>
      <c r="L55" s="79">
        <v>100.12</v>
      </c>
      <c r="M55" s="80" t="s">
        <v>2996</v>
      </c>
      <c r="N55" s="72">
        <f>M55*Calculations!$C$37/L55</f>
        <v>0.59983020375549334</v>
      </c>
      <c r="O55" s="81" t="s">
        <v>2997</v>
      </c>
      <c r="P55" s="59" t="s">
        <v>3036</v>
      </c>
      <c r="Q55" s="58">
        <v>0.35</v>
      </c>
      <c r="R55" s="59" t="s">
        <v>3043</v>
      </c>
      <c r="S55" s="61" cm="1">
        <f t="array" ref="S55">1-SUM(IF(ISNUMBER(P55:Q55), P55:Q55, 0))</f>
        <v>0.65</v>
      </c>
      <c r="T55" s="59"/>
      <c r="U55" s="63"/>
      <c r="V55" s="59" t="s">
        <v>3036</v>
      </c>
      <c r="W55" s="58">
        <v>0.35</v>
      </c>
      <c r="X55" s="59" t="s">
        <v>3043</v>
      </c>
      <c r="Y55" s="61" cm="1">
        <f t="array" ref="Y55">1-SUM(IF(ISNUMBER(V55:W55), V55:W55, 0))</f>
        <v>0.65</v>
      </c>
      <c r="Z55" s="59"/>
      <c r="AA55" s="60"/>
      <c r="AB55" s="59"/>
      <c r="AC55" s="60"/>
      <c r="AD55" s="59"/>
      <c r="AE55" s="60"/>
    </row>
    <row r="56" spans="1:32" x14ac:dyDescent="0.3">
      <c r="A56" s="64">
        <v>48</v>
      </c>
      <c r="B56" t="s">
        <v>40</v>
      </c>
      <c r="C56" s="64" t="s">
        <v>2855</v>
      </c>
      <c r="D56" t="s">
        <v>41</v>
      </c>
      <c r="E56" s="48" t="s">
        <v>41</v>
      </c>
      <c r="F56" s="56">
        <f>INDEX(prodcom_data[PRODQNT + IMPQNT - EU27 - 2022], MATCH(B56, prodcom_data[product], 0))</f>
        <v>318208407</v>
      </c>
      <c r="G56" s="54">
        <f t="shared" si="0"/>
        <v>0.31820840700000003</v>
      </c>
      <c r="H56" s="97">
        <f>INDEX(prodcom_data[Local production share of available quantity (PRODQNT + IMPQNT) - EU27 - 2022], MATCH(B56, prodcom_data[product], 0))</f>
        <v>0.44804616680036363</v>
      </c>
      <c r="I56" s="49" t="s">
        <v>2699</v>
      </c>
      <c r="J56" s="49" t="s">
        <v>2642</v>
      </c>
      <c r="K56" s="79" t="s">
        <v>2980</v>
      </c>
      <c r="L56" s="79">
        <v>106.16</v>
      </c>
      <c r="M56" s="80" t="s">
        <v>2915</v>
      </c>
      <c r="N56" s="72">
        <f>M56*Calculations!$C$37/L56</f>
        <v>0.90512434061793512</v>
      </c>
      <c r="O56" s="81" t="s">
        <v>3009</v>
      </c>
      <c r="P56" s="59" t="s">
        <v>3036</v>
      </c>
      <c r="Q56" s="58">
        <v>0.51</v>
      </c>
      <c r="R56" s="59" t="s">
        <v>3043</v>
      </c>
      <c r="S56" s="61" cm="1">
        <f t="array" ref="S56">1-SUM(IF(ISNUMBER(P56:Q56), P56:Q56, 0))</f>
        <v>0.49</v>
      </c>
      <c r="T56" s="59"/>
      <c r="U56" s="63"/>
      <c r="V56" s="59" t="s">
        <v>3036</v>
      </c>
      <c r="W56" s="58">
        <v>0.51</v>
      </c>
      <c r="X56" s="59" t="s">
        <v>3043</v>
      </c>
      <c r="Y56" s="61" cm="1">
        <f t="array" ref="Y56">1-SUM(IF(ISNUMBER(V56:W56), V56:W56, 0))</f>
        <v>0.49</v>
      </c>
      <c r="Z56" s="59"/>
      <c r="AA56" s="60"/>
      <c r="AB56" s="59"/>
      <c r="AC56" s="60"/>
      <c r="AD56" s="59"/>
      <c r="AE56" s="60"/>
    </row>
    <row r="57" spans="1:32" s="50" customFormat="1" x14ac:dyDescent="0.3">
      <c r="A57" s="64">
        <v>49</v>
      </c>
      <c r="B57" s="50" t="s">
        <v>61</v>
      </c>
      <c r="C57" s="64">
        <v>290311</v>
      </c>
      <c r="D57" s="50" t="s">
        <v>62</v>
      </c>
      <c r="E57" s="48" t="s">
        <v>3081</v>
      </c>
      <c r="F57" s="56">
        <f>INDEX(prodcom_data[PRODQNT + IMPQNT - EU27 - 2022], MATCH(B57, prodcom_data[product], 0))</f>
        <v>300894106</v>
      </c>
      <c r="G57" s="54">
        <f t="shared" si="0"/>
        <v>0.30089410599999999</v>
      </c>
      <c r="H57" s="97">
        <f>INDEX(prodcom_data[Local production share of available quantity (PRODQNT + IMPQNT) - EU27 - 2022], MATCH(B57, prodcom_data[product], 0))</f>
        <v>0.99702850277831634</v>
      </c>
      <c r="I57" s="49" t="s">
        <v>3086</v>
      </c>
      <c r="J57" s="49" t="s">
        <v>3087</v>
      </c>
      <c r="K57" s="79" t="s">
        <v>3088</v>
      </c>
      <c r="L57" s="79">
        <v>50.49</v>
      </c>
      <c r="M57" s="98">
        <v>1</v>
      </c>
      <c r="N57" s="72">
        <f>M57*Calculations!$C$37/L57</f>
        <v>0.23788869082986727</v>
      </c>
      <c r="O57" s="81" t="s">
        <v>3089</v>
      </c>
      <c r="P57" s="59" t="s">
        <v>3036</v>
      </c>
      <c r="Q57" s="58">
        <v>1</v>
      </c>
      <c r="R57" s="59"/>
      <c r="S57" s="59"/>
      <c r="T57" s="59"/>
      <c r="U57" s="63"/>
      <c r="V57" s="59" t="s">
        <v>3036</v>
      </c>
      <c r="W57" s="58">
        <v>1</v>
      </c>
      <c r="X57" s="59"/>
      <c r="Y57" s="59"/>
      <c r="Z57" s="59"/>
      <c r="AA57" s="60"/>
      <c r="AB57" s="59"/>
      <c r="AC57" s="60"/>
      <c r="AD57" s="59"/>
      <c r="AE57" s="60"/>
      <c r="AF57"/>
    </row>
    <row r="58" spans="1:32" s="50" customFormat="1" x14ac:dyDescent="0.3">
      <c r="A58" s="64">
        <v>50</v>
      </c>
      <c r="B58" s="50" t="s">
        <v>393</v>
      </c>
      <c r="C58" s="64">
        <v>291219</v>
      </c>
      <c r="D58" s="50" t="s">
        <v>394</v>
      </c>
      <c r="E58" s="48" t="s">
        <v>3082</v>
      </c>
      <c r="F58" s="56">
        <f>INDEX(prodcom_data[PRODQNT + IMPQNT - EU27 - 2022], MATCH(B58, prodcom_data[product], 0))</f>
        <v>300000000</v>
      </c>
      <c r="G58" s="54">
        <f t="shared" si="0"/>
        <v>0.3</v>
      </c>
      <c r="H58" s="97">
        <f>INDEX(prodcom_data[Local production share of available quantity (PRODQNT + IMPQNT) - EU27 - 2022], MATCH(B58, prodcom_data[product], 0))</f>
        <v>1</v>
      </c>
      <c r="I58" s="49" t="s">
        <v>2691</v>
      </c>
      <c r="J58" s="49"/>
      <c r="K58" s="79" t="s">
        <v>3094</v>
      </c>
      <c r="L58" s="79">
        <v>72.11</v>
      </c>
      <c r="M58" s="80" t="s">
        <v>2925</v>
      </c>
      <c r="N58" s="72">
        <f>M58*Calculations!$C$37/L58</f>
        <v>0.66625988073776177</v>
      </c>
      <c r="O58" s="81" t="s">
        <v>3095</v>
      </c>
      <c r="P58" s="59" t="s">
        <v>3042</v>
      </c>
      <c r="Q58" s="58">
        <v>1</v>
      </c>
      <c r="R58" s="59"/>
      <c r="S58" s="59"/>
      <c r="T58" s="59"/>
      <c r="U58" s="63"/>
      <c r="V58" s="59" t="s">
        <v>3042</v>
      </c>
      <c r="W58" s="58">
        <v>1</v>
      </c>
      <c r="X58" s="59"/>
      <c r="Y58" s="59"/>
      <c r="Z58" s="59"/>
      <c r="AA58" s="60"/>
      <c r="AB58" s="59"/>
      <c r="AC58" s="60"/>
      <c r="AD58" s="59"/>
      <c r="AE58" s="60"/>
      <c r="AF58"/>
    </row>
    <row r="59" spans="1:32" s="50" customFormat="1" x14ac:dyDescent="0.3">
      <c r="A59" s="64">
        <v>51</v>
      </c>
      <c r="B59" s="50" t="s">
        <v>164</v>
      </c>
      <c r="C59" s="64">
        <v>290723</v>
      </c>
      <c r="D59" s="50" t="s">
        <v>165</v>
      </c>
      <c r="E59" s="48" t="s">
        <v>3083</v>
      </c>
      <c r="F59" s="56">
        <f>INDEX(prodcom_data[PRODQNT + IMPQNT - EU27 - 2022], MATCH(B59, prodcom_data[product], 0))</f>
        <v>258032226</v>
      </c>
      <c r="G59" s="54">
        <f t="shared" si="0"/>
        <v>0.25803222599999998</v>
      </c>
      <c r="H59" s="97">
        <f>INDEX(prodcom_data[Local production share of available quantity (PRODQNT + IMPQNT) - EU27 - 2022], MATCH(B59, prodcom_data[product], 0))</f>
        <v>0.77509698342872879</v>
      </c>
      <c r="I59" s="49" t="s">
        <v>3084</v>
      </c>
      <c r="J59" s="49"/>
      <c r="K59" s="79" t="s">
        <v>3092</v>
      </c>
      <c r="L59" s="79">
        <v>228.29</v>
      </c>
      <c r="M59" s="80" t="s">
        <v>2959</v>
      </c>
      <c r="N59" s="72">
        <f>M59*Calculations!$C$37/L59</f>
        <v>0.78919356958254849</v>
      </c>
      <c r="O59" s="81" t="s">
        <v>3093</v>
      </c>
      <c r="P59" s="59" t="s">
        <v>3036</v>
      </c>
      <c r="Q59" s="58">
        <v>0.78</v>
      </c>
      <c r="R59" s="59" t="s">
        <v>3043</v>
      </c>
      <c r="S59" s="61" cm="1">
        <f t="array" ref="S59">1-SUM(IF(ISNUMBER(P59:Q59), P59:Q59, 0))</f>
        <v>0.21999999999999997</v>
      </c>
      <c r="T59" s="59"/>
      <c r="U59" s="63"/>
      <c r="V59" s="59" t="s">
        <v>3036</v>
      </c>
      <c r="W59" s="58">
        <v>0.78</v>
      </c>
      <c r="X59" s="59" t="s">
        <v>3043</v>
      </c>
      <c r="Y59" s="61" cm="1">
        <f t="array" ref="Y59">1-SUM(IF(ISNUMBER(V59:W59), V59:W59, 0))</f>
        <v>0.21999999999999997</v>
      </c>
      <c r="Z59" s="59"/>
      <c r="AA59" s="60"/>
      <c r="AB59" s="59"/>
      <c r="AC59" s="60"/>
      <c r="AD59" s="59"/>
      <c r="AE59" s="60"/>
      <c r="AF59"/>
    </row>
    <row r="60" spans="1:32" s="50" customFormat="1" x14ac:dyDescent="0.3">
      <c r="A60" s="64">
        <v>52</v>
      </c>
      <c r="B60" s="50" t="s">
        <v>623</v>
      </c>
      <c r="C60" s="64">
        <v>390519</v>
      </c>
      <c r="D60" s="50" t="s">
        <v>624</v>
      </c>
      <c r="E60" s="48" t="s">
        <v>2939</v>
      </c>
      <c r="F60" s="56">
        <f>INDEX(prodcom_data[PRODQNT + IMPQNT - EU27 - 2022], MATCH(B60, prodcom_data[product], 0))</f>
        <v>250743096</v>
      </c>
      <c r="G60" s="54">
        <f t="shared" si="0"/>
        <v>0.250743096</v>
      </c>
      <c r="H60" s="97">
        <f>INDEX(prodcom_data[Local production share of available quantity (PRODQNT + IMPQNT) - EU27 - 2022], MATCH(B60, prodcom_data[product], 0))</f>
        <v>0.79762913990660789</v>
      </c>
      <c r="I60" s="49" t="s">
        <v>2673</v>
      </c>
      <c r="J60" s="49"/>
      <c r="K60" s="79" t="s">
        <v>2940</v>
      </c>
      <c r="L60" s="79">
        <v>86.08905</v>
      </c>
      <c r="M60" s="80" t="s">
        <v>2925</v>
      </c>
      <c r="N60" s="72">
        <f>M60*Calculations!$C$37/L60</f>
        <v>0.55807329735895561</v>
      </c>
      <c r="O60" s="81" t="s">
        <v>2941</v>
      </c>
      <c r="P60" s="59" t="s">
        <v>3036</v>
      </c>
      <c r="Q60" s="58">
        <v>0.87</v>
      </c>
      <c r="R60" s="59" t="s">
        <v>3043</v>
      </c>
      <c r="S60" s="61" cm="1">
        <f t="array" ref="S60">1-SUM(IF(ISNUMBER(P60:Q60), P60:Q60, 0))</f>
        <v>0.13</v>
      </c>
      <c r="T60" s="59"/>
      <c r="U60" s="63"/>
      <c r="V60" s="59" t="s">
        <v>3036</v>
      </c>
      <c r="W60" s="58">
        <v>0.87</v>
      </c>
      <c r="X60" s="59" t="s">
        <v>3043</v>
      </c>
      <c r="Y60" s="61" cm="1">
        <f t="array" ref="Y60">1-SUM(IF(ISNUMBER(V60:W60), V60:W60, 0))</f>
        <v>0.13</v>
      </c>
      <c r="Z60" s="59"/>
      <c r="AA60" s="60"/>
      <c r="AB60" s="59"/>
      <c r="AC60" s="60"/>
      <c r="AD60" s="59"/>
      <c r="AE60" s="60"/>
      <c r="AF60"/>
    </row>
    <row r="61" spans="1:32" s="50" customFormat="1" x14ac:dyDescent="0.3">
      <c r="A61" s="64">
        <v>53</v>
      </c>
      <c r="B61" s="50" t="s">
        <v>208</v>
      </c>
      <c r="C61" s="64">
        <v>291524</v>
      </c>
      <c r="D61" s="50" t="s">
        <v>209</v>
      </c>
      <c r="E61" s="48" t="s">
        <v>209</v>
      </c>
      <c r="F61" s="56">
        <f>INDEX(prodcom_data[PRODQNT + IMPQNT - EU27 - 2022], MATCH(B61, prodcom_data[product], 0))</f>
        <v>215273632</v>
      </c>
      <c r="G61" s="54">
        <f t="shared" si="0"/>
        <v>0.21527363199999999</v>
      </c>
      <c r="H61" s="97">
        <f>INDEX(prodcom_data[Local production share of available quantity (PRODQNT + IMPQNT) - EU27 - 2022], MATCH(B61, prodcom_data[product], 0))</f>
        <v>1.1148601794389756E-2</v>
      </c>
      <c r="I61" s="49" t="s">
        <v>3085</v>
      </c>
      <c r="J61" s="49"/>
      <c r="K61" s="79" t="s">
        <v>3090</v>
      </c>
      <c r="L61" s="79">
        <v>102.09</v>
      </c>
      <c r="M61" s="80" t="s">
        <v>2925</v>
      </c>
      <c r="N61" s="72">
        <f>M61*Calculations!$C$37/L61</f>
        <v>0.47060436869428929</v>
      </c>
      <c r="O61" s="81" t="s">
        <v>3091</v>
      </c>
      <c r="P61" s="59" t="s">
        <v>3042</v>
      </c>
      <c r="Q61" s="58">
        <v>1</v>
      </c>
      <c r="R61" s="59"/>
      <c r="S61" s="59"/>
      <c r="T61" s="59"/>
      <c r="U61" s="63"/>
      <c r="V61" s="59" t="s">
        <v>3042</v>
      </c>
      <c r="W61" s="58">
        <v>1</v>
      </c>
      <c r="X61" s="59"/>
      <c r="Y61" s="59"/>
      <c r="Z61" s="59"/>
      <c r="AA61" s="60"/>
      <c r="AB61" s="59"/>
      <c r="AC61" s="60"/>
      <c r="AD61" s="59"/>
      <c r="AE61" s="60"/>
      <c r="AF61"/>
    </row>
    <row r="62" spans="1:32" x14ac:dyDescent="0.3">
      <c r="A62" s="64">
        <v>54</v>
      </c>
      <c r="B62" s="65" t="s">
        <v>345</v>
      </c>
      <c r="C62" s="64" t="s">
        <v>2829</v>
      </c>
      <c r="D62" s="52" t="s">
        <v>3010</v>
      </c>
      <c r="E62" s="48" t="s">
        <v>3011</v>
      </c>
      <c r="F62" s="56">
        <f>Calculations!C32*(Calculations!C29/SUM(Calculations!$C$28:$C$29))</f>
        <v>242141968.15384617</v>
      </c>
      <c r="G62" s="54">
        <f t="shared" si="0"/>
        <v>0.24214196815384617</v>
      </c>
      <c r="H62" s="97">
        <f>INDEX(prodcom_data[Local production share of available quantity (PRODQNT + IMPQNT) - EU27 - 2022], MATCH(B62, prodcom_data[product], 0))</f>
        <v>0.88632047658515611</v>
      </c>
      <c r="I62" s="48" t="s">
        <v>3012</v>
      </c>
      <c r="J62" s="49" t="s">
        <v>2671</v>
      </c>
      <c r="K62" s="79" t="s">
        <v>3013</v>
      </c>
      <c r="L62" s="79">
        <v>174.16</v>
      </c>
      <c r="M62" s="80" t="s">
        <v>2974</v>
      </c>
      <c r="N62" s="72">
        <f>M62*Calculations!$C$37/L62</f>
        <v>0.6206878732200275</v>
      </c>
      <c r="O62" s="81" t="s">
        <v>3014</v>
      </c>
      <c r="P62" s="59" t="s">
        <v>3036</v>
      </c>
      <c r="Q62" s="58">
        <v>0.88</v>
      </c>
      <c r="R62" s="59" t="s">
        <v>3043</v>
      </c>
      <c r="S62" s="61" cm="1">
        <f t="array" ref="S62">1-SUM(IF(ISNUMBER(P62:Q62), P62:Q62, 0))</f>
        <v>0.12</v>
      </c>
      <c r="T62" s="59"/>
      <c r="U62" s="63"/>
      <c r="V62" s="59" t="s">
        <v>3036</v>
      </c>
      <c r="W62" s="58">
        <v>0.88</v>
      </c>
      <c r="X62" s="59" t="s">
        <v>3043</v>
      </c>
      <c r="Y62" s="61" cm="1">
        <f t="array" ref="Y62">1-SUM(IF(ISNUMBER(V62:W62), V62:W62, 0))</f>
        <v>0.12</v>
      </c>
      <c r="Z62" s="59"/>
      <c r="AA62" s="60"/>
      <c r="AB62" s="59"/>
      <c r="AC62" s="60"/>
      <c r="AD62" s="59"/>
      <c r="AE62" s="60"/>
    </row>
    <row r="63" spans="1:32" x14ac:dyDescent="0.3">
      <c r="A63" s="64">
        <v>55</v>
      </c>
      <c r="B63" s="65" t="s">
        <v>345</v>
      </c>
      <c r="C63" s="64" t="s">
        <v>2829</v>
      </c>
      <c r="D63" s="52" t="s">
        <v>3015</v>
      </c>
      <c r="E63" s="48" t="s">
        <v>3016</v>
      </c>
      <c r="F63" s="56">
        <f>Calculations!C32*(Calculations!C28/SUM(Calculations!$C$28:$C$29))</f>
        <v>807139893.84615386</v>
      </c>
      <c r="G63" s="54">
        <f t="shared" si="0"/>
        <v>0.80713989384615381</v>
      </c>
      <c r="H63" s="97">
        <f>INDEX(prodcom_data[Local production share of available quantity (PRODQNT + IMPQNT) - EU27 - 2022], MATCH(B63, prodcom_data[product], 0))</f>
        <v>0.88632047658515611</v>
      </c>
      <c r="I63" s="48" t="s">
        <v>3017</v>
      </c>
      <c r="J63" s="49" t="s">
        <v>2671</v>
      </c>
      <c r="K63" s="79" t="s">
        <v>3018</v>
      </c>
      <c r="L63" s="79">
        <v>250.25</v>
      </c>
      <c r="M63" s="80" t="s">
        <v>2959</v>
      </c>
      <c r="N63" s="72">
        <f>M63*Calculations!$C$37/L63</f>
        <v>0.71994005994005994</v>
      </c>
      <c r="O63" s="81" t="s">
        <v>3019</v>
      </c>
      <c r="P63" s="59" t="s">
        <v>3036</v>
      </c>
      <c r="Q63" s="58">
        <v>0.88</v>
      </c>
      <c r="R63" s="59" t="s">
        <v>3043</v>
      </c>
      <c r="S63" s="61" cm="1">
        <f t="array" ref="S63">1-SUM(IF(ISNUMBER(P63:Q63), P63:Q63, 0))</f>
        <v>0.12</v>
      </c>
      <c r="T63" s="59"/>
      <c r="U63" s="63"/>
      <c r="V63" s="59" t="s">
        <v>3036</v>
      </c>
      <c r="W63" s="58">
        <v>0.88</v>
      </c>
      <c r="X63" s="59" t="s">
        <v>3043</v>
      </c>
      <c r="Y63" s="61" cm="1">
        <f t="array" ref="Y63">1-SUM(IF(ISNUMBER(V63:W63), V63:W63, 0))</f>
        <v>0.12</v>
      </c>
      <c r="Z63" s="59"/>
      <c r="AA63" s="60"/>
      <c r="AB63" s="59"/>
      <c r="AC63" s="60"/>
      <c r="AD63" s="59"/>
      <c r="AE63" s="60"/>
    </row>
    <row r="64" spans="1:32" x14ac:dyDescent="0.3">
      <c r="A64" s="64">
        <v>56</v>
      </c>
      <c r="B64" s="65" t="s">
        <v>634</v>
      </c>
      <c r="C64" s="64" t="s">
        <v>2819</v>
      </c>
      <c r="D64" s="52" t="s">
        <v>3020</v>
      </c>
      <c r="E64" s="48" t="s">
        <v>3021</v>
      </c>
      <c r="F64" s="56">
        <f>Calculations!C6*(Calculations!C24/(Calculations!C15+Calculations!C24))</f>
        <v>1089108418.3783784</v>
      </c>
      <c r="G64" s="54">
        <f t="shared" si="0"/>
        <v>1.0891084183783784</v>
      </c>
      <c r="H64" s="97">
        <f>INDEX(prodcom_data[Local production share of available quantity (PRODQNT + IMPQNT) - EU27 - 2022], MATCH(B64, prodcom_data[product], 0))</f>
        <v>0.87748442629671652</v>
      </c>
      <c r="I64" s="48" t="s">
        <v>3022</v>
      </c>
      <c r="J64" s="49" t="s">
        <v>2661</v>
      </c>
      <c r="K64" s="79" t="s">
        <v>3023</v>
      </c>
      <c r="L64" s="79">
        <v>224.3</v>
      </c>
      <c r="M64" s="80" t="s">
        <v>2919</v>
      </c>
      <c r="N64" s="72">
        <f>M64*Calculations!$C$37/L64</f>
        <v>0.64258582255907271</v>
      </c>
      <c r="O64" s="81" t="s">
        <v>3024</v>
      </c>
      <c r="P64" s="59" t="s">
        <v>3036</v>
      </c>
      <c r="Q64" s="58">
        <v>0.91</v>
      </c>
      <c r="R64" s="59" t="s">
        <v>3043</v>
      </c>
      <c r="S64" s="61" cm="1">
        <f t="array" ref="S64">1-SUM(IF(ISNUMBER(P64:Q64), P64:Q64, 0))</f>
        <v>8.9999999999999969E-2</v>
      </c>
      <c r="T64" s="59"/>
      <c r="U64" s="63"/>
      <c r="V64" s="59" t="s">
        <v>3036</v>
      </c>
      <c r="W64" s="58">
        <v>0.91</v>
      </c>
      <c r="X64" s="59" t="s">
        <v>3043</v>
      </c>
      <c r="Y64" s="61" cm="1">
        <f t="array" ref="Y64">1-SUM(IF(ISNUMBER(V64:W64), V64:W64, 0))</f>
        <v>8.9999999999999969E-2</v>
      </c>
      <c r="Z64" s="59"/>
      <c r="AA64" s="60"/>
      <c r="AB64" s="59"/>
      <c r="AC64" s="60"/>
      <c r="AD64" s="59"/>
      <c r="AE64" s="60"/>
    </row>
    <row r="65" spans="1:31" x14ac:dyDescent="0.3">
      <c r="A65" s="64">
        <v>57</v>
      </c>
      <c r="B65" s="65" t="s">
        <v>634</v>
      </c>
      <c r="C65" s="64" t="s">
        <v>2819</v>
      </c>
      <c r="D65" s="52" t="s">
        <v>3025</v>
      </c>
      <c r="E65" s="48" t="s">
        <v>3026</v>
      </c>
      <c r="F65" s="56">
        <f>Calculations!C6*(Calculations!C15/(Calculations!C15+Calculations!C24))</f>
        <v>1281304021.6216214</v>
      </c>
      <c r="G65" s="54">
        <f t="shared" si="0"/>
        <v>1.2813040216216214</v>
      </c>
      <c r="H65" s="97">
        <f>INDEX(prodcom_data[Local production share of available quantity (PRODQNT + IMPQNT) - EU27 - 2022], MATCH(B65, prodcom_data[product], 0))</f>
        <v>0.87748442629671652</v>
      </c>
      <c r="I65" s="48" t="s">
        <v>3027</v>
      </c>
      <c r="J65" s="49" t="s">
        <v>2661</v>
      </c>
      <c r="K65" s="79" t="s">
        <v>3028</v>
      </c>
      <c r="L65" s="79">
        <v>582.79999999999995</v>
      </c>
      <c r="M65" s="80" t="s">
        <v>3029</v>
      </c>
      <c r="N65" s="72">
        <f>M65*Calculations!$C$37/L65</f>
        <v>0.61827385037748805</v>
      </c>
      <c r="O65" s="81" t="s">
        <v>3030</v>
      </c>
      <c r="P65" s="59" t="s">
        <v>3036</v>
      </c>
      <c r="Q65" s="58">
        <v>0.91</v>
      </c>
      <c r="R65" s="59" t="s">
        <v>3043</v>
      </c>
      <c r="S65" s="61" cm="1">
        <f t="array" ref="S65">1-SUM(IF(ISNUMBER(P65:Q65), P65:Q65, 0))</f>
        <v>8.9999999999999969E-2</v>
      </c>
      <c r="T65" s="59"/>
      <c r="U65" s="63"/>
      <c r="V65" s="59" t="s">
        <v>3036</v>
      </c>
      <c r="W65" s="58">
        <v>0.91</v>
      </c>
      <c r="X65" s="59" t="s">
        <v>3043</v>
      </c>
      <c r="Y65" s="61" cm="1">
        <f t="array" ref="Y65">1-SUM(IF(ISNUMBER(V65:W65), V65:W65, 0))</f>
        <v>8.9999999999999969E-2</v>
      </c>
      <c r="Z65" s="59"/>
      <c r="AA65" s="60"/>
      <c r="AB65" s="59"/>
      <c r="AC65" s="60"/>
      <c r="AD65" s="59"/>
      <c r="AE65" s="60"/>
    </row>
    <row r="115" spans="32:32" x14ac:dyDescent="0.3">
      <c r="AF115" t="s">
        <v>2658</v>
      </c>
    </row>
  </sheetData>
  <mergeCells count="1">
    <mergeCell ref="F7:G7"/>
  </mergeCell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0"/>
  <sheetViews>
    <sheetView zoomScaleNormal="100" workbookViewId="0"/>
  </sheetViews>
  <sheetFormatPr defaultRowHeight="14.4" x14ac:dyDescent="0.3"/>
  <cols>
    <col min="1" max="1" width="17.5546875" customWidth="1"/>
    <col min="2" max="2" width="29.109375" customWidth="1"/>
    <col min="3" max="3" width="138.88671875" customWidth="1"/>
  </cols>
  <sheetData>
    <row r="1" spans="1:3" x14ac:dyDescent="0.3">
      <c r="A1" s="50" t="s">
        <v>3058</v>
      </c>
      <c r="B1" t="s">
        <v>3059</v>
      </c>
    </row>
    <row r="2" spans="1:3" ht="15" thickBot="1" x14ac:dyDescent="0.35"/>
    <row r="3" spans="1:3" ht="15" thickBot="1" x14ac:dyDescent="0.35">
      <c r="B3" s="38" t="s">
        <v>2770</v>
      </c>
      <c r="C3" s="39" t="s">
        <v>2771</v>
      </c>
    </row>
    <row r="4" spans="1:3" ht="15" thickTop="1" x14ac:dyDescent="0.3">
      <c r="B4" s="83" t="s">
        <v>2772</v>
      </c>
      <c r="C4" s="40" t="s">
        <v>2773</v>
      </c>
    </row>
    <row r="5" spans="1:3" x14ac:dyDescent="0.3">
      <c r="B5" s="83" t="s">
        <v>2774</v>
      </c>
      <c r="C5" s="40" t="s">
        <v>2775</v>
      </c>
    </row>
    <row r="6" spans="1:3" x14ac:dyDescent="0.3">
      <c r="B6" s="83" t="s">
        <v>2776</v>
      </c>
      <c r="C6" s="40" t="s">
        <v>2777</v>
      </c>
    </row>
    <row r="7" spans="1:3" x14ac:dyDescent="0.3">
      <c r="B7" s="83" t="s">
        <v>2778</v>
      </c>
      <c r="C7" s="40" t="s">
        <v>2779</v>
      </c>
    </row>
    <row r="8" spans="1:3" x14ac:dyDescent="0.3">
      <c r="B8" s="83" t="s">
        <v>2780</v>
      </c>
      <c r="C8" s="40" t="s">
        <v>2781</v>
      </c>
    </row>
    <row r="9" spans="1:3" x14ac:dyDescent="0.3">
      <c r="B9" s="83" t="s">
        <v>2782</v>
      </c>
      <c r="C9" s="40" t="s">
        <v>2783</v>
      </c>
    </row>
    <row r="10" spans="1:3" x14ac:dyDescent="0.3">
      <c r="B10" s="83" t="s">
        <v>2784</v>
      </c>
      <c r="C10" s="40" t="s">
        <v>2785</v>
      </c>
    </row>
    <row r="11" spans="1:3" x14ac:dyDescent="0.3">
      <c r="B11" s="83" t="s">
        <v>2786</v>
      </c>
      <c r="C11" s="40" t="s">
        <v>2787</v>
      </c>
    </row>
    <row r="12" spans="1:3" x14ac:dyDescent="0.3">
      <c r="B12" s="83" t="s">
        <v>2788</v>
      </c>
      <c r="C12" s="40" t="s">
        <v>2789</v>
      </c>
    </row>
    <row r="13" spans="1:3" x14ac:dyDescent="0.3">
      <c r="B13" s="83" t="s">
        <v>2790</v>
      </c>
      <c r="C13" s="40" t="s">
        <v>2791</v>
      </c>
    </row>
    <row r="14" spans="1:3" x14ac:dyDescent="0.3">
      <c r="B14" s="83" t="s">
        <v>2792</v>
      </c>
      <c r="C14" s="40" t="s">
        <v>2793</v>
      </c>
    </row>
    <row r="15" spans="1:3" x14ac:dyDescent="0.3">
      <c r="B15" s="83" t="s">
        <v>2794</v>
      </c>
      <c r="C15" s="40" t="s">
        <v>2795</v>
      </c>
    </row>
    <row r="16" spans="1:3" x14ac:dyDescent="0.3">
      <c r="B16" s="83" t="s">
        <v>2796</v>
      </c>
      <c r="C16" s="40" t="s">
        <v>2797</v>
      </c>
    </row>
    <row r="17" spans="2:3" x14ac:dyDescent="0.3">
      <c r="B17" s="83" t="s">
        <v>2798</v>
      </c>
      <c r="C17" s="40" t="s">
        <v>2799</v>
      </c>
    </row>
    <row r="18" spans="2:3" x14ac:dyDescent="0.3">
      <c r="B18" s="83" t="s">
        <v>2800</v>
      </c>
      <c r="C18" s="40" t="s">
        <v>2801</v>
      </c>
    </row>
    <row r="19" spans="2:3" x14ac:dyDescent="0.3">
      <c r="B19" s="83" t="s">
        <v>2802</v>
      </c>
      <c r="C19" s="40" t="s">
        <v>2803</v>
      </c>
    </row>
    <row r="20" spans="2:3" ht="15" thickBot="1" x14ac:dyDescent="0.35">
      <c r="B20" s="84" t="s">
        <v>2804</v>
      </c>
      <c r="C20" s="41" t="s">
        <v>2805</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0" r:id="rId17" xr:uid="{11A438F1-1154-4BD3-B47E-E1AA7F40A56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Filtered Prodcom data</vt:lpstr>
      <vt:lpstr>Calculations</vt:lpstr>
      <vt:lpstr>Hotspot products export</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2026-08-15T20:26:31Z</dcterms:modified>
</cp:coreProperties>
</file>