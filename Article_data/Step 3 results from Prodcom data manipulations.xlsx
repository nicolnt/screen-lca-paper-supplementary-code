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insatoulousefr.sharepoint.com/sites/NicolasLIENART-suiviPhD/Documents partages/Paper 1/Submission/"/>
    </mc:Choice>
  </mc:AlternateContent>
  <xr:revisionPtr revIDLastSave="247" documentId="13_ncr:1_{13C0823D-6418-40B0-9015-95412A242D4F}" xr6:coauthVersionLast="47" xr6:coauthVersionMax="47" xr10:uidLastSave="{D4DC0179-C70F-40B8-AC75-C57FE713B4BE}"/>
  <bookViews>
    <workbookView xWindow="-4788" yWindow="-17388" windowWidth="30936" windowHeight="16776" xr2:uid="{0A07648F-F79D-44B6-8807-D4C506A06A97}"/>
  </bookViews>
  <sheets>
    <sheet name="README" sheetId="6" r:id="rId1"/>
    <sheet name="PRODCOM screening and matching" sheetId="1" r:id="rId2"/>
    <sheet name="Calculations" sheetId="4" r:id="rId3"/>
    <sheet name="Hotspots" sheetId="3" r:id="rId4"/>
    <sheet name="Export" sheetId="5" r:id="rId5"/>
    <sheet name="References" sheetId="2" r:id="rId6"/>
  </sheets>
  <definedNames>
    <definedName name="_20260204___reorganized_annual_series" localSheetId="1">'PRODCOM screening and matching'!$A$4:$M$239</definedName>
    <definedName name="_xlnm._FilterDatabase" localSheetId="1" hidden="1">'PRODCOM screening and matching'!$A$4:$S$239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0" i="4" l="1"/>
  <c r="C4" i="4"/>
  <c r="A2" i="5" l="1"/>
  <c r="B2" i="5"/>
  <c r="C2" i="5"/>
  <c r="E2" i="5"/>
  <c r="F2" i="5"/>
  <c r="H2" i="5"/>
  <c r="A3" i="5"/>
  <c r="B3" i="5"/>
  <c r="C3" i="5"/>
  <c r="E3" i="5"/>
  <c r="F3" i="5"/>
  <c r="G3" i="5"/>
  <c r="H3" i="5"/>
  <c r="A4" i="5"/>
  <c r="B4" i="5"/>
  <c r="C4" i="5"/>
  <c r="E4" i="5"/>
  <c r="F4" i="5"/>
  <c r="G4" i="5"/>
  <c r="H4" i="5"/>
  <c r="A5" i="5"/>
  <c r="B5" i="5"/>
  <c r="C5" i="5"/>
  <c r="E5" i="5"/>
  <c r="F5" i="5"/>
  <c r="H5" i="5"/>
  <c r="A6" i="5"/>
  <c r="B6" i="5"/>
  <c r="C6" i="5"/>
  <c r="E6" i="5"/>
  <c r="F6" i="5"/>
  <c r="G6" i="5"/>
  <c r="H6" i="5"/>
  <c r="A7" i="5"/>
  <c r="B7" i="5"/>
  <c r="C7" i="5"/>
  <c r="E7" i="5"/>
  <c r="F7" i="5"/>
  <c r="G7" i="5"/>
  <c r="H7" i="5"/>
  <c r="A8" i="5"/>
  <c r="B8" i="5"/>
  <c r="C8" i="5"/>
  <c r="E8" i="5"/>
  <c r="F8" i="5"/>
  <c r="G8" i="5"/>
  <c r="H8" i="5"/>
  <c r="A9" i="5"/>
  <c r="B9" i="5"/>
  <c r="C9" i="5"/>
  <c r="E9" i="5"/>
  <c r="F9" i="5"/>
  <c r="H9" i="5"/>
  <c r="A10" i="5"/>
  <c r="B10" i="5"/>
  <c r="C10" i="5"/>
  <c r="E10" i="5"/>
  <c r="F10" i="5"/>
  <c r="G10" i="5"/>
  <c r="H10" i="5"/>
  <c r="A11" i="5"/>
  <c r="B11" i="5"/>
  <c r="C11" i="5"/>
  <c r="E11" i="5"/>
  <c r="F11" i="5"/>
  <c r="G11" i="5"/>
  <c r="H11" i="5"/>
  <c r="A12" i="5"/>
  <c r="B12" i="5"/>
  <c r="C12" i="5"/>
  <c r="E12" i="5"/>
  <c r="F12" i="5"/>
  <c r="G12" i="5"/>
  <c r="H12" i="5"/>
  <c r="A13" i="5"/>
  <c r="B13" i="5"/>
  <c r="C13" i="5"/>
  <c r="E13" i="5"/>
  <c r="F13" i="5"/>
  <c r="H13" i="5"/>
  <c r="A14" i="5"/>
  <c r="B14" i="5"/>
  <c r="C14" i="5"/>
  <c r="E14" i="5"/>
  <c r="F14" i="5"/>
  <c r="G14" i="5"/>
  <c r="H14" i="5"/>
  <c r="A15" i="5"/>
  <c r="B15" i="5"/>
  <c r="C15" i="5"/>
  <c r="E15" i="5"/>
  <c r="F15" i="5"/>
  <c r="G15" i="5"/>
  <c r="H15" i="5"/>
  <c r="A16" i="5"/>
  <c r="B16" i="5"/>
  <c r="C16" i="5"/>
  <c r="E16" i="5"/>
  <c r="F16" i="5"/>
  <c r="H16" i="5"/>
  <c r="A17" i="5"/>
  <c r="B17" i="5"/>
  <c r="C17" i="5"/>
  <c r="E17" i="5"/>
  <c r="F17" i="5"/>
  <c r="G17" i="5"/>
  <c r="H17" i="5"/>
  <c r="A18" i="5"/>
  <c r="B18" i="5"/>
  <c r="C18" i="5"/>
  <c r="E18" i="5"/>
  <c r="F18" i="5"/>
  <c r="G18" i="5"/>
  <c r="H18" i="5"/>
  <c r="A19" i="5"/>
  <c r="B19" i="5"/>
  <c r="C19" i="5"/>
  <c r="E19" i="5"/>
  <c r="F19" i="5"/>
  <c r="H19" i="5"/>
  <c r="A20" i="5"/>
  <c r="B20" i="5"/>
  <c r="C20" i="5"/>
  <c r="E20" i="5"/>
  <c r="F20" i="5"/>
  <c r="H20" i="5"/>
  <c r="A21" i="5"/>
  <c r="B21" i="5"/>
  <c r="C21" i="5"/>
  <c r="E21" i="5"/>
  <c r="F21" i="5"/>
  <c r="G21" i="5"/>
  <c r="H21" i="5"/>
  <c r="A22" i="5"/>
  <c r="B22" i="5"/>
  <c r="C22" i="5"/>
  <c r="E22" i="5"/>
  <c r="F22" i="5"/>
  <c r="G22" i="5"/>
  <c r="H22" i="5"/>
  <c r="A23" i="5"/>
  <c r="B23" i="5"/>
  <c r="C23" i="5"/>
  <c r="E23" i="5"/>
  <c r="F23" i="5"/>
  <c r="G23" i="5"/>
  <c r="H23" i="5"/>
  <c r="A24" i="5"/>
  <c r="B24" i="5"/>
  <c r="C24" i="5"/>
  <c r="E24" i="5"/>
  <c r="F24" i="5"/>
  <c r="G24" i="5"/>
  <c r="H24" i="5"/>
  <c r="A25" i="5"/>
  <c r="B25" i="5"/>
  <c r="C25" i="5"/>
  <c r="E25" i="5"/>
  <c r="F25" i="5"/>
  <c r="G25" i="5"/>
  <c r="H25" i="5"/>
  <c r="A26" i="5"/>
  <c r="B26" i="5"/>
  <c r="C26" i="5"/>
  <c r="E26" i="5"/>
  <c r="F26" i="5"/>
  <c r="G26" i="5"/>
  <c r="H26" i="5"/>
  <c r="A27" i="5"/>
  <c r="B27" i="5"/>
  <c r="C27" i="5"/>
  <c r="E27" i="5"/>
  <c r="F27" i="5"/>
  <c r="G27" i="5"/>
  <c r="H27" i="5"/>
  <c r="A28" i="5"/>
  <c r="B28" i="5"/>
  <c r="C28" i="5"/>
  <c r="E28" i="5"/>
  <c r="F28" i="5"/>
  <c r="G28" i="5"/>
  <c r="H28" i="5"/>
  <c r="A29" i="5"/>
  <c r="B29" i="5"/>
  <c r="C29" i="5"/>
  <c r="E29" i="5"/>
  <c r="F29" i="5"/>
  <c r="G29" i="5"/>
  <c r="H29" i="5"/>
  <c r="A30" i="5"/>
  <c r="B30" i="5"/>
  <c r="C30" i="5"/>
  <c r="E30" i="5"/>
  <c r="F30" i="5"/>
  <c r="G30" i="5"/>
  <c r="H30" i="5"/>
  <c r="A31" i="5"/>
  <c r="B31" i="5"/>
  <c r="C31" i="5"/>
  <c r="E31" i="5"/>
  <c r="F31" i="5"/>
  <c r="G31" i="5"/>
  <c r="H31" i="5"/>
  <c r="A32" i="5"/>
  <c r="B32" i="5"/>
  <c r="C32" i="5"/>
  <c r="E32" i="5"/>
  <c r="F32" i="5"/>
  <c r="G32" i="5"/>
  <c r="H32" i="5"/>
  <c r="A33" i="5"/>
  <c r="B33" i="5"/>
  <c r="C33" i="5"/>
  <c r="E33" i="5"/>
  <c r="F33" i="5"/>
  <c r="G33" i="5"/>
  <c r="H33" i="5"/>
  <c r="A34" i="5"/>
  <c r="B34" i="5"/>
  <c r="C34" i="5"/>
  <c r="E34" i="5"/>
  <c r="F34" i="5"/>
  <c r="G34" i="5"/>
  <c r="H34" i="5"/>
  <c r="A35" i="5"/>
  <c r="B35" i="5"/>
  <c r="C35" i="5"/>
  <c r="E35" i="5"/>
  <c r="F35" i="5"/>
  <c r="G35" i="5"/>
  <c r="H35" i="5"/>
  <c r="A36" i="5"/>
  <c r="B36" i="5"/>
  <c r="C36" i="5"/>
  <c r="E36" i="5"/>
  <c r="F36" i="5"/>
  <c r="G36" i="5"/>
  <c r="H36" i="5"/>
  <c r="A37" i="5"/>
  <c r="B37" i="5"/>
  <c r="C37" i="5"/>
  <c r="E37" i="5"/>
  <c r="F37" i="5"/>
  <c r="G37" i="5"/>
  <c r="H37" i="5"/>
  <c r="A38" i="5"/>
  <c r="B38" i="5"/>
  <c r="C38" i="5"/>
  <c r="E38" i="5"/>
  <c r="F38" i="5"/>
  <c r="G38" i="5"/>
  <c r="H38" i="5"/>
  <c r="A39" i="5"/>
  <c r="B39" i="5"/>
  <c r="C39" i="5"/>
  <c r="E39" i="5"/>
  <c r="F39" i="5"/>
  <c r="G39" i="5"/>
  <c r="H39" i="5"/>
  <c r="A40" i="5"/>
  <c r="B40" i="5"/>
  <c r="C40" i="5"/>
  <c r="E40" i="5"/>
  <c r="F40" i="5"/>
  <c r="G40" i="5"/>
  <c r="H40" i="5"/>
  <c r="A41" i="5"/>
  <c r="B41" i="5"/>
  <c r="C41" i="5"/>
  <c r="E41" i="5"/>
  <c r="F41" i="5"/>
  <c r="G41" i="5"/>
  <c r="H41" i="5"/>
  <c r="A42" i="5"/>
  <c r="B42" i="5"/>
  <c r="C42" i="5"/>
  <c r="E42" i="5"/>
  <c r="F42" i="5"/>
  <c r="G42" i="5"/>
  <c r="H42" i="5"/>
  <c r="A43" i="5"/>
  <c r="B43" i="5"/>
  <c r="C43" i="5"/>
  <c r="E43" i="5"/>
  <c r="F43" i="5"/>
  <c r="G43" i="5"/>
  <c r="H43" i="5"/>
  <c r="A44" i="5"/>
  <c r="B44" i="5"/>
  <c r="C44" i="5"/>
  <c r="E44" i="5"/>
  <c r="F44" i="5"/>
  <c r="G44" i="5"/>
  <c r="H44" i="5"/>
  <c r="A45" i="5"/>
  <c r="B45" i="5"/>
  <c r="C45" i="5"/>
  <c r="E45" i="5"/>
  <c r="F45" i="5"/>
  <c r="G45" i="5"/>
  <c r="H45" i="5"/>
  <c r="A46" i="5"/>
  <c r="B46" i="5"/>
  <c r="C46" i="5"/>
  <c r="E46" i="5"/>
  <c r="F46" i="5"/>
  <c r="G46" i="5"/>
  <c r="H46" i="5"/>
  <c r="A47" i="5"/>
  <c r="B47" i="5"/>
  <c r="C47" i="5"/>
  <c r="E47" i="5"/>
  <c r="F47" i="5"/>
  <c r="G47" i="5"/>
  <c r="H47" i="5"/>
  <c r="A48" i="5"/>
  <c r="B48" i="5"/>
  <c r="C48" i="5"/>
  <c r="E48" i="5"/>
  <c r="F48" i="5"/>
  <c r="H48" i="5"/>
  <c r="A49" i="5"/>
  <c r="B49" i="5"/>
  <c r="C49" i="5"/>
  <c r="E49" i="5"/>
  <c r="F49" i="5"/>
  <c r="G49" i="5"/>
  <c r="H49" i="5"/>
  <c r="A50" i="5"/>
  <c r="B50" i="5"/>
  <c r="C50" i="5"/>
  <c r="E50" i="5"/>
  <c r="F50" i="5"/>
  <c r="G50" i="5"/>
  <c r="H50" i="5"/>
  <c r="A51" i="5"/>
  <c r="B51" i="5"/>
  <c r="C51" i="5"/>
  <c r="E51" i="5"/>
  <c r="F51" i="5"/>
  <c r="G51" i="5"/>
  <c r="H51" i="5"/>
  <c r="A52" i="5"/>
  <c r="B52" i="5"/>
  <c r="C52" i="5"/>
  <c r="E52" i="5"/>
  <c r="F52" i="5"/>
  <c r="G52" i="5"/>
  <c r="H52" i="5"/>
  <c r="A53" i="5"/>
  <c r="B53" i="5"/>
  <c r="C53" i="5"/>
  <c r="E53" i="5"/>
  <c r="F53" i="5"/>
  <c r="G53" i="5"/>
  <c r="H53" i="5"/>
  <c r="A54" i="5"/>
  <c r="B54" i="5"/>
  <c r="C54" i="5"/>
  <c r="E54" i="5"/>
  <c r="F54" i="5"/>
  <c r="G54" i="5"/>
  <c r="H54" i="5"/>
  <c r="A55" i="5"/>
  <c r="B55" i="5"/>
  <c r="C55" i="5"/>
  <c r="E55" i="5"/>
  <c r="F55" i="5"/>
  <c r="G55" i="5"/>
  <c r="H55" i="5"/>
  <c r="A56" i="5"/>
  <c r="B56" i="5"/>
  <c r="C56" i="5"/>
  <c r="E56" i="5"/>
  <c r="F56" i="5"/>
  <c r="H56" i="5"/>
  <c r="A57" i="5"/>
  <c r="B57" i="5"/>
  <c r="C57" i="5"/>
  <c r="E57" i="5"/>
  <c r="F57" i="5"/>
  <c r="G57" i="5"/>
  <c r="H57" i="5"/>
  <c r="A58" i="5"/>
  <c r="B58" i="5"/>
  <c r="C58" i="5"/>
  <c r="E58" i="5"/>
  <c r="F58" i="5"/>
  <c r="G58" i="5"/>
  <c r="H58" i="5"/>
  <c r="A59" i="5"/>
  <c r="B59" i="5"/>
  <c r="C59" i="5"/>
  <c r="E59" i="5"/>
  <c r="F59" i="5"/>
  <c r="G59" i="5"/>
  <c r="H59" i="5"/>
  <c r="A60" i="5"/>
  <c r="B60" i="5"/>
  <c r="C60" i="5"/>
  <c r="E60" i="5"/>
  <c r="F60" i="5"/>
  <c r="G60" i="5"/>
  <c r="H60" i="5"/>
  <c r="B1" i="5"/>
  <c r="C1" i="5"/>
  <c r="D1" i="5"/>
  <c r="E1" i="5"/>
  <c r="F1" i="5"/>
  <c r="G1" i="5"/>
  <c r="H1" i="5"/>
  <c r="I1" i="5"/>
  <c r="A1" i="5"/>
  <c r="D60" i="3"/>
  <c r="D57" i="5" s="1"/>
  <c r="I6" i="3"/>
  <c r="I3" i="5" s="1"/>
  <c r="I7" i="3"/>
  <c r="I4" i="5" s="1"/>
  <c r="I9" i="3"/>
  <c r="I6" i="5" s="1"/>
  <c r="I10" i="3"/>
  <c r="I7" i="5" s="1"/>
  <c r="I11" i="3"/>
  <c r="I8" i="5" s="1"/>
  <c r="I13" i="3"/>
  <c r="I10" i="5" s="1"/>
  <c r="I14" i="3"/>
  <c r="I11" i="5" s="1"/>
  <c r="I15" i="3"/>
  <c r="I12" i="5" s="1"/>
  <c r="I17" i="3"/>
  <c r="I14" i="5" s="1"/>
  <c r="I18" i="3"/>
  <c r="I15" i="5" s="1"/>
  <c r="I20" i="3"/>
  <c r="I17" i="5" s="1"/>
  <c r="I21" i="3"/>
  <c r="I18" i="5" s="1"/>
  <c r="I24" i="3"/>
  <c r="I21" i="5" s="1"/>
  <c r="I25" i="3"/>
  <c r="I22" i="5" s="1"/>
  <c r="I26" i="3"/>
  <c r="I23" i="5" s="1"/>
  <c r="I27" i="3"/>
  <c r="I24" i="5" s="1"/>
  <c r="I28" i="3"/>
  <c r="I25" i="5" s="1"/>
  <c r="I29" i="3"/>
  <c r="I26" i="5" s="1"/>
  <c r="I30" i="3"/>
  <c r="I27" i="5" s="1"/>
  <c r="I31" i="3"/>
  <c r="I28" i="5" s="1"/>
  <c r="I32" i="3"/>
  <c r="I29" i="5" s="1"/>
  <c r="I33" i="3"/>
  <c r="I30" i="5" s="1"/>
  <c r="I34" i="3"/>
  <c r="I31" i="5" s="1"/>
  <c r="I35" i="3"/>
  <c r="I32" i="5" s="1"/>
  <c r="I36" i="3"/>
  <c r="I33" i="5" s="1"/>
  <c r="I37" i="3"/>
  <c r="I34" i="5" s="1"/>
  <c r="I38" i="3"/>
  <c r="I35" i="5" s="1"/>
  <c r="I39" i="3"/>
  <c r="I36" i="5" s="1"/>
  <c r="I40" i="3"/>
  <c r="I37" i="5" s="1"/>
  <c r="I41" i="3"/>
  <c r="I38" i="5" s="1"/>
  <c r="I42" i="3"/>
  <c r="I39" i="5" s="1"/>
  <c r="I43" i="3"/>
  <c r="I40" i="5" s="1"/>
  <c r="I44" i="3"/>
  <c r="I41" i="5" s="1"/>
  <c r="I45" i="3"/>
  <c r="I42" i="5" s="1"/>
  <c r="I46" i="3"/>
  <c r="I43" i="5" s="1"/>
  <c r="I47" i="3"/>
  <c r="I44" i="5" s="1"/>
  <c r="I48" i="3"/>
  <c r="I45" i="5" s="1"/>
  <c r="I49" i="3"/>
  <c r="I46" i="5" s="1"/>
  <c r="I50" i="3"/>
  <c r="I47" i="5" s="1"/>
  <c r="I52" i="3"/>
  <c r="I49" i="5" s="1"/>
  <c r="I53" i="3"/>
  <c r="I50" i="5" s="1"/>
  <c r="I54" i="3"/>
  <c r="I51" i="5" s="1"/>
  <c r="I55" i="3"/>
  <c r="I52" i="5" s="1"/>
  <c r="I56" i="3"/>
  <c r="I53" i="5" s="1"/>
  <c r="I57" i="3"/>
  <c r="I54" i="5" s="1"/>
  <c r="I58" i="3"/>
  <c r="I55" i="5" s="1"/>
  <c r="I60" i="3"/>
  <c r="I57" i="5" s="1"/>
  <c r="I61" i="3"/>
  <c r="I58" i="5" s="1"/>
  <c r="I62" i="3"/>
  <c r="I59" i="5" s="1"/>
  <c r="I63" i="3"/>
  <c r="I60" i="5" s="1"/>
  <c r="G51" i="3"/>
  <c r="G48" i="5" s="1"/>
  <c r="G59" i="3"/>
  <c r="I59" i="3" s="1"/>
  <c r="I56" i="5" s="1"/>
  <c r="G23" i="3"/>
  <c r="G20" i="5" s="1"/>
  <c r="G22" i="3"/>
  <c r="G19" i="5" s="1"/>
  <c r="G19" i="3"/>
  <c r="G16" i="5" s="1"/>
  <c r="G5" i="3"/>
  <c r="G2" i="5" s="1"/>
  <c r="G16" i="3"/>
  <c r="G13" i="5" s="1"/>
  <c r="G8" i="3"/>
  <c r="I8" i="3" s="1"/>
  <c r="I5" i="5" s="1"/>
  <c r="G12" i="3"/>
  <c r="G9" i="5" s="1"/>
  <c r="G5" i="5" l="1"/>
  <c r="I16" i="3"/>
  <c r="I13" i="5" s="1"/>
  <c r="I5" i="3"/>
  <c r="I2" i="5" s="1"/>
  <c r="G56" i="5"/>
  <c r="I22" i="3"/>
  <c r="I19" i="5" s="1"/>
  <c r="I19" i="3"/>
  <c r="I16" i="5" s="1"/>
  <c r="I23" i="3"/>
  <c r="I20" i="5" s="1"/>
  <c r="I12" i="3"/>
  <c r="I9" i="5" s="1"/>
  <c r="I51" i="3"/>
  <c r="I48" i="5" s="1"/>
  <c r="D61" i="3"/>
  <c r="D58" i="5" s="1"/>
  <c r="C20" i="4"/>
  <c r="C19" i="4"/>
  <c r="C9" i="4"/>
  <c r="C11" i="4" s="1"/>
  <c r="D63" i="3" l="1"/>
  <c r="D60" i="5" s="1"/>
  <c r="D62" i="3"/>
  <c r="D59" i="5" s="1"/>
  <c r="N21" i="1"/>
  <c r="N7" i="1"/>
  <c r="N8" i="1"/>
  <c r="N12" i="1"/>
  <c r="N22" i="1"/>
  <c r="N11" i="1"/>
  <c r="N6" i="1"/>
  <c r="N13" i="1"/>
  <c r="N14" i="1"/>
  <c r="N15" i="1"/>
  <c r="N16" i="1"/>
  <c r="N17" i="1"/>
  <c r="N18" i="1"/>
  <c r="N33" i="1"/>
  <c r="N20" i="1"/>
  <c r="N19" i="1"/>
  <c r="N29" i="1"/>
  <c r="N23" i="1"/>
  <c r="N24" i="1"/>
  <c r="N25" i="1"/>
  <c r="N26" i="1"/>
  <c r="N28" i="1"/>
  <c r="N55" i="1"/>
  <c r="N56" i="1"/>
  <c r="N30" i="1"/>
  <c r="N78" i="1"/>
  <c r="N32" i="1"/>
  <c r="N44" i="1"/>
  <c r="N27" i="1"/>
  <c r="N35" i="1"/>
  <c r="N36" i="1"/>
  <c r="N97" i="1"/>
  <c r="N38" i="1"/>
  <c r="N39" i="1"/>
  <c r="N40" i="1"/>
  <c r="N41" i="1"/>
  <c r="N42" i="1"/>
  <c r="N43" i="1"/>
  <c r="N90" i="1"/>
  <c r="N31" i="1"/>
  <c r="N46" i="1"/>
  <c r="N47" i="1"/>
  <c r="N179" i="1"/>
  <c r="N62" i="1"/>
  <c r="N9" i="1"/>
  <c r="N51" i="1"/>
  <c r="N52" i="1"/>
  <c r="N53" i="1"/>
  <c r="N89" i="1"/>
  <c r="N91" i="1"/>
  <c r="N54" i="1"/>
  <c r="N57" i="1"/>
  <c r="N58" i="1"/>
  <c r="N59" i="1"/>
  <c r="N60" i="1"/>
  <c r="N61" i="1"/>
  <c r="N113" i="1"/>
  <c r="N50" i="1"/>
  <c r="N64" i="1"/>
  <c r="N65" i="1"/>
  <c r="N86" i="1"/>
  <c r="N67" i="1"/>
  <c r="N68" i="1"/>
  <c r="N69" i="1"/>
  <c r="N92" i="1"/>
  <c r="N71" i="1"/>
  <c r="N72" i="1"/>
  <c r="N73" i="1"/>
  <c r="N74" i="1"/>
  <c r="N75" i="1"/>
  <c r="N63" i="1"/>
  <c r="N77" i="1"/>
  <c r="N37" i="1"/>
  <c r="N79" i="1"/>
  <c r="N34" i="1"/>
  <c r="N81" i="1"/>
  <c r="N82" i="1"/>
  <c r="N76" i="1"/>
  <c r="N84" i="1"/>
  <c r="N85" i="1"/>
  <c r="N151" i="1"/>
  <c r="N87" i="1"/>
  <c r="N88" i="1"/>
  <c r="N105" i="1"/>
  <c r="N134" i="1"/>
  <c r="N101" i="1"/>
  <c r="N186" i="1"/>
  <c r="N49" i="1"/>
  <c r="N118" i="1"/>
  <c r="N160" i="1"/>
  <c r="N96" i="1"/>
  <c r="N170" i="1"/>
  <c r="N98" i="1"/>
  <c r="N116" i="1"/>
  <c r="N203" i="1"/>
  <c r="N165" i="1"/>
  <c r="N146" i="1"/>
  <c r="N103" i="1"/>
  <c r="N104" i="1"/>
  <c r="N154" i="1"/>
  <c r="N106" i="1"/>
  <c r="N107" i="1"/>
  <c r="N182" i="1"/>
  <c r="N100" i="1"/>
  <c r="N110" i="1"/>
  <c r="N123" i="1"/>
  <c r="N109" i="1"/>
  <c r="N181" i="1"/>
  <c r="N114" i="1"/>
  <c r="N70" i="1"/>
  <c r="N166" i="1"/>
  <c r="N117" i="1"/>
  <c r="N80" i="1"/>
  <c r="N150" i="1"/>
  <c r="N120" i="1"/>
  <c r="N121" i="1"/>
  <c r="N122" i="1"/>
  <c r="N167" i="1"/>
  <c r="N178" i="1"/>
  <c r="N145" i="1"/>
  <c r="N126" i="1"/>
  <c r="N66" i="1"/>
  <c r="N143" i="1"/>
  <c r="N129" i="1"/>
  <c r="N163" i="1"/>
  <c r="N211" i="1"/>
  <c r="N132" i="1"/>
  <c r="N125" i="1"/>
  <c r="N144" i="1"/>
  <c r="N137" i="1"/>
  <c r="N136" i="1"/>
  <c r="N207" i="1"/>
  <c r="N138" i="1"/>
  <c r="N48" i="1"/>
  <c r="N169" i="1"/>
  <c r="N200" i="1"/>
  <c r="N135" i="1"/>
  <c r="N111" i="1"/>
  <c r="N176" i="1"/>
  <c r="N183" i="1"/>
  <c r="N102" i="1"/>
  <c r="N133" i="1"/>
  <c r="N127" i="1"/>
  <c r="N162" i="1"/>
  <c r="N131" i="1"/>
  <c r="N212" i="1"/>
  <c r="N190" i="1"/>
  <c r="N149" i="1"/>
  <c r="N194" i="1"/>
  <c r="N156" i="1"/>
  <c r="N192" i="1"/>
  <c r="N130" i="1"/>
  <c r="N158" i="1"/>
  <c r="N83" i="1"/>
  <c r="N141" i="1"/>
  <c r="N168" i="1"/>
  <c r="N195" i="1"/>
  <c r="N199" i="1"/>
  <c r="N173" i="1"/>
  <c r="N164" i="1"/>
  <c r="N188" i="1"/>
  <c r="N95" i="1"/>
  <c r="N198" i="1"/>
  <c r="N191" i="1"/>
  <c r="N210" i="1"/>
  <c r="N142" i="1"/>
  <c r="N184" i="1"/>
  <c r="N119" i="1"/>
  <c r="N214" i="1"/>
  <c r="N206" i="1"/>
  <c r="N128" i="1"/>
  <c r="N45" i="1"/>
  <c r="N187" i="1"/>
  <c r="N108" i="1"/>
  <c r="N148" i="1"/>
  <c r="N171" i="1"/>
  <c r="N172" i="1"/>
  <c r="N147" i="1"/>
  <c r="N180" i="1"/>
  <c r="N213" i="1"/>
  <c r="N196" i="1"/>
  <c r="N152" i="1"/>
  <c r="N221" i="1"/>
  <c r="N189" i="1"/>
  <c r="N124" i="1"/>
  <c r="N10" i="1"/>
  <c r="N185" i="1"/>
  <c r="N193" i="1"/>
  <c r="N202" i="1"/>
  <c r="N215" i="1"/>
  <c r="N157" i="1"/>
  <c r="N197" i="1"/>
  <c r="N155" i="1"/>
  <c r="N222" i="1"/>
  <c r="N216" i="1"/>
  <c r="N232" i="1"/>
  <c r="N94" i="1"/>
  <c r="N205" i="1"/>
  <c r="N153" i="1"/>
  <c r="N177" i="1"/>
  <c r="N175" i="1"/>
  <c r="N229" i="1"/>
  <c r="N224" i="1"/>
  <c r="N209" i="1"/>
  <c r="N220" i="1"/>
  <c r="N225" i="1"/>
  <c r="N226" i="1"/>
  <c r="N139" i="1"/>
  <c r="N115" i="1"/>
  <c r="N208" i="1"/>
  <c r="N218" i="1"/>
  <c r="N230" i="1"/>
  <c r="N140" i="1"/>
  <c r="N174" i="1"/>
  <c r="N223" i="1"/>
  <c r="N228" i="1"/>
  <c r="N159" i="1"/>
  <c r="N201" i="1"/>
  <c r="N231" i="1"/>
  <c r="N227" i="1"/>
  <c r="N219" i="1"/>
  <c r="N233" i="1"/>
  <c r="N217" i="1"/>
  <c r="N99" i="1"/>
  <c r="N235" i="1"/>
  <c r="N234" i="1"/>
  <c r="N204" i="1"/>
  <c r="N112" i="1"/>
  <c r="N236" i="1"/>
  <c r="N237" i="1"/>
  <c r="N161" i="1"/>
  <c r="N238" i="1"/>
  <c r="N239" i="1"/>
  <c r="N93" i="1"/>
  <c r="N5" i="1"/>
  <c r="P10" i="1" l="1"/>
  <c r="D7" i="3" s="1"/>
  <c r="D4" i="5" s="1"/>
  <c r="P34" i="1"/>
  <c r="D17" i="3" s="1"/>
  <c r="D14" i="5" s="1"/>
  <c r="P138" i="1"/>
  <c r="P208" i="1"/>
  <c r="P222" i="1"/>
  <c r="P236" i="1"/>
  <c r="P171" i="1"/>
  <c r="P53" i="1"/>
  <c r="P9" i="1"/>
  <c r="D6" i="3" s="1"/>
  <c r="D3" i="5" s="1"/>
  <c r="P37" i="1"/>
  <c r="D18" i="3" s="1"/>
  <c r="D15" i="5" s="1"/>
  <c r="P36" i="1"/>
  <c r="P174" i="1"/>
  <c r="P126" i="1"/>
  <c r="P94" i="1"/>
  <c r="D39" i="3" s="1"/>
  <c r="D36" i="5" s="1"/>
  <c r="P120" i="1"/>
  <c r="P19" i="1"/>
  <c r="D10" i="3" s="1"/>
  <c r="D7" i="5" s="1"/>
  <c r="P62" i="1"/>
  <c r="D26" i="3" s="1"/>
  <c r="D23" i="5" s="1"/>
  <c r="P131" i="1"/>
  <c r="D55" i="3" s="1"/>
  <c r="D52" i="5" s="1"/>
  <c r="P97" i="1"/>
  <c r="D41" i="3" s="1"/>
  <c r="D38" i="5" s="1"/>
  <c r="P108" i="1"/>
  <c r="D47" i="3" s="1"/>
  <c r="D44" i="5" s="1"/>
  <c r="P29" i="1"/>
  <c r="D15" i="3" s="1"/>
  <c r="D12" i="5" s="1"/>
  <c r="P99" i="1"/>
  <c r="D42" i="3" s="1"/>
  <c r="D39" i="5" s="1"/>
  <c r="P93" i="1"/>
  <c r="D38" i="3" s="1"/>
  <c r="D35" i="5" s="1"/>
  <c r="P158" i="1"/>
  <c r="P144" i="1"/>
  <c r="P170" i="1"/>
  <c r="P184" i="1"/>
  <c r="P217" i="1"/>
  <c r="P56" i="1"/>
  <c r="D25" i="3" s="1"/>
  <c r="D22" i="5" s="1"/>
  <c r="P200" i="1"/>
  <c r="P80" i="1"/>
  <c r="D31" i="3" s="1"/>
  <c r="D28" i="5" s="1"/>
  <c r="P181" i="1"/>
  <c r="P164" i="1"/>
  <c r="P154" i="1"/>
  <c r="P166" i="1"/>
  <c r="P175" i="1"/>
  <c r="P185" i="1"/>
  <c r="P213" i="1"/>
  <c r="P239" i="1"/>
  <c r="P160" i="1"/>
  <c r="P57" i="1"/>
  <c r="P17" i="1"/>
  <c r="D9" i="3" s="1"/>
  <c r="D6" i="5" s="1"/>
  <c r="P92" i="1"/>
  <c r="D37" i="3" s="1"/>
  <c r="D34" i="5" s="1"/>
  <c r="P102" i="1"/>
  <c r="D45" i="3" s="1"/>
  <c r="D42" i="5" s="1"/>
  <c r="P179" i="1"/>
  <c r="P38" i="1"/>
  <c r="P26" i="1"/>
  <c r="P199" i="1"/>
  <c r="P48" i="1"/>
  <c r="D21" i="3" s="1"/>
  <c r="D18" i="5" s="1"/>
  <c r="P101" i="1"/>
  <c r="D44" i="3" s="1"/>
  <c r="D41" i="5" s="1"/>
  <c r="P135" i="1"/>
  <c r="P74" i="1"/>
  <c r="P161" i="1"/>
  <c r="P65" i="1"/>
  <c r="P231" i="1"/>
  <c r="P59" i="1"/>
  <c r="P192" i="1"/>
  <c r="P195" i="1"/>
  <c r="P81" i="1"/>
  <c r="P140" i="1"/>
  <c r="D57" i="3" s="1"/>
  <c r="D54" i="5" s="1"/>
  <c r="P212" i="1"/>
  <c r="P223" i="1"/>
  <c r="P128" i="1"/>
  <c r="P153" i="1"/>
  <c r="P163" i="1"/>
  <c r="P106" i="1"/>
  <c r="P117" i="1"/>
  <c r="P119" i="1"/>
  <c r="D52" i="3" s="1"/>
  <c r="D49" i="5" s="1"/>
  <c r="P52" i="1"/>
  <c r="P41" i="1"/>
  <c r="P215" i="1"/>
  <c r="P133" i="1"/>
  <c r="P137" i="1"/>
  <c r="P100" i="1"/>
  <c r="D43" i="3" s="1"/>
  <c r="D40" i="5" s="1"/>
  <c r="P70" i="1"/>
  <c r="D29" i="3" s="1"/>
  <c r="D26" i="5" s="1"/>
  <c r="P141" i="1"/>
  <c r="D58" i="3" s="1"/>
  <c r="D55" i="5" s="1"/>
  <c r="P188" i="1"/>
  <c r="P43" i="1"/>
  <c r="P110" i="1"/>
  <c r="P91" i="1"/>
  <c r="D36" i="3" s="1"/>
  <c r="D33" i="5" s="1"/>
  <c r="P152" i="1"/>
  <c r="P109" i="1"/>
  <c r="D48" i="3" s="1"/>
  <c r="D45" i="5" s="1"/>
  <c r="P157" i="1"/>
  <c r="P134" i="1"/>
  <c r="D56" i="3" s="1"/>
  <c r="D53" i="5" s="1"/>
  <c r="P210" i="1"/>
  <c r="P238" i="1"/>
  <c r="P159" i="1"/>
  <c r="P130" i="1"/>
  <c r="P237" i="1"/>
  <c r="P95" i="1"/>
  <c r="D40" i="3" s="1"/>
  <c r="D37" i="5" s="1"/>
  <c r="P177" i="1"/>
  <c r="P207" i="1"/>
  <c r="P25" i="1"/>
  <c r="P27" i="1"/>
  <c r="D13" i="3" s="1"/>
  <c r="D10" i="5" s="1"/>
  <c r="P73" i="1"/>
  <c r="P104" i="1"/>
  <c r="P64" i="1"/>
  <c r="P46" i="1"/>
  <c r="P168" i="1"/>
  <c r="P145" i="1"/>
  <c r="P105" i="1"/>
  <c r="D46" i="3" s="1"/>
  <c r="D43" i="5" s="1"/>
  <c r="P178" i="1"/>
  <c r="P169" i="1"/>
  <c r="P63" i="1"/>
  <c r="D27" i="3" s="1"/>
  <c r="D24" i="5" s="1"/>
  <c r="P218" i="1"/>
  <c r="P186" i="1"/>
  <c r="P182" i="1"/>
  <c r="P180" i="1"/>
  <c r="P165" i="1"/>
  <c r="P173" i="1"/>
  <c r="P82" i="1"/>
  <c r="P146" i="1"/>
  <c r="P67" i="1"/>
  <c r="P228" i="1"/>
  <c r="P234" i="1"/>
  <c r="P205" i="1"/>
  <c r="P190" i="1"/>
  <c r="P111" i="1"/>
  <c r="D49" i="3" s="1"/>
  <c r="D46" i="5" s="1"/>
  <c r="P220" i="1"/>
  <c r="P71" i="1"/>
  <c r="P219" i="1"/>
  <c r="P139" i="1"/>
  <c r="P55" i="1"/>
  <c r="P221" i="1"/>
  <c r="P85" i="1"/>
  <c r="P87" i="1"/>
  <c r="P60" i="1"/>
  <c r="P72" i="1"/>
  <c r="P129" i="1"/>
  <c r="P198" i="1"/>
  <c r="P136" i="1"/>
  <c r="P209" i="1"/>
  <c r="P115" i="1"/>
  <c r="P75" i="1"/>
  <c r="P88" i="1"/>
  <c r="P172" i="1"/>
  <c r="P84" i="1"/>
  <c r="P66" i="1"/>
  <c r="D28" i="3" s="1"/>
  <c r="D25" i="5" s="1"/>
  <c r="P216" i="1"/>
  <c r="P112" i="1"/>
  <c r="D50" i="3" s="1"/>
  <c r="D47" i="5" s="1"/>
  <c r="P150" i="1"/>
  <c r="P214" i="1"/>
  <c r="P227" i="1"/>
  <c r="P235" i="1"/>
  <c r="P121" i="1"/>
  <c r="P54" i="1"/>
  <c r="D24" i="3" s="1"/>
  <c r="D21" i="5" s="1"/>
  <c r="P151" i="1"/>
  <c r="P201" i="1"/>
  <c r="P202" i="1"/>
  <c r="P187" i="1"/>
  <c r="P191" i="1"/>
  <c r="P229" i="1"/>
  <c r="P211" i="1"/>
  <c r="P233" i="1"/>
  <c r="P232" i="1"/>
  <c r="P167" i="1"/>
  <c r="P15" i="1"/>
  <c r="P204" i="1"/>
  <c r="P196" i="1"/>
  <c r="P124" i="1"/>
  <c r="D53" i="3" s="1"/>
  <c r="D50" i="5" s="1"/>
  <c r="P35" i="1"/>
  <c r="P230" i="1"/>
  <c r="P194" i="1"/>
  <c r="P206" i="1"/>
  <c r="P83" i="1"/>
  <c r="D32" i="3" s="1"/>
  <c r="D29" i="5" s="1"/>
  <c r="P45" i="1"/>
  <c r="D20" i="3" s="1"/>
  <c r="D17" i="5" s="1"/>
  <c r="P143" i="1"/>
  <c r="P226" i="1"/>
  <c r="P224" i="1"/>
  <c r="P197" i="1"/>
  <c r="P225" i="1"/>
  <c r="P51" i="1"/>
  <c r="P24" i="1"/>
  <c r="P189" i="1"/>
  <c r="P162" i="1"/>
  <c r="P98" i="1"/>
  <c r="P148" i="1"/>
  <c r="P122" i="1"/>
  <c r="P47" i="1"/>
  <c r="P8" i="1"/>
  <c r="P193" i="1"/>
  <c r="P5" i="1"/>
  <c r="P32" i="1"/>
  <c r="P132" i="1"/>
  <c r="P68" i="1"/>
  <c r="P31" i="1"/>
  <c r="D16" i="3" s="1"/>
  <c r="D13" i="5" s="1"/>
  <c r="P22" i="1"/>
  <c r="D12" i="3" s="1"/>
  <c r="D9" i="5" s="1"/>
  <c r="P12" i="1"/>
  <c r="D8" i="3" s="1"/>
  <c r="D5" i="5" s="1"/>
  <c r="P90" i="1"/>
  <c r="D35" i="3" s="1"/>
  <c r="D32" i="5" s="1"/>
  <c r="P11" i="1"/>
  <c r="P49" i="1"/>
  <c r="D22" i="3" s="1"/>
  <c r="D19" i="5" s="1"/>
  <c r="P44" i="1"/>
  <c r="D19" i="3" s="1"/>
  <c r="D16" i="5" s="1"/>
  <c r="P147" i="1"/>
  <c r="P78" i="1"/>
  <c r="D30" i="3" s="1"/>
  <c r="D27" i="5" s="1"/>
  <c r="P30" i="1"/>
  <c r="P21" i="1"/>
  <c r="D11" i="3" s="1"/>
  <c r="D8" i="5" s="1"/>
  <c r="P118" i="1"/>
  <c r="P89" i="1"/>
  <c r="D34" i="3" s="1"/>
  <c r="D31" i="5" s="1"/>
  <c r="P103" i="1"/>
  <c r="P176" i="1"/>
  <c r="P77" i="1"/>
  <c r="P113" i="1"/>
  <c r="D51" i="3" s="1"/>
  <c r="D48" i="5" s="1"/>
  <c r="P16" i="1"/>
  <c r="P107" i="1"/>
  <c r="P61" i="1"/>
  <c r="P123" i="1"/>
  <c r="P28" i="1"/>
  <c r="D14" i="3" s="1"/>
  <c r="D11" i="5" s="1"/>
  <c r="P86" i="1"/>
  <c r="D33" i="3" s="1"/>
  <c r="D30" i="5" s="1"/>
  <c r="P69" i="1"/>
  <c r="P149" i="1"/>
  <c r="P20" i="1"/>
  <c r="P6" i="1"/>
  <c r="D5" i="3" s="1"/>
  <c r="D2" i="5" s="1"/>
  <c r="P7" i="1"/>
  <c r="P50" i="1"/>
  <c r="D23" i="3" s="1"/>
  <c r="D20" i="5" s="1"/>
  <c r="P125" i="1"/>
  <c r="D54" i="3" s="1"/>
  <c r="D51" i="5" s="1"/>
  <c r="P116" i="1"/>
  <c r="P142" i="1"/>
  <c r="D59" i="3" s="1"/>
  <c r="D56" i="5" s="1"/>
  <c r="P13" i="1"/>
  <c r="P33" i="1"/>
  <c r="P58" i="1"/>
  <c r="P39" i="1"/>
  <c r="P114" i="1"/>
  <c r="P14" i="1"/>
  <c r="P79" i="1"/>
  <c r="P18" i="1"/>
  <c r="P76" i="1"/>
  <c r="P40" i="1"/>
  <c r="P23" i="1"/>
  <c r="P203" i="1"/>
  <c r="P42" i="1"/>
  <c r="P155" i="1"/>
  <c r="P127" i="1"/>
  <c r="P156" i="1"/>
  <c r="P183" i="1"/>
  <c r="P9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O32" authorId="0" shapeId="0" xr:uid="{C9D1FB4C-7A0B-43E8-A794-059299C417D2}">
      <text>
        <r>
          <rPr>
            <b/>
            <sz val="9"/>
            <color indexed="81"/>
            <rFont val="Tahoma"/>
            <family val="2"/>
          </rPr>
          <t>Nicolas Lienart:</t>
        </r>
        <r>
          <rPr>
            <sz val="9"/>
            <color indexed="81"/>
            <rFont val="Tahoma"/>
            <family val="2"/>
          </rPr>
          <t xml:space="preserve">
Source : 04-02-2026 - https://pubchem.ncbi.nlm.nih.gov/compound/Ethanol#section=Density&amp;fullscreen=true</t>
        </r>
      </text>
    </comment>
    <comment ref="O132" authorId="0" shapeId="0" xr:uid="{143864AF-F3D4-43BA-B5F5-035105BEEE3C}">
      <text>
        <r>
          <rPr>
            <b/>
            <sz val="9"/>
            <color indexed="81"/>
            <rFont val="Tahoma"/>
            <family val="2"/>
          </rPr>
          <t>Nicolas Lienart:</t>
        </r>
        <r>
          <rPr>
            <sz val="9"/>
            <color indexed="81"/>
            <rFont val="Tahoma"/>
            <family val="2"/>
          </rPr>
          <t xml:space="preserve">
Source : 04-02-2026 - https://pubchem.ncbi.nlm.nih.gov/compound/Ethanol#section=Density&amp;fullscreen=true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B3D067-C38C-49F3-B2B3-1705B5AB5AD8}" name="20260204 - reorganized annual_series" type="6" refreshedVersion="7" background="1" saveData="1">
    <textPr codePage="65001" sourceFile="\\wsl.localhost\Ubuntu\home\nicolas\projects\202507-paper-1-selection-method\PRODCOM data extraction\20260204 - reorganized annual_series.csv" thousands=" " tab="0" comma="1">
      <textFields count="13">
        <textField/>
        <textField/>
        <textField type="text"/>
        <textField/>
        <textField/>
        <textField type="text"/>
        <textField/>
        <textField/>
        <textField type="text"/>
        <textField/>
        <textField/>
        <textField type="text"/>
        <textField/>
      </textFields>
    </textPr>
  </connection>
</connections>
</file>

<file path=xl/sharedStrings.xml><?xml version="1.0" encoding="utf-8"?>
<sst xmlns="http://schemas.openxmlformats.org/spreadsheetml/2006/main" count="3147" uniqueCount="902">
  <si>
    <t>freq</t>
  </si>
  <si>
    <t>reporter</t>
  </si>
  <si>
    <t>product</t>
  </si>
  <si>
    <t>product label</t>
  </si>
  <si>
    <t>PRODQNT value</t>
  </si>
  <si>
    <t>PRODQNT year</t>
  </si>
  <si>
    <t>PRODQNT unit</t>
  </si>
  <si>
    <t>EXPQNT value</t>
  </si>
  <si>
    <t>EXPQNT year</t>
  </si>
  <si>
    <t>EXPQNT unit</t>
  </si>
  <si>
    <t>IMPQNT value</t>
  </si>
  <si>
    <t>IMPQNT year</t>
  </si>
  <si>
    <t>IMPQNT unit</t>
  </si>
  <si>
    <t>A</t>
  </si>
  <si>
    <t>EU27_2020</t>
  </si>
  <si>
    <t>20141120</t>
  </si>
  <si>
    <t>Saturated acyclic hydrocarbons</t>
  </si>
  <si>
    <t>2024</t>
  </si>
  <si>
    <t>KG</t>
  </si>
  <si>
    <t>20141130</t>
  </si>
  <si>
    <t>Ethylene</t>
  </si>
  <si>
    <t>20141140</t>
  </si>
  <si>
    <t>Propene (propylene)</t>
  </si>
  <si>
    <t>20141150</t>
  </si>
  <si>
    <t>Butene (butylene) and isomers thereof</t>
  </si>
  <si>
    <t>20141160</t>
  </si>
  <si>
    <t>Buta-1,3-diene and isoprene</t>
  </si>
  <si>
    <t>20141165</t>
  </si>
  <si>
    <t>Unsaturated acyclic hydrocarbons; buta-1.3-diene</t>
  </si>
  <si>
    <t>2008</t>
  </si>
  <si>
    <t>20141167</t>
  </si>
  <si>
    <t>Unsaturated acyclic hydrocarbons; Isoprene</t>
  </si>
  <si>
    <t>20141190</t>
  </si>
  <si>
    <t>Unsaturated acyclic hydrocarbons (excluding ethylene, propene, butene, buta-1,3-diene and isoprene)</t>
  </si>
  <si>
    <t>20141213</t>
  </si>
  <si>
    <t>Cyclohexane</t>
  </si>
  <si>
    <t>20141215</t>
  </si>
  <si>
    <t>Cyclanes; cyclenes and cycloterpenes (excluding cyclohexane)</t>
  </si>
  <si>
    <t>20141223</t>
  </si>
  <si>
    <t>Benzene</t>
  </si>
  <si>
    <t>20141225</t>
  </si>
  <si>
    <t>Toluene</t>
  </si>
  <si>
    <t>20141243</t>
  </si>
  <si>
    <t>o-Xylene</t>
  </si>
  <si>
    <t>20141245</t>
  </si>
  <si>
    <t>p-Xylene</t>
  </si>
  <si>
    <t>20141247</t>
  </si>
  <si>
    <t>m-Xylene and mixed xylene isomers</t>
  </si>
  <si>
    <t>20141250</t>
  </si>
  <si>
    <t>Styrene</t>
  </si>
  <si>
    <t>20141260</t>
  </si>
  <si>
    <t>Ethylbenzene</t>
  </si>
  <si>
    <t>20141270</t>
  </si>
  <si>
    <t>Cumene</t>
  </si>
  <si>
    <t>20141290</t>
  </si>
  <si>
    <t>Other cyclic hydrocarbons</t>
  </si>
  <si>
    <t>20141313</t>
  </si>
  <si>
    <t>Chloromethane (methyl chloride) and chloroethane (ethyl chloride)</t>
  </si>
  <si>
    <t>20141315</t>
  </si>
  <si>
    <t>Dichloromethane (methylene chloride)</t>
  </si>
  <si>
    <t>20141323</t>
  </si>
  <si>
    <t>Chloroform (trichloromethane)</t>
  </si>
  <si>
    <t>20141325</t>
  </si>
  <si>
    <t>Carbon tetrachloride</t>
  </si>
  <si>
    <t>20141353</t>
  </si>
  <si>
    <t>1,2-Dichloroethane (ethylene dichloride)</t>
  </si>
  <si>
    <t>20141357</t>
  </si>
  <si>
    <t>Saturated chlorinated derivatives of acyclic hydrocarbons, n.e.c.</t>
  </si>
  <si>
    <t>20141371</t>
  </si>
  <si>
    <t>Vinyl chloride (chloroethylene)</t>
  </si>
  <si>
    <t>20141374</t>
  </si>
  <si>
    <t>Trichloroethylene; tetrachloroethylene (perchloroethylene)</t>
  </si>
  <si>
    <t>20141379</t>
  </si>
  <si>
    <t>Unsaturated chlorinated derivatives of acyclic hydrocarbons (excluding vinyl chloride, trichloroethylene, tetrachloroethylene)</t>
  </si>
  <si>
    <t>20141450</t>
  </si>
  <si>
    <t>Derivatives of hydrocarbons containing only sulpho groups; their salts and ethyl esters</t>
  </si>
  <si>
    <t>20141470</t>
  </si>
  <si>
    <t>Derivatives of hydrocarbons containing only nitro or only nitroso groups</t>
  </si>
  <si>
    <t>20141490</t>
  </si>
  <si>
    <t>Derivatives of hydrocarbons (excluding those containing only sulpho groups; their salts and ethyl esters, those containing only nitro or only nitroso groups)</t>
  </si>
  <si>
    <t>20141910</t>
  </si>
  <si>
    <t>Fluorinated; brominated or iodinated derivatives of acyclic hydrocarbons</t>
  </si>
  <si>
    <t>20141930</t>
  </si>
  <si>
    <t>Halogenated derivatives of acyclic hydrocarbons containing &gt;= 2 different halogens</t>
  </si>
  <si>
    <t>20141950</t>
  </si>
  <si>
    <t>Halogenated derivatives of cyclanic, cyclenic or cycloterpenic hydrocarbons</t>
  </si>
  <si>
    <t>20141970</t>
  </si>
  <si>
    <t>Halogenated derivatives of aromatic hydrocarbons</t>
  </si>
  <si>
    <t>20142100</t>
  </si>
  <si>
    <t>Industrial fatty alcohols</t>
  </si>
  <si>
    <t>20142210</t>
  </si>
  <si>
    <t>Methanol (methyl alcohol)</t>
  </si>
  <si>
    <t>20142220</t>
  </si>
  <si>
    <t>Propan-1-ol (propyl alcohol) and propan-2-ol (isopropyl alcohol)</t>
  </si>
  <si>
    <t>20142230</t>
  </si>
  <si>
    <t>Butan-1-ol (n-butyl alcohol)</t>
  </si>
  <si>
    <t>20142240</t>
  </si>
  <si>
    <t>Butanols (excluding butan-1-ol (n-butyl alcohol))</t>
  </si>
  <si>
    <t>20142263</t>
  </si>
  <si>
    <t>Octanol (octyl alcohol) and isomers thereof</t>
  </si>
  <si>
    <t>20142265</t>
  </si>
  <si>
    <t>Lauryl alcohol; cetyl alcohol; stearyl alcohol and other saturated monohydric alcohols (excluding methyl, propyl and isopropyl, n-butyl, other butanols, octyl)</t>
  </si>
  <si>
    <t>20142270</t>
  </si>
  <si>
    <t>Unsaturated monohydric alcohols</t>
  </si>
  <si>
    <t>20142310</t>
  </si>
  <si>
    <t>Ethylene glycol (ethanediol)</t>
  </si>
  <si>
    <t>20142320</t>
  </si>
  <si>
    <t>Propylene glycol (propane-1,2-diol)</t>
  </si>
  <si>
    <t>20142333</t>
  </si>
  <si>
    <t>D-glucitol (sorbitol)</t>
  </si>
  <si>
    <t>20142337</t>
  </si>
  <si>
    <t>Diols and polyhydric alcohols (excluding ethylene glycol and propylene glycol, D-glucitol and tetramethylene glycol having a bio-based carbon content of 100 % by mass)</t>
  </si>
  <si>
    <t>20142338</t>
  </si>
  <si>
    <t>Butane-1,4-diol or tetramethylene glycol (1,4-butanediol) having a bio-based carbon content of 100 % by mass</t>
  </si>
  <si>
    <t>20142339</t>
  </si>
  <si>
    <t>Diols and polyhydric alcohols (excluding ethylene glycol and propylene glycol, D-glucitol)</t>
  </si>
  <si>
    <t>2015</t>
  </si>
  <si>
    <t>20142350</t>
  </si>
  <si>
    <t>Halogenated, sulphonated, nitrated or nitrosated derivatives of acyclic alcohols</t>
  </si>
  <si>
    <t>20142360</t>
  </si>
  <si>
    <t>Glycerol (including synthetic; excluding crude, waters and lyes)</t>
  </si>
  <si>
    <t>20142373</t>
  </si>
  <si>
    <t>Cyclanic, cyclenic or cycloterpenic alcohols and their halogenated, sulphonated, nitrated or nitrosated derivatives</t>
  </si>
  <si>
    <t>20142375</t>
  </si>
  <si>
    <t>Aromatic alcohols and their halogenated, sulphonated, nitrated or nitrosated derivatives</t>
  </si>
  <si>
    <t>20142410</t>
  </si>
  <si>
    <t>Monophenols</t>
  </si>
  <si>
    <t>20142433</t>
  </si>
  <si>
    <t>4,4-Isopropylidenediphenol (bisphenol A; diphenylolpropane) and its salts</t>
  </si>
  <si>
    <t>20142439</t>
  </si>
  <si>
    <t>Polyphenols (including salts; excluding 4,4 isopropylidenediphenol) and phenol-alcohols</t>
  </si>
  <si>
    <t>20142450</t>
  </si>
  <si>
    <t>Halogenated, sulphonated, nitrated or nitrosated derivatives of phenols or phenol-alcohols</t>
  </si>
  <si>
    <t>20143120</t>
  </si>
  <si>
    <t>Industrial stearic acid</t>
  </si>
  <si>
    <t>20143130</t>
  </si>
  <si>
    <t>Industrial oleic acid</t>
  </si>
  <si>
    <t>20143150</t>
  </si>
  <si>
    <t>Industrial tall oil fatty acids</t>
  </si>
  <si>
    <t>20143195</t>
  </si>
  <si>
    <t>Industrial monocarboxylic fatty acids distilled (excluding stearic, oleic tall oil)</t>
  </si>
  <si>
    <t>20143197</t>
  </si>
  <si>
    <t>Industrial monocarboxylic fatty acids (excluding stearic, oleic, tall oil, distilled)</t>
  </si>
  <si>
    <t>20143215</t>
  </si>
  <si>
    <t>Ethyl acetate</t>
  </si>
  <si>
    <t>20143219</t>
  </si>
  <si>
    <t>Esters of acetic acid (excluding ethyl acetate)</t>
  </si>
  <si>
    <t>20143220</t>
  </si>
  <si>
    <t>Mono-, di- or tri-chloroacetic acids; propionic, butanoic and pentanoic acids; their salts and esters</t>
  </si>
  <si>
    <t>20143230</t>
  </si>
  <si>
    <t>Palmitic acid, its salts and esters</t>
  </si>
  <si>
    <t>20143235</t>
  </si>
  <si>
    <t>Palmitic acid, stearic acid, their salts and esters</t>
  </si>
  <si>
    <t>20143240</t>
  </si>
  <si>
    <t>Stearic acid, its salts and esters</t>
  </si>
  <si>
    <t>20143250</t>
  </si>
  <si>
    <t>Formic acid, its salts and esters</t>
  </si>
  <si>
    <t>20143271</t>
  </si>
  <si>
    <t>Acetic acid</t>
  </si>
  <si>
    <t>20143277</t>
  </si>
  <si>
    <t>Acetic anhydride</t>
  </si>
  <si>
    <t>20143278</t>
  </si>
  <si>
    <t>Salts of acetic acid</t>
  </si>
  <si>
    <t>20143280</t>
  </si>
  <si>
    <t>Lauric acid and others; salts and esters</t>
  </si>
  <si>
    <t>20143310</t>
  </si>
  <si>
    <t>Acrylic acid and its salts and other monocarboxylic acid</t>
  </si>
  <si>
    <t>20143320</t>
  </si>
  <si>
    <t>Esters of acrylic acid</t>
  </si>
  <si>
    <t>20143330</t>
  </si>
  <si>
    <t>Methacrylic acid and its salts</t>
  </si>
  <si>
    <t>20143340</t>
  </si>
  <si>
    <t>Esters of methacrylic acid</t>
  </si>
  <si>
    <t>20143350</t>
  </si>
  <si>
    <t>Oleic, linoleic or linolenic acids; their salts and esters</t>
  </si>
  <si>
    <t>20143363</t>
  </si>
  <si>
    <t>Benzoic acid; its salts and esters</t>
  </si>
  <si>
    <t>20143365</t>
  </si>
  <si>
    <t>Benzoyl peroxide and benzoyl chloride</t>
  </si>
  <si>
    <t>20143367</t>
  </si>
  <si>
    <t>Phenylacetic acid; its salts and esters</t>
  </si>
  <si>
    <t>20143370</t>
  </si>
  <si>
    <t>Aromatic monocarboxylic acids, (anhydrides), halides, peroxides, peroxyacids, derivatives excluding benzoic acid, phenylacetic acids their salts/esters, benzoyl peroxide, benzoyl chloride</t>
  </si>
  <si>
    <t>20143381</t>
  </si>
  <si>
    <t>Oxalic, azelaic, malonic, other, cyclanic, cylenic or cycloterpenic polycarboxylic acids, salts (excluding butanedioic acid having a bio-based carbon content of 100 % by mass)</t>
  </si>
  <si>
    <t>20143382</t>
  </si>
  <si>
    <t>Ethane-1,2-dicarboxylic acid or butanedioic acid (succinic acid) having a bio-based carbon content of 100 % by mass</t>
  </si>
  <si>
    <t>20143383</t>
  </si>
  <si>
    <t>Oxalic, azelaic, malonic, other, cyclanic, cylenic or cycloterpenic polycarboxylic acids, salts</t>
  </si>
  <si>
    <t>20143385</t>
  </si>
  <si>
    <t>Adipic acid; its salts and esters</t>
  </si>
  <si>
    <t>20143387</t>
  </si>
  <si>
    <t>Maleic anhydride</t>
  </si>
  <si>
    <t>20143410</t>
  </si>
  <si>
    <t>Dibutyl and dioctyl orthophthalates</t>
  </si>
  <si>
    <t>2011</t>
  </si>
  <si>
    <t>20143420</t>
  </si>
  <si>
    <t>Other esters of orthophthalic acid</t>
  </si>
  <si>
    <t>20143430</t>
  </si>
  <si>
    <t>Phthalic anhydride; terephthalic acid and its salts</t>
  </si>
  <si>
    <t>20143440</t>
  </si>
  <si>
    <t>Aromatic polycarboxylic acids, their anhydrides, halides, peroxides, peroxyacids and their halogenated, sulphonated, nitrated or nitrosated derivatives (excluding esters of orthophthalic acid, phthalic anhydride, terephthalic acid and its salts)</t>
  </si>
  <si>
    <t>20143473</t>
  </si>
  <si>
    <t>Citric acid and its salts and esters</t>
  </si>
  <si>
    <t>20143475</t>
  </si>
  <si>
    <t>Carboxylic acid with alcohol, phenol, aldehyde or ketone functions</t>
  </si>
  <si>
    <t>201434Z1</t>
  </si>
  <si>
    <t>Esters of orthophthalic acid</t>
  </si>
  <si>
    <t>20144113</t>
  </si>
  <si>
    <t>Methylamine; di- or trimethylamine and their salts</t>
  </si>
  <si>
    <t>20144119</t>
  </si>
  <si>
    <t>Other acylic monoamines and their derivatives; salts thereof</t>
  </si>
  <si>
    <t>20144123</t>
  </si>
  <si>
    <t>Hexamethylenediamine and its salts; ethylenediamine and its salts</t>
  </si>
  <si>
    <t>20144129</t>
  </si>
  <si>
    <t>Other acyclic polyamines and their derivatives; salts thereof</t>
  </si>
  <si>
    <t>20144130</t>
  </si>
  <si>
    <t>Cyclanic, cyclenic or cycloterpenic mono- or polyamines, and their derivatives; salts thereof</t>
  </si>
  <si>
    <t>20144151</t>
  </si>
  <si>
    <t>Aniline and its salts (excluding derivatives)</t>
  </si>
  <si>
    <t>20144153</t>
  </si>
  <si>
    <t>Aniline derivatives and their salts</t>
  </si>
  <si>
    <t>20144159</t>
  </si>
  <si>
    <t>Other aromatic monoamines and their derivatives; salts thereof</t>
  </si>
  <si>
    <t>20144170</t>
  </si>
  <si>
    <t>Aromatic polyamines and their derivatives; salts thereof</t>
  </si>
  <si>
    <t>20144233</t>
  </si>
  <si>
    <t>Monoethanolamine and its salts</t>
  </si>
  <si>
    <t>20144235</t>
  </si>
  <si>
    <t>Diethanolamine and its salts</t>
  </si>
  <si>
    <t>20144237</t>
  </si>
  <si>
    <t>Triethanolamine and its salts</t>
  </si>
  <si>
    <t>2016</t>
  </si>
  <si>
    <t>20144238</t>
  </si>
  <si>
    <t>Amino-alcohols, their ethers and esters with only 1 oxygen function and their salts (excluding monoethanolamine and its salts, diethanolamine and its salts)</t>
  </si>
  <si>
    <t>20144239</t>
  </si>
  <si>
    <t>Amino-alcohols, their ethers and esters with only 1 oxygen function and their salts (excluding monoethanolamine and its salts, diethanolamine and its salts, triethanolamine and its salts)</t>
  </si>
  <si>
    <t>20144290</t>
  </si>
  <si>
    <t>Oxygen-function amino-compounds (excluding amino-alcohols, their esters and ethers and salts thereof, lysine and its salts and esters, glutamic acid its salts and esters)</t>
  </si>
  <si>
    <t>20144310</t>
  </si>
  <si>
    <t>Ureines and their derivatives; salts thereof</t>
  </si>
  <si>
    <t>20144320</t>
  </si>
  <si>
    <t>Saccharin and its salts</t>
  </si>
  <si>
    <t>20144330</t>
  </si>
  <si>
    <t>Imides and their derivatives, and salts thereof (excluding saccharin and its salts)</t>
  </si>
  <si>
    <t>20144340</t>
  </si>
  <si>
    <t>Imines and their derivatives; and salts thereof</t>
  </si>
  <si>
    <t>20144350</t>
  </si>
  <si>
    <t>Acrylonitrile</t>
  </si>
  <si>
    <t>20144360</t>
  </si>
  <si>
    <t>1-Cyanoguanidine (dicyandiamide)</t>
  </si>
  <si>
    <t>20144370</t>
  </si>
  <si>
    <t>Nitrile-function compounds (excluding acrylonitrile, 1-cyanoguanidine (dicyandiamide))</t>
  </si>
  <si>
    <t>20144420</t>
  </si>
  <si>
    <t>Diazo-, azo- or azoxy-compounds</t>
  </si>
  <si>
    <t>20144430</t>
  </si>
  <si>
    <t>Organic derivatives of hydrazine or of hydroxylamine</t>
  </si>
  <si>
    <t>20144450</t>
  </si>
  <si>
    <t>Isocyanates</t>
  </si>
  <si>
    <t>20144490</t>
  </si>
  <si>
    <t>Compounds with other nitrogen function (excluding isocyanates)</t>
  </si>
  <si>
    <t>20145133</t>
  </si>
  <si>
    <t>Thiocarbamates and dithiocarbamates; thiuram mono-, di- or tetrasulphides; methionine</t>
  </si>
  <si>
    <t>20145139</t>
  </si>
  <si>
    <t>Other organo-sulphur compounds</t>
  </si>
  <si>
    <t>20145150</t>
  </si>
  <si>
    <t>Organo-inorganic compounds (excluding organo-sulphur compounds)</t>
  </si>
  <si>
    <t>2014</t>
  </si>
  <si>
    <t>20145151</t>
  </si>
  <si>
    <t>20145210</t>
  </si>
  <si>
    <t>Heterocyclic compounds with oxygen only hetero-atom(s) (including coumarin; methylcoumarins and ethylcoumarins) (excluding other lactones)</t>
  </si>
  <si>
    <t>20145215</t>
  </si>
  <si>
    <t>Tetrahydrofuran, 2-Furaldehyde, Furfuryl alcohol, Tetrahydrofurfuryl alcohol and Piperonal</t>
  </si>
  <si>
    <t>20145225</t>
  </si>
  <si>
    <t>Heterocyclic compounds with oxygen only hetero-atom(s) (excluding other lactones)</t>
  </si>
  <si>
    <t>20145230</t>
  </si>
  <si>
    <t>Heterocyclic compounds with nitrogen only hetero-atom(s); containing an unfused imidazole ring (excluding hydantoin and its derivatives)</t>
  </si>
  <si>
    <t>20145260</t>
  </si>
  <si>
    <t>Melamine</t>
  </si>
  <si>
    <t>20145280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</si>
  <si>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</si>
  <si>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20145290</t>
  </si>
  <si>
    <t>Nucleic acids and other heterocyclic compounds - thiazole, benzothiazole, other cycles</t>
  </si>
  <si>
    <t>20145350</t>
  </si>
  <si>
    <t>Phosphoric esters; and their salts (including lactophosphates; their halogenated; sulphonated; nitrated or nitrosated derivatives)</t>
  </si>
  <si>
    <t>20145380</t>
  </si>
  <si>
    <t>Esters of other inorganic acids of non-metals (excluding esters of hydrogen halides) and their salts; their halogenated, sulphonated, nitrated or nitrosated derivatives</t>
  </si>
  <si>
    <t>20146111</t>
  </si>
  <si>
    <t>Methanal (formaldehyde)</t>
  </si>
  <si>
    <t>20146113</t>
  </si>
  <si>
    <t>Ethanal (acetaldehyde)</t>
  </si>
  <si>
    <t>20146115</t>
  </si>
  <si>
    <t>Butanal (butyraldehyde; normal isomer)</t>
  </si>
  <si>
    <t>20146119</t>
  </si>
  <si>
    <t>Acyclic aldehydes, without other oxygen function (excluding methanal (formaldehyde), ethanal (acetaldehyde), butanal (butyraldehyde; normal isomer))</t>
  </si>
  <si>
    <t>20146120</t>
  </si>
  <si>
    <t>Cyclic aldehydes; without other oxygen function</t>
  </si>
  <si>
    <t>20146130</t>
  </si>
  <si>
    <t>Aldehyde-alcohols</t>
  </si>
  <si>
    <t>20146135</t>
  </si>
  <si>
    <t>Aldehyde-alcohols, Aldehyde-ethers, aldehyde-phenols and aldehydes with other oxygen function</t>
  </si>
  <si>
    <t>20146140</t>
  </si>
  <si>
    <t>Aldehyde-ethers, aldehyde-phenols and aldehydes with other oxygen function</t>
  </si>
  <si>
    <t>20146150</t>
  </si>
  <si>
    <t>Cyclic polymers of aldehydes</t>
  </si>
  <si>
    <t>20146160</t>
  </si>
  <si>
    <t>Paraformaldehyde</t>
  </si>
  <si>
    <t>20146170</t>
  </si>
  <si>
    <t>Halogenated, sulphonated, nitrated or nitrosated derivatives of cyclic polymers of aldehydes or paraformaldehyde</t>
  </si>
  <si>
    <t>201461Z0</t>
  </si>
  <si>
    <t>Acyclic aldehydes without other oxygen function (excluding methanal, ethanal)</t>
  </si>
  <si>
    <t>20146211</t>
  </si>
  <si>
    <t>Acetone</t>
  </si>
  <si>
    <t>20146213</t>
  </si>
  <si>
    <t>Butanone (methyl ethyl ketone)</t>
  </si>
  <si>
    <t>20146215</t>
  </si>
  <si>
    <t>4-Methylpentan-2-one (methyl isobutyl ketone)</t>
  </si>
  <si>
    <t>20146219</t>
  </si>
  <si>
    <t>Acyclic ketones; without other oxygen function (excluding acetone, butanone (methyl ethyl ketone), 4-methylpentan-2-one (methyl isobutyl ketone))</t>
  </si>
  <si>
    <t>20146231</t>
  </si>
  <si>
    <t>Camphor; aromatic ketones without other oxygen function; ketone-alcohols; ketone-aldehydes; ketone-phenols and ketones with other oxygen function</t>
  </si>
  <si>
    <t>20146233</t>
  </si>
  <si>
    <t>Cyclohexanone and methylcyclohexanones</t>
  </si>
  <si>
    <t>20146235</t>
  </si>
  <si>
    <t>Ionones and methylionones</t>
  </si>
  <si>
    <t>20146239</t>
  </si>
  <si>
    <t>Cyclanic, cyclenic or cycloterpenic ketones without other oxygen function (excluding camphor, cyclohexanone and methylcyclohexanones, ionones and methylionones)</t>
  </si>
  <si>
    <t>20146260</t>
  </si>
  <si>
    <t>Quinones</t>
  </si>
  <si>
    <t>20146270</t>
  </si>
  <si>
    <t>Halogenated; sulphonated; nitrated or nitrosated derivatives of ketones and quinones</t>
  </si>
  <si>
    <t>201462Z0</t>
  </si>
  <si>
    <t>Aromatic ketones without other oxygen function; ketone-alcohols and ketone-aldehydes; ketone-phenols and ketones with other oxygen function; other cyclanic, cyclenic or cycloterpenic ketones without other oxygen function</t>
  </si>
  <si>
    <t>20146310</t>
  </si>
  <si>
    <t>Acyclic ethers and their halogenated, sulphonated, nitrated or nitrosated derivatives</t>
  </si>
  <si>
    <t>20146323</t>
  </si>
  <si>
    <t>Cyclanic, cyclenic or cycloterpenic ethers and their halogenated, sulphonated, nitrated or nitrosated derivatives</t>
  </si>
  <si>
    <t>20146325</t>
  </si>
  <si>
    <t>Aromatic ethers and their halogenated, sulphonated, nitrated or nitrosated derivatives</t>
  </si>
  <si>
    <t>20146333</t>
  </si>
  <si>
    <t>2,2-Oxydiethanol (diethylene glycol; digol)</t>
  </si>
  <si>
    <t>20146339</t>
  </si>
  <si>
    <t>Ether-alcohols and their halogenated, sulphonated, nitrated or nitrosated derivatives (excluding 2,2-Oxydiethanol)</t>
  </si>
  <si>
    <t>20146350</t>
  </si>
  <si>
    <t>Ether-phenols; ether-alcohol-phenols and their halogenated, sulphonated, nitrated or nitrosated derivatives</t>
  </si>
  <si>
    <t>20146360</t>
  </si>
  <si>
    <t>Alcohol, ether and ketone peroxides and their halogenated, sulphonated, nitrated or nitrosated derivatives</t>
  </si>
  <si>
    <t>2021</t>
  </si>
  <si>
    <t>20146361</t>
  </si>
  <si>
    <t>Alcohol peroxides, ether peroxides, acetal and hemiacetal peroxides, ketone peroxides and their halogenated, sulphonated, nitrated or nitrosated derivatives</t>
  </si>
  <si>
    <t>20146373</t>
  </si>
  <si>
    <t>Oxirane (ethylene oxide)</t>
  </si>
  <si>
    <t>20146375</t>
  </si>
  <si>
    <t>Methyloxirane (propylene oxide)</t>
  </si>
  <si>
    <t>20146379</t>
  </si>
  <si>
    <t>Epoxides, epoxyalcohols, -phenols, epoxyethers, with a 3-membered ring and their halogenated, sulphonated, nitrated/nitrosated derivatives excluding oxirane, methyloxirane (propylene oxide)</t>
  </si>
  <si>
    <t>20146380</t>
  </si>
  <si>
    <t>Acetals and hemiacetals and their halogenated; sulphonated; nitrated or nitrosated derivatives</t>
  </si>
  <si>
    <t>20146381</t>
  </si>
  <si>
    <t>20146430</t>
  </si>
  <si>
    <t>Other organic compounds, n.e.c.</t>
  </si>
  <si>
    <t>20146450</t>
  </si>
  <si>
    <t>Rennet and concentrates thereof</t>
  </si>
  <si>
    <t>20146470</t>
  </si>
  <si>
    <t>Enzymes; prepared enzymes (not elsewhere specified or included) (excluding rennet and concentrates)</t>
  </si>
  <si>
    <t>20147120</t>
  </si>
  <si>
    <t>Activated natural mineral products; animal black</t>
  </si>
  <si>
    <t>20147130</t>
  </si>
  <si>
    <t>Tall oil; whether or not refined</t>
  </si>
  <si>
    <t>20147140</t>
  </si>
  <si>
    <t>Gum, wood or sulphate turpentine oils, pine oil and other alike</t>
  </si>
  <si>
    <t>20147150</t>
  </si>
  <si>
    <t>Rosin and resin acids; and derivatives; rosin spirit and oils; run gums</t>
  </si>
  <si>
    <t>20147170</t>
  </si>
  <si>
    <t>Wood tar; wood tar oils; wood creosote; wood naphtha; vegetable pitch; brewers’ pitch and similar preparations based on rosin, resin acids or on vegetable pitch</t>
  </si>
  <si>
    <t>20147200</t>
  </si>
  <si>
    <t>Wood charcoal whether or not agglomerated (including shell or nut charcoal)</t>
  </si>
  <si>
    <t>20147320</t>
  </si>
  <si>
    <t>Benzol (benzene), toluol (toluene) and xylol (xylenes)</t>
  </si>
  <si>
    <t>20147340</t>
  </si>
  <si>
    <t>Naphthalene and other aromatic hydrocarbon mixtures (excluding benzene, toluene, xylene)</t>
  </si>
  <si>
    <t>20147360</t>
  </si>
  <si>
    <t>Phenols</t>
  </si>
  <si>
    <t>20147390</t>
  </si>
  <si>
    <t>Other oils and oil products, n.e.c.</t>
  </si>
  <si>
    <t>20147400</t>
  </si>
  <si>
    <t>Undenatured ethyl alcohol of an alcoholic strength by volume &gt;= 80 % (important: excluding alcohol duty)</t>
  </si>
  <si>
    <t>L</t>
  </si>
  <si>
    <t>20147500</t>
  </si>
  <si>
    <t>Denatured ethyl alcohol and other denatured spirits; of any strength</t>
  </si>
  <si>
    <t>20148000</t>
  </si>
  <si>
    <t>Residual lyes from the manufacture of wood pulp, excluding tall oil</t>
  </si>
  <si>
    <t>20161035</t>
  </si>
  <si>
    <t>Linear polyethylene having a specific gravity &lt; 0,94, in primary forms</t>
  </si>
  <si>
    <t>20161039</t>
  </si>
  <si>
    <t>Polyethylene having a specific gravity &lt; 0,94, in primary forms (excluding linear)</t>
  </si>
  <si>
    <t>20161050</t>
  </si>
  <si>
    <t>Polyethylene having a specific gravity of &gt;= 0,94, in primary forms</t>
  </si>
  <si>
    <t>20161070</t>
  </si>
  <si>
    <t>Ethylene-vinyl acetate copolymers, in primary forms</t>
  </si>
  <si>
    <t>20161090</t>
  </si>
  <si>
    <t>Polymers of ethylene, in primary forms (excluding polyethylene, ethylene-vinyl acetate copolymers)</t>
  </si>
  <si>
    <t>20162035</t>
  </si>
  <si>
    <t>Expansible polystyrene, in primary forms</t>
  </si>
  <si>
    <t>20162039</t>
  </si>
  <si>
    <t>Polystyrene, in primary forms (excluding expansible polystyrene)</t>
  </si>
  <si>
    <t>20162050</t>
  </si>
  <si>
    <t>Styrene-acrylonitrile (SAN) copolymers, in primary forms</t>
  </si>
  <si>
    <t>20162070</t>
  </si>
  <si>
    <t>Acrylonitrile-butadiene-styrene (ABS) copolymers, in primary forms</t>
  </si>
  <si>
    <t>20162090</t>
  </si>
  <si>
    <t>Polymers of styrene, in primary forms (excluding polystyrene, styrene-acrylonitrile (SAN) copolymers, acrylonitrile-butadiene-styrene (ABS) copolymers)</t>
  </si>
  <si>
    <t>20163010</t>
  </si>
  <si>
    <t>Polyvinyl chloride, not mixed with any other substances, in primary forms</t>
  </si>
  <si>
    <t>20163023</t>
  </si>
  <si>
    <t>Non-plasticised polyvinyl chloride mixed with any other substance, in primary forms</t>
  </si>
  <si>
    <t>20163025</t>
  </si>
  <si>
    <t>Plasticised polyvinyl chloride mixed with any other substance, in primary forms</t>
  </si>
  <si>
    <t>20163040</t>
  </si>
  <si>
    <t>Vinyl chloride-vinyl acetate copolymers and other vinyl chloride copolymers, in primary forms</t>
  </si>
  <si>
    <t>20163060</t>
  </si>
  <si>
    <t>Fluoropolymers</t>
  </si>
  <si>
    <t>20163090</t>
  </si>
  <si>
    <t>Polymers of halogenated olefins, in primary forms, n.e.c.</t>
  </si>
  <si>
    <t>20164013</t>
  </si>
  <si>
    <t>Polyacetals, in primary forms</t>
  </si>
  <si>
    <t>20164015</t>
  </si>
  <si>
    <t>Polyethylene glycols and other polyether alcohols, in primary forms</t>
  </si>
  <si>
    <t>20164020</t>
  </si>
  <si>
    <t>Polyethers, in primary forms (excluding polyacetals, polyether alcohols)</t>
  </si>
  <si>
    <t>20164030</t>
  </si>
  <si>
    <t>Epoxide resins, in primary forms</t>
  </si>
  <si>
    <t>20164040</t>
  </si>
  <si>
    <t>Polycarbonates, in primary forms</t>
  </si>
  <si>
    <t>20164050</t>
  </si>
  <si>
    <t>Alkyd resins, in primary forms</t>
  </si>
  <si>
    <t>20164062</t>
  </si>
  <si>
    <t>Polyethylene terephthalate in primary forms having a viscosity number of &gt;= 78 ml/g</t>
  </si>
  <si>
    <t>20164064</t>
  </si>
  <si>
    <t>Other polyethylene terephthalate in primary forms</t>
  </si>
  <si>
    <t>20164070</t>
  </si>
  <si>
    <t>Unsaturated liquid polyesters, in primary forms (excluding polyacetals, polyethers, epoxide resins, polycarbonates, alkyd resins, polyethylene terephthalate)</t>
  </si>
  <si>
    <t>20164080</t>
  </si>
  <si>
    <t>Unsaturated polyesters, in primary forms (excluding liquid polyesters, polyacetals, polyethers, epoxide resins, polycarbonates, alkyd resins, polyethylene terephthalate)</t>
  </si>
  <si>
    <t>20164090</t>
  </si>
  <si>
    <t>Polyesters, in primary forms (excluding polyacetals, polyethers, epoxide resins, polycarbonates, alkyd resins, polyethylene terephthalate, other unsaturated polyesters)</t>
  </si>
  <si>
    <t>20165130</t>
  </si>
  <si>
    <t>Polypropylene, in primary forms</t>
  </si>
  <si>
    <t>20165150</t>
  </si>
  <si>
    <t>Polymers of propylene or of other olefins, in primary forms (excluding polypropylene)</t>
  </si>
  <si>
    <t>20165230</t>
  </si>
  <si>
    <t>Polymers of vinyl acetate, in aqueous dispersion, in primary forms</t>
  </si>
  <si>
    <t>20165250</t>
  </si>
  <si>
    <t>Polymers of vinyl acetate, in primary forms (excluding in aqueous dispersion)</t>
  </si>
  <si>
    <t>20165270</t>
  </si>
  <si>
    <t>Polymers of vinyl esters or other vinyl polymers, in primary forms (excluding vinyl acetate)</t>
  </si>
  <si>
    <t>20165350</t>
  </si>
  <si>
    <t>Polymethyl methacrylate, in primary forms</t>
  </si>
  <si>
    <t>20165390</t>
  </si>
  <si>
    <t>Acrylic polymers, in primary forms (excluding polymethyl methacrylate)</t>
  </si>
  <si>
    <t>20165450</t>
  </si>
  <si>
    <t>Polyamide -6, -11, -12, -6,6, -6,9, -6,10 or -6,12, in primary forms</t>
  </si>
  <si>
    <t>20165490</t>
  </si>
  <si>
    <t>Polyamides, in primary forms (excluding polyamide -6, -11, -12, -6,6, -6,9, -6,10 or -6,12)</t>
  </si>
  <si>
    <t>20165550</t>
  </si>
  <si>
    <t>Urea resins and thiourea resins, in primary forms</t>
  </si>
  <si>
    <t>20165570</t>
  </si>
  <si>
    <t>Melamine resins, in primary forms</t>
  </si>
  <si>
    <t>20165630</t>
  </si>
  <si>
    <t>Amino resins, in primary forms (excluding urea and thiourea resins, melamine resins)</t>
  </si>
  <si>
    <t>20165650</t>
  </si>
  <si>
    <t>Phenolic resins, in primary forms</t>
  </si>
  <si>
    <t>20165670</t>
  </si>
  <si>
    <t>Polyurethanes, in primary forms</t>
  </si>
  <si>
    <t>20165700</t>
  </si>
  <si>
    <t>Silicones, in primary forms</t>
  </si>
  <si>
    <t>20165920</t>
  </si>
  <si>
    <t>Petroleum resins, coumarone-indene resins, polyterpenes, polysulphides, polysulphones, etc., n.e.c., in primary forms</t>
  </si>
  <si>
    <t>20165940</t>
  </si>
  <si>
    <t>Cellulose and its chemical derivatives, n.e.c., in primary forms</t>
  </si>
  <si>
    <t>2018</t>
  </si>
  <si>
    <t>20165945</t>
  </si>
  <si>
    <t>Sodium carboxymethyl cellulose</t>
  </si>
  <si>
    <t>20165950</t>
  </si>
  <si>
    <t>Cellulose and its chemical derivatives, in primary forms, excluding sodium carboxymethyl cellulose and n.e.c.</t>
  </si>
  <si>
    <t>20165955</t>
  </si>
  <si>
    <t>Natural polymers and modified natural polymers, not elsewhere specified or included, in primary forms . Alginic acid, its salts and esters</t>
  </si>
  <si>
    <t>20165960</t>
  </si>
  <si>
    <t>Natural and modified natural polymers, in primary forms (including alginic acid, hardened proteins, chemical derivatives of natural rubber)</t>
  </si>
  <si>
    <t>20165965</t>
  </si>
  <si>
    <t>Natural polymers and modified natural polymers, e.g. hardened proteins, chemical derivatives of natural rubber, n.e.s., in primary forms (excl. alginic acid and its salts and esters)</t>
  </si>
  <si>
    <t>20165970</t>
  </si>
  <si>
    <t>Ion-exchangers based on synthetic or natural polymers, in primary forms</t>
  </si>
  <si>
    <t>PROD+IMP</t>
  </si>
  <si>
    <t>Conversion factor to kg</t>
  </si>
  <si>
    <t>PROD+IMP (kg)</t>
  </si>
  <si>
    <t>In scope</t>
  </si>
  <si>
    <t>Ecoinvent 3.11 activity name proxy</t>
  </si>
  <si>
    <t>Note and references</t>
  </si>
  <si>
    <t>Bio-based</t>
  </si>
  <si>
    <t>References</t>
  </si>
  <si>
    <t>Sheldon, R.A. and Brady, D. (2022) “Green Chemistry, Biocatalysis, and the Chemical Industry of the Future,” ChemSusChem, 15(9), p. e202102628. Available at: https://doi.org/10.1002/cssc.202102628.</t>
  </si>
  <si>
    <t>Too broad</t>
  </si>
  <si>
    <t>Inorganic</t>
  </si>
  <si>
    <t>Hahn, H.-D. et al. (2013) “Butanols,” in Ullmann’s Encyclopedia of Industrial Chemistry. John Wiley &amp; Sons, Ltd. Available at: https://doi.org/10.1002/14356007.a04_463.pub3.</t>
  </si>
  <si>
    <t>market for isobutanol</t>
  </si>
  <si>
    <t>Falbe, J. et al. (2013) “Alcohols, Aliphatic,” in Ullmann’s Encyclopedia of Industrial Chemistry. John Wiley &amp; Sons, Ltd. Available at: https://doi.org/10.1002/14356007.a01_279.pub2.</t>
  </si>
  <si>
    <t>Jones, M.P., Archodoulaki, V.-M. and Köck, B.-M. (2022) “The power of good decisions: Promoting eco-informed design attitudes in plastic selection and use,” Resources, Conservation and Recycling, 182, p. 106324. Available at: https://doi.org/10.1016/j.resconrec.2022.106324.</t>
  </si>
  <si>
    <t>market for ethyl acetate</t>
  </si>
  <si>
    <t>market for polypropylene, granulate</t>
  </si>
  <si>
    <t>market for propylene</t>
  </si>
  <si>
    <t>market for ethylene</t>
  </si>
  <si>
    <t>market for polyethylene, low density, granulate</t>
  </si>
  <si>
    <t>market for polyethylene, high density, granulate</t>
  </si>
  <si>
    <t>market for butyl acrylate</t>
  </si>
  <si>
    <t>market for polyether polyols, short chain</t>
  </si>
  <si>
    <t>market for methanol</t>
  </si>
  <si>
    <t>market for polyurethane, rigid foam</t>
  </si>
  <si>
    <t>market for benzene</t>
  </si>
  <si>
    <t>market for polyester resin, unsaturated</t>
  </si>
  <si>
    <t>market for polyvinyl chloride, emulsion polymerised</t>
  </si>
  <si>
    <t>market for cellulose fibre</t>
  </si>
  <si>
    <t>market for purified terephthalic acid</t>
  </si>
  <si>
    <t>market for polyethylene terephthalate, granulate, amorphous</t>
  </si>
  <si>
    <t>market for styrene</t>
  </si>
  <si>
    <t>market for polyethylene, linear low density, granulate</t>
  </si>
  <si>
    <t>market for butadiene</t>
  </si>
  <si>
    <t>Already covered</t>
  </si>
  <si>
    <t>market for butene, mixed</t>
  </si>
  <si>
    <t>market for urea formaldehyde resin</t>
  </si>
  <si>
    <t>market for polystyrene, extruded</t>
  </si>
  <si>
    <t>market for propylene oxide, liquid</t>
  </si>
  <si>
    <t>market for orthophthalic acid based unsaturated polyester resin</t>
  </si>
  <si>
    <t>market for ethylene glycol</t>
  </si>
  <si>
    <t>market for polystyrene, expandable</t>
  </si>
  <si>
    <t>market for vinyl acetate</t>
  </si>
  <si>
    <t>market for epoxy resin, liquid</t>
  </si>
  <si>
    <t>market for acetone, liquid</t>
  </si>
  <si>
    <t>market for ethylene dichloride</t>
  </si>
  <si>
    <t>market for fatty alcohol</t>
  </si>
  <si>
    <t>market for polycarbonate</t>
  </si>
  <si>
    <t>market for toluene, liquid</t>
  </si>
  <si>
    <t>market for aniline</t>
  </si>
  <si>
    <t>market for formaldehyde</t>
  </si>
  <si>
    <t>market for acetic acid</t>
  </si>
  <si>
    <t>market for silicone product</t>
  </si>
  <si>
    <t>market for acrylonitrile-butadiene-styrene copolymer</t>
  </si>
  <si>
    <t>market for phenolic resin</t>
  </si>
  <si>
    <t>market for vinyl chloride</t>
  </si>
  <si>
    <t>market for ethylene oxide</t>
  </si>
  <si>
    <t>market for polyvinyl chloride, suspension polymerised</t>
  </si>
  <si>
    <t>market for ethylene vinyl acetate copolymer</t>
  </si>
  <si>
    <t>market for isopropanol</t>
  </si>
  <si>
    <t>market for cumene</t>
  </si>
  <si>
    <t>market for cyclohexane</t>
  </si>
  <si>
    <t>market for adipic acid</t>
  </si>
  <si>
    <t>market for p-xylene</t>
  </si>
  <si>
    <t>market for ethyl benzene</t>
  </si>
  <si>
    <t>market for formic acid</t>
  </si>
  <si>
    <t>market for propylene glycol, liquid</t>
  </si>
  <si>
    <t>market for n-butanol</t>
  </si>
  <si>
    <t>market for hexamethylenediamine</t>
  </si>
  <si>
    <t>market for xylene, mixed</t>
  </si>
  <si>
    <t>market for methyl methacrylate</t>
  </si>
  <si>
    <t>market for acrylonitrile</t>
  </si>
  <si>
    <t>market for melamine formaldehyde resin</t>
  </si>
  <si>
    <t>market for alkyd resin, long oil, without solvent, in 70% white spirit solution state</t>
  </si>
  <si>
    <t>market for polymethyl methacrylate</t>
  </si>
  <si>
    <t>market for styrene-acrylonitrile copolymer</t>
  </si>
  <si>
    <t>market for diethylene glycol</t>
  </si>
  <si>
    <t>World Polyamide -6 production</t>
  </si>
  <si>
    <t>Mt</t>
  </si>
  <si>
    <t>(Khedr, 2023)</t>
  </si>
  <si>
    <t>World Polyamide -6,6 production</t>
  </si>
  <si>
    <t>MDI production capacity</t>
  </si>
  <si>
    <t>(Richter et al., 2024)</t>
  </si>
  <si>
    <t>TDI production capacity</t>
  </si>
  <si>
    <t>Description</t>
  </si>
  <si>
    <t>The table below is an extraction of the table from the previous sheet, taking the top products in the list after screening and ecoinvent matching. Also polyamides and isocyanates were disaggregated below</t>
  </si>
  <si>
    <t>PRODCOM code</t>
  </si>
  <si>
    <t>Long name</t>
  </si>
  <si>
    <t>Figure name</t>
  </si>
  <si>
    <t>Quantity (Mt)</t>
  </si>
  <si>
    <t>Polypropylene</t>
  </si>
  <si>
    <t>Propylene</t>
  </si>
  <si>
    <t>Polyethylene</t>
  </si>
  <si>
    <t>Methanol</t>
  </si>
  <si>
    <t>Polyvinyl chloride</t>
  </si>
  <si>
    <t>Terephthalic acid</t>
  </si>
  <si>
    <t>Polyethylene terephthalate</t>
  </si>
  <si>
    <t>Butadiene</t>
  </si>
  <si>
    <t>Butylene</t>
  </si>
  <si>
    <t>Polystyrene</t>
  </si>
  <si>
    <t>Propylene oxide</t>
  </si>
  <si>
    <t>Ethylene glycol</t>
  </si>
  <si>
    <t>Polyvinyl acetate</t>
  </si>
  <si>
    <t>Ethylene dichloride</t>
  </si>
  <si>
    <t>Aniline</t>
  </si>
  <si>
    <t>Formaldehyde</t>
  </si>
  <si>
    <t>ABS</t>
  </si>
  <si>
    <t>Vinyl chloride</t>
  </si>
  <si>
    <t>Ethylene oxide</t>
  </si>
  <si>
    <t>Ethylene-vinyl acetate</t>
  </si>
  <si>
    <t>Isopropanol</t>
  </si>
  <si>
    <t>Adipic acid</t>
  </si>
  <si>
    <t>Formic acid</t>
  </si>
  <si>
    <t>Propylene glycol</t>
  </si>
  <si>
    <t>n-Butanol</t>
  </si>
  <si>
    <t>Hexamethylenediamine</t>
  </si>
  <si>
    <t>m-Xylene</t>
  </si>
  <si>
    <t>Methyl methacrylate</t>
  </si>
  <si>
    <t>20144450_1</t>
  </si>
  <si>
    <t>Toluene diisocyanate (TDI)</t>
  </si>
  <si>
    <t>market for toluene diisocyanate</t>
  </si>
  <si>
    <t>20144450_2</t>
  </si>
  <si>
    <t>Methylene diphenyl diisocyanate (MDI)</t>
  </si>
  <si>
    <t>market for methylene diphenyl diisocyanate</t>
  </si>
  <si>
    <t>20165450_1</t>
  </si>
  <si>
    <t>Polyamide -6,6 (PA 66)</t>
  </si>
  <si>
    <t>PA 66</t>
  </si>
  <si>
    <t>market for nylon 6-6</t>
  </si>
  <si>
    <t>20165450_2</t>
  </si>
  <si>
    <t>Polyamide -6 (PA 6)</t>
  </si>
  <si>
    <t>PA 6</t>
  </si>
  <si>
    <t>market for nylon 6</t>
  </si>
  <si>
    <t>Butanal</t>
  </si>
  <si>
    <t>Polyoxymethylene</t>
  </si>
  <si>
    <t>manual:3.64</t>
  </si>
  <si>
    <t>Polyamide -6</t>
  </si>
  <si>
    <t>Polyamide -6,6</t>
  </si>
  <si>
    <t>Toluene diisocyanate</t>
  </si>
  <si>
    <t>Methylene diphenyl diisocyanate</t>
  </si>
  <si>
    <t>market for o-xylene</t>
  </si>
  <si>
    <t>=INDEX('PRODCOM screening and matching'!$P$5:$P$1000, MATCH(A10, 'PRODCOM screening and matching'!$C$5:$C$1000, 0))/1000000000</t>
  </si>
  <si>
    <t>market for benzoic acid</t>
  </si>
  <si>
    <t>market for acetic anhydride</t>
  </si>
  <si>
    <t>Schiweck, H. et al. (2012) “Sugar Alcohols,” in Ullmann’s Encyclopedia of Industrial Chemistry. John Wiley &amp; Sons, Ltd. Available at: https://doi.org/10.1002/14356007.a25_413.pub3.</t>
  </si>
  <si>
    <t>market for bisphenol A, powder</t>
  </si>
  <si>
    <t>Benzoic acid</t>
  </si>
  <si>
    <t>Bisphenol A</t>
  </si>
  <si>
    <t>Polymethyl methacrylate</t>
  </si>
  <si>
    <t>Caprolactam</t>
  </si>
  <si>
    <t>kg/t PA6</t>
  </si>
  <si>
    <t>(Li, 2007, p. 136)</t>
  </si>
  <si>
    <t>kg/kg PA6</t>
  </si>
  <si>
    <t>t/t Caprolactame</t>
  </si>
  <si>
    <t>(Hong and Xu, 2012, p. 105)</t>
  </si>
  <si>
    <t>kg/t PA66</t>
  </si>
  <si>
    <t>Hexamethylene diamine</t>
  </si>
  <si>
    <t>kg/kg PA66</t>
  </si>
  <si>
    <t>=IF(ISNUMBER(E3), E3, 0)+IF(ISNUMBER(K3), K3, 0)</t>
  </si>
  <si>
    <t>Raff, D.K. (2013) “Butanals,” in Ullmann’s Encyclopedia of Industrial Chemistry. John Wiley &amp; Sons, Ltd. Available at: https://doi.org/10.1002/14356007.a04_447.pub2.</t>
  </si>
  <si>
    <t>Molecular formula (MF)</t>
  </si>
  <si>
    <t>Molecular weight (MW)</t>
  </si>
  <si>
    <t>MF and MW reference</t>
  </si>
  <si>
    <t>Diethylene glycol</t>
  </si>
  <si>
    <t>Source : 26-03-2026 - https://pubchem.ncbi.nlm.nih.gov/compound/Polyethylene</t>
  </si>
  <si>
    <t>C</t>
  </si>
  <si>
    <t>H</t>
  </si>
  <si>
    <t>O</t>
  </si>
  <si>
    <t>Atomic mass</t>
  </si>
  <si>
    <t>Abridged standard atomic weight</t>
  </si>
  <si>
    <t>unified atomic mass</t>
  </si>
  <si>
    <t>(Prohaska et al., 2022, p. 582)</t>
  </si>
  <si>
    <t>(Prohaska et al., 2022, p. 581)</t>
  </si>
  <si>
    <t>Source : 26-03-2026 - https://pubchem.ncbi.nlm.nih.gov/compound/Polypropylene</t>
  </si>
  <si>
    <t>Source : 26-03-2026 - https://pubchem.ncbi.nlm.nih.gov/compound/8252</t>
  </si>
  <si>
    <t>Source : 26-03-2026 - https://pubchem.ncbi.nlm.nih.gov/compound/6325</t>
  </si>
  <si>
    <t>Source : 26-03-2026 - https://pubchem.ncbi.nlm.nih.gov/compound/887</t>
  </si>
  <si>
    <t>Source : 26-03-2026 - https://pubchem.ncbi.nlm.nih.gov/compound/241</t>
  </si>
  <si>
    <t>Source : 26-03-2026 - https://pubchem.ncbi.nlm.nih.gov/compound/6338</t>
  </si>
  <si>
    <t>Source : 26-03-2026 - https://pubchem.ncbi.nlm.nih.gov/compound/7489</t>
  </si>
  <si>
    <t>Source : 26-03-2026 - https://pubchem.ncbi.nlm.nih.gov/compound/18721140</t>
  </si>
  <si>
    <t>Source : 26-03-2026 - https://pubchem.ncbi.nlm.nih.gov/compound/7501</t>
  </si>
  <si>
    <t>Source : 26-03-2026 - https://pubchem.ncbi.nlm.nih.gov/compound/7845</t>
  </si>
  <si>
    <t>Source : 26-03-2026 - https://pubchem.ncbi.nlm.nih.gov/compound/6435908</t>
  </si>
  <si>
    <t>Source : 26-03-2026 - https://pubchem.ncbi.nlm.nih.gov/compound/Polystyrene</t>
  </si>
  <si>
    <t>Source : 26-03-2026 - https://pubchem.ncbi.nlm.nih.gov/compound/6378</t>
  </si>
  <si>
    <t>Source : 26-03-2026 - https://pubchem.ncbi.nlm.nih.gov/compound/174</t>
  </si>
  <si>
    <t>Source : 26-03-2026 - https://pubchem.ncbi.nlm.nih.gov/compound/Poly_vinyl-acetate</t>
  </si>
  <si>
    <t>Source : 26-03-2026 - https://pubchem.ncbi.nlm.nih.gov/compound/180</t>
  </si>
  <si>
    <t>Source : 26-03-2026 - https://pubchem.ncbi.nlm.nih.gov/compound/11</t>
  </si>
  <si>
    <t>Source : 26-03-2026 - https://pubchem.ncbi.nlm.nih.gov/compound/1140</t>
  </si>
  <si>
    <t>Source : 26-03-2026 - https://pubchem.ncbi.nlm.nih.gov/compound/6115</t>
  </si>
  <si>
    <t>Source : 26-03-2026 - https://pubchem.ncbi.nlm.nih.gov/compound/712</t>
  </si>
  <si>
    <t>Source : 26-03-2026 - https://pubchem.ncbi.nlm.nih.gov/compound/176</t>
  </si>
  <si>
    <t>Source : 26-03-2026 - https://pubchem.ncbi.nlm.nih.gov/compound/24756</t>
  </si>
  <si>
    <t>Source : 26-03-2026 - https://pubchem.ncbi.nlm.nih.gov/compound/6354</t>
  </si>
  <si>
    <t>Source : 26-03-2026 - https://pubchem.ncbi.nlm.nih.gov/compound/32742</t>
  </si>
  <si>
    <t>Source : 26-03-2026 - https://pubchem.ncbi.nlm.nih.gov/compound/8846</t>
  </si>
  <si>
    <t>Source : 26-03-2026 - https://pubchem.ncbi.nlm.nih.gov/compound/3776</t>
  </si>
  <si>
    <t>Source : 26-03-2026 - https://pubchem.ncbi.nlm.nih.gov/compound/7406</t>
  </si>
  <si>
    <t>Source : 26-03-2026 - https://pubchem.ncbi.nlm.nih.gov/compound/8078</t>
  </si>
  <si>
    <t>Source : 26-03-2026 - https://pubchem.ncbi.nlm.nih.gov/compound/196</t>
  </si>
  <si>
    <t>Source : 26-03-2026 - https://pubchem.ncbi.nlm.nih.gov/compound/7809</t>
  </si>
  <si>
    <t>Source : 26-03-2026 - https://pubchem.ncbi.nlm.nih.gov/compound/7500</t>
  </si>
  <si>
    <t>Source : 26-03-2026 - https://pubchem.ncbi.nlm.nih.gov/compound/284</t>
  </si>
  <si>
    <t>Source : 26-03-2026 - https://pubchem.ncbi.nlm.nih.gov/compound/1030</t>
  </si>
  <si>
    <t>Source : 26-03-2026 - https://pubchem.ncbi.nlm.nih.gov/compound/263</t>
  </si>
  <si>
    <t>Source : 26-03-2026 - https://pubchem.ncbi.nlm.nih.gov/compound/16402</t>
  </si>
  <si>
    <t>Source : 26-03-2026 - https://pubchem.ncbi.nlm.nih.gov/compound/7929</t>
  </si>
  <si>
    <t>Source : 26-03-2026 - https://pubchem.ncbi.nlm.nih.gov/compound/6658</t>
  </si>
  <si>
    <t>Source : 26-03-2026 - https://pubchem.ncbi.nlm.nih.gov/compound/7855</t>
  </si>
  <si>
    <t>Source : 26-03-2026 - https://pubchem.ncbi.nlm.nih.gov/compound/261</t>
  </si>
  <si>
    <t>Source : 26-03-2026 - https://en.wikipedia.org/wiki/Polyoxymethylene</t>
  </si>
  <si>
    <t>Source : 26-03-2026 - https://pubchem.ncbi.nlm.nih.gov/compound/8857</t>
  </si>
  <si>
    <t>Source : 26-03-2026 - https://pubchem.ncbi.nlm.nih.gov/compound/8117</t>
  </si>
  <si>
    <t>Source : 26-03-2026 - https://pubchem.ncbi.nlm.nih.gov/compound/7237</t>
  </si>
  <si>
    <t>Source : 26-03-2026 - https://pubchem.ncbi.nlm.nih.gov/compound/243</t>
  </si>
  <si>
    <t>Source : 26-03-2026 - https://pubchem.ncbi.nlm.nih.gov/compound/6623</t>
  </si>
  <si>
    <t>Source : 26-03-2026 - https://pubchem.ncbi.nlm.nih.gov/compound/7918</t>
  </si>
  <si>
    <t>Source : 26-03-2026 - https://pubchem.ncbi.nlm.nih.gov/compound/Poly_methyl-methacrylate</t>
  </si>
  <si>
    <t>Source : 26-03-2026 - https://pubchem.ncbi.nlm.nih.gov/compound/11443</t>
  </si>
  <si>
    <t>Source : 26-03-2026 - https://pubchem.ncbi.nlm.nih.gov/compound/7570</t>
  </si>
  <si>
    <t>Source : 26-03-2026 - https://pubchem.ncbi.nlm.nih.gov/compound/36070</t>
  </si>
  <si>
    <t>Source : 26-03-2026 - https://pubchem.ncbi.nlm.nih.gov/compound/9543372</t>
  </si>
  <si>
    <t>(C3H6)x</t>
  </si>
  <si>
    <t>C3H6</t>
  </si>
  <si>
    <t>C2H4</t>
  </si>
  <si>
    <t>(C2H4)n</t>
  </si>
  <si>
    <t>CH4O</t>
  </si>
  <si>
    <t>C6H6</t>
  </si>
  <si>
    <t>C2H3Cl</t>
  </si>
  <si>
    <t>C8H6O4</t>
  </si>
  <si>
    <t>C12H14O4</t>
  </si>
  <si>
    <t>C8H8</t>
  </si>
  <si>
    <t>C4H6</t>
  </si>
  <si>
    <t>C8H16</t>
  </si>
  <si>
    <t>(C8H8)x</t>
  </si>
  <si>
    <t>C3H6O</t>
  </si>
  <si>
    <t>C2H6O2</t>
  </si>
  <si>
    <t>(C4H6O2)x</t>
  </si>
  <si>
    <t>C2H4Cl2</t>
  </si>
  <si>
    <t>C7H8</t>
  </si>
  <si>
    <t>C6H7N</t>
  </si>
  <si>
    <t>CH2O</t>
  </si>
  <si>
    <t>C2H4O2</t>
  </si>
  <si>
    <t>C15H17N</t>
  </si>
  <si>
    <t>C2H4O</t>
  </si>
  <si>
    <t>C6H10O2</t>
  </si>
  <si>
    <t>C7H12O2</t>
  </si>
  <si>
    <t>C3H8O</t>
  </si>
  <si>
    <t>C9H12</t>
  </si>
  <si>
    <t>C6H12</t>
  </si>
  <si>
    <t>C6H10O4</t>
  </si>
  <si>
    <t>C8H10</t>
  </si>
  <si>
    <t>CH2O2</t>
  </si>
  <si>
    <t>C3H8O2</t>
  </si>
  <si>
    <t>C4H10O</t>
  </si>
  <si>
    <t>C6H16N2</t>
  </si>
  <si>
    <t>C5H8O2</t>
  </si>
  <si>
    <t>C3H3N</t>
  </si>
  <si>
    <t>C4H8O</t>
  </si>
  <si>
    <t xml:space="preserve">(CH2O)n </t>
  </si>
  <si>
    <t>C4H8O2</t>
  </si>
  <si>
    <t>C4H10O3</t>
  </si>
  <si>
    <t>C7H6O2</t>
  </si>
  <si>
    <t>C15H16O2</t>
  </si>
  <si>
    <t>C4H6O3</t>
  </si>
  <si>
    <t>(C5H8O2)x</t>
  </si>
  <si>
    <t>C9H6N2O2</t>
  </si>
  <si>
    <t>C15H10N2O2</t>
  </si>
  <si>
    <t>C12H20N2O2</t>
  </si>
  <si>
    <t>C30H56N5O6-</t>
  </si>
  <si>
    <t>Carbon mass share</t>
  </si>
  <si>
    <t>Carbon atoms</t>
  </si>
  <si>
    <t>3</t>
  </si>
  <si>
    <t>2</t>
  </si>
  <si>
    <t>1</t>
  </si>
  <si>
    <t>6</t>
  </si>
  <si>
    <t>8</t>
  </si>
  <si>
    <t>12</t>
  </si>
  <si>
    <t>4</t>
  </si>
  <si>
    <t>7</t>
  </si>
  <si>
    <t>15</t>
  </si>
  <si>
    <t>9</t>
  </si>
  <si>
    <t>5</t>
  </si>
  <si>
    <t>30</t>
  </si>
  <si>
    <t>Imported file:</t>
  </si>
  <si>
    <t>Formulas:</t>
  </si>
  <si>
    <t>Ecoinvent (2024) “ecoinvent Version 3.11.” Available at: https://support.ecoinvent.org/ecoinvent-version-3.11 (Accessed: April 17, 2025).</t>
  </si>
  <si>
    <t>(Ecoinvent, 2024)</t>
  </si>
  <si>
    <t>90% of impact due to urea in the end (Ecoinvent, 2024)</t>
  </si>
  <si>
    <t>Almost 100% of melamine is produced out of urea (Ecoinvent, 2024)</t>
  </si>
  <si>
    <t>Khedr, M.S.F. (2023) “Bio-based polyamide,” Physical Sciences Reviews, 8(7), pp. 827–847. Available at: https://doi.org/10.1515/psr-2020-0076.</t>
  </si>
  <si>
    <t>Split PA 6 and PA 66, with ratio built from 4 million tons for PA 6 and 3.4 million tons for PA 66 (Khedr, 2023)</t>
  </si>
  <si>
    <t>The overwhelming majority of physical volume tracked under the institutional aggregated codes (HS 2905 12 and Prodcom 20.14.22.20) is therefore Propan-2-ol, which is conservatively estimated to be 8 to 10 times larger in volume than Propan-1-ol (Accessed: 11/11/2025: https://gemini.google.com/share/d1c1fcd87af2)</t>
  </si>
  <si>
    <t>Richter, F., Karafilidis, C. and Darmandeh, H. (2024) “Isocyanates, Organic,” Ullmann’s Encyclopedia of Industrial Chemistry. John Wiley &amp; Sons, Ltd, pp. 1–23. Available at: https://doi.org/10.1002/14356007.a14_611.pub2.</t>
  </si>
  <si>
    <t>Split in the Export sheet, MDI production capacity 10 Mt TDI production capacity 3 Mt (Richter et al., 2024)</t>
  </si>
  <si>
    <t>(Lorz et al., 2007)</t>
  </si>
  <si>
    <t>Lorz, P.M. et al. (2007) “Phthalic Acid and Derivatives,” Ullmann’s Encyclopedia of Industrial Chemistry. John Wiley &amp; Sons, Ltd. Available at: https://doi.org/10.1002/14356007.a20_181.pub2.</t>
  </si>
  <si>
    <t>(Tomás et al., 2024)</t>
  </si>
  <si>
    <t>Tomás, R.A.F. et al. (2024) “Terephthalic Acid, Dimethyl Terephthalate, and Isophthalic Acid,” Ullmann’s Encyclopedia of Industrial Chemistry. John Wiley &amp; Sons, Ltd, pp. 1–17. Available at: https://doi.org/10.1002/14356007.a26_193.pub3.</t>
  </si>
  <si>
    <t>Globally: &gt;3.7 Mt phthalic anhydride production capacity in 1996 (Lorz et al., 2007) vs 81.6 Mt terephthalic acid in 2021 (Tomás et al., 2024). With no more recent trustworthy data, phthalic anhydride is assumed to be very small compared to terephthalic acid</t>
  </si>
  <si>
    <t>Biddy, M.J., Scarlata, C. and Kinchin, C. (2016) Chemicals from Biomass: A Market Assessment of Bioproducts with Near-Term Potential. NREL/TP--5100-65509, 1244312, p. NREL/TP--5100-65509, 1244312. Available at: https://doi.org/10.2172/1244312.</t>
  </si>
  <si>
    <t>(Biddy et al., 2016)</t>
  </si>
  <si>
    <t>Kim, J.-H. et al. (2016) “Isoprene production by Escherichia coli through the exogenous mevalonate pathway with reduced formation of fermentation byproducts,” Microbial Cell Factories, 15(1), p. 214. Available at: https://doi.org/10.1186/s12934-016-0612-6.</t>
  </si>
  <si>
    <t>(Kim et al., 2016)</t>
  </si>
  <si>
    <t>Aldridge, J. et al. (2021) “Anaerobic Production of Isoprene by Engineered Methanosarcina Species Archaea,” Applied and Environmental Microbiology, 87(6), pp. e02417-20. Available at: https://doi.org/10.1128/AEM.02417-20.</t>
  </si>
  <si>
    <t>(Aldridge et al., 2021)</t>
  </si>
  <si>
    <t>Globally: Isoprene production is supposed between 0.8 and 1.3 Mt (Kim et al., 2016; Aldridge et al., 2021) vs 10 Mt for butediene (Biddy et al., 2016)</t>
  </si>
  <si>
    <t>US EPA (2022) “Chemical Data Reporting (CDR) Data 2020.” Available at: https://www.epa.gov/chemical-data-reporting/access-chemical-data-reporting-data#2020.</t>
  </si>
  <si>
    <t>(US EPA, 2022)</t>
  </si>
  <si>
    <t>"2-Propenoic acid, 2-methyl-, butyl ester" (Butyl methacrylate) 9 kt &lt; US production (2019) &lt; 45 kt; "2-Propenoic acid, 2-methyl-, ethyl ester" (Ethyl methacrylate) 0.45 kt &lt; US production (2019) &lt; 9 kt; "2-Propenoic acid, 2-methyl-, methyl ester" (Methyl methacrylate): 450 kt &lt; US production (2019) &lt; 2,270 kt (US EPA, 2022)</t>
  </si>
  <si>
    <t>"1,6-Hexanediamine" (Hexamethylenediamine): 450 kt &lt; US production (2019) &lt; 2,270 kt; "1,2-Ethanediamine" (ethylenediamine): 45 kt &lt; US production (2019) &lt; 450 kt (US EPA, 2022)</t>
  </si>
  <si>
    <t>Citric acid is produced almost exclusively through microbial processes (Accessed 24/07/2025: https://www.epa.gov/system/files/documents/2023-03/Citric+Acid+Supply+Chain+Profile.pdf)</t>
  </si>
  <si>
    <t>(Sheldon and Brady, 2022)</t>
  </si>
  <si>
    <t xml:space="preserve"> Globally, 93 % of ethanol is produced by fermentation (Sheldon and Brady, 2022)</t>
  </si>
  <si>
    <t>(Hahn et al., 2013)</t>
  </si>
  <si>
    <t>(Falbe et al., 2013)</t>
  </si>
  <si>
    <t>(Hahn et al., 2013; Falbe et al., 2013)</t>
  </si>
  <si>
    <t>"2-Propenoic acid, butyl ester" (Butyl Acrylate): 450 kt &lt; US production (2019) &lt; 2,270 kt; "2-Propenoic acid, ethyl ester" (Ethyl acrylate): 45 kt &lt; US production (2019) &lt; 450 kt; "2-Propenoic acid, methyl ester" (Methyl acrylate): 45 kt &lt; US production (2019) &lt; 113 kt (US EPA, 2022)</t>
  </si>
  <si>
    <t>53% of impact because of urea (Ecoinvent, 2024)</t>
  </si>
  <si>
    <t>(Jones et al., 2022)</t>
  </si>
  <si>
    <t>Polyoxymethylene (POM) carbon footprint is estimated to 3.64 kg CO2-eq/kg polymer (Jones et al., 2022)</t>
  </si>
  <si>
    <t>(Schiweck et al., 2012)</t>
  </si>
  <si>
    <t>Sorbitol is produced on a large scale by means of the catalytic hydrogenation of D-Glucoses (dextrose) (Schiweck et al., 2012)</t>
  </si>
  <si>
    <t>(Raff, 2013)</t>
  </si>
  <si>
    <t>Pessimistic proxy assumption. n-butanal is obtained via hydroformylation of propylene (Raff, 2013) and n-butanol is obtained via the hydrogenation of the resulting aldehyde (Hahn et al., 2013)</t>
  </si>
  <si>
    <t>(Li, 2007)</t>
  </si>
  <si>
    <t>Li, Y. (2007) Life Cycle Assessment of Chemical Processes and Products. Available at: http://www.lib.ncsu.edu/resolver/1840.16/3805 (Accessed: February 2, 2026).</t>
  </si>
  <si>
    <t>Hong, J. and Xu, X. (2012) “Environmental impact assessment of caprolactam production – a case study in China,” Journal of Cleaner Production, 27, pp. 103–108. Available at: https://doi.org/10.1016/j.jclepro.2011.12.037.</t>
  </si>
  <si>
    <t>(Hong and Xu, 2012)</t>
  </si>
  <si>
    <t>Citation</t>
  </si>
  <si>
    <t>Reference with URL</t>
  </si>
  <si>
    <t>Sheet structure</t>
  </si>
  <si>
    <t>Cell color nomenclature</t>
  </si>
  <si>
    <t>General information</t>
  </si>
  <si>
    <t>README</t>
  </si>
  <si>
    <t>PRODCOM screening and matching</t>
  </si>
  <si>
    <t>Hotspots</t>
  </si>
  <si>
    <t>Export</t>
  </si>
  <si>
    <t>Sheet name</t>
  </si>
  <si>
    <t>This sheet. Contains meta information about this Excel file and its structure.</t>
  </si>
  <si>
    <t>Polyamides</t>
  </si>
  <si>
    <t>Calculations</t>
  </si>
  <si>
    <t>Contains data for for disaggregating isocyanates and polyamides, and some additional utils (atomic mass)</t>
  </si>
  <si>
    <t>Extraction of Prodcom data, adjusted names, aggregated products and carbon content</t>
  </si>
  <si>
    <t>Export sheet to CSV for use in the hotspot calculation Python notebook.</t>
  </si>
  <si>
    <t>Imported data from the Prodcom Python notebook, calculations and screening.</t>
  </si>
  <si>
    <t>Details of the bibliographic references used in this Excel file.</t>
  </si>
  <si>
    <t>Color</t>
  </si>
  <si>
    <t>Example 1</t>
  </si>
  <si>
    <t>Example 2</t>
  </si>
  <si>
    <t>Example 3</t>
  </si>
  <si>
    <t>Data Assumption</t>
  </si>
  <si>
    <t>pink background</t>
  </si>
  <si>
    <t>Data Reference</t>
  </si>
  <si>
    <t>grey background</t>
  </si>
  <si>
    <t>Formula</t>
  </si>
  <si>
    <t>blue</t>
  </si>
  <si>
    <t>Data Linked Cell</t>
  </si>
  <si>
    <t>brown, italics</t>
  </si>
  <si>
    <t>Text Reference</t>
  </si>
  <si>
    <t>small, grey, italic</t>
  </si>
  <si>
    <t>Bohers, 2024 - Com. Pers.</t>
  </si>
  <si>
    <t>(Muñoz and Weidema, 2024, p. 4)</t>
  </si>
  <si>
    <t>[2]</t>
  </si>
  <si>
    <t>Text Unit</t>
  </si>
  <si>
    <t>small, centered</t>
  </si>
  <si>
    <t>kt.km</t>
  </si>
  <si>
    <t>MJ LHV/kg DM</t>
  </si>
  <si>
    <t>°C</t>
  </si>
  <si>
    <t>Text Formula</t>
  </si>
  <si>
    <t>small, blue</t>
  </si>
  <si>
    <t>=90.9*37000000</t>
  </si>
  <si>
    <t>=SUM(I14:I19)/J19</t>
  </si>
  <si>
    <t>yellow background, no specific style (apply on top)</t>
  </si>
  <si>
    <t>bold, color depending on type</t>
  </si>
  <si>
    <t>Style name</t>
  </si>
  <si>
    <t>Assumed data (no specific reference)</t>
  </si>
  <si>
    <t>Data with reference (input)</t>
  </si>
  <si>
    <t>Cell performing calculations using other cells</t>
  </si>
  <si>
    <t>Cell refering to another, without transformation</t>
  </si>
  <si>
    <t>Note</t>
  </si>
  <si>
    <t>Reference text</t>
  </si>
  <si>
    <t>Unit</t>
  </si>
  <si>
    <t>Formula used in closeby cells (generally below), for history</t>
  </si>
  <si>
    <t>No specific style</t>
  </si>
  <si>
    <t>Important cell, not being a note</t>
  </si>
  <si>
    <t>Emphasized cells (e.g., key intermediate or final results)</t>
  </si>
  <si>
    <t>Authors</t>
  </si>
  <si>
    <t>This file is part of a set of supplementary materials. Please refer to the main manuscript and the accompanying document to find other materials and for a description of their usage.</t>
  </si>
  <si>
    <t>README sheet</t>
  </si>
  <si>
    <t>nicolas.lienart@insa-toulouse.fr</t>
  </si>
  <si>
    <t>lorie.hamelin@insa-toulouse.fr</t>
  </si>
  <si>
    <t>This file is used to perform screening on the top most produced and imported products obtained from Prodcom data processing using the related Python notebook. LCI datasets are associated to the selected hotspots. The final output is a CSV file that can be processed by the environmental hotspot calculation Python notebook.</t>
  </si>
  <si>
    <t>Contact (Nicolas Lienart)</t>
  </si>
  <si>
    <t>Contact (Lorie Hamelin)</t>
  </si>
  <si>
    <t>Main paper title</t>
  </si>
  <si>
    <t>Residual biomass to bio-based chemicals and plastics: ex-ante screening methodology for prioritizing high-impact substitutions</t>
  </si>
  <si>
    <t>Nicolas LIENART, Thibaut LECOMPTE, Lorie HAMELIN</t>
  </si>
  <si>
    <t>output/reorganized annual_series.csv</t>
  </si>
  <si>
    <t>Updates</t>
  </si>
  <si>
    <t>Date</t>
  </si>
  <si>
    <t>Ready for submission</t>
  </si>
  <si>
    <t>Git repository (Forge INRAE)</t>
  </si>
  <si>
    <t>https://forge.inrae.fr/nicolas.lienart/screen-lca-paper-supplementary-code</t>
  </si>
  <si>
    <t>Git repository (GitHub)</t>
  </si>
  <si>
    <t>https://github.com/nicolnt/screen-lca-paper-supplementary-code</t>
  </si>
  <si>
    <t>Contact (Thibaut Lecompte)</t>
  </si>
  <si>
    <t>thibaut.lecompte@univ-ubs.fr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</si>
</sst>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2" x14ac:knownFonts="1">
    <font>
      <sz val="11"/>
      <color theme="1"/>
      <name val="Calibri"/>
      <family val="2"/>
      <scheme val="minor"/>
    </font>
    <font>
      <sz val="9"/>
      <color indexed="81"/>
      <name val="Tahoma"/>
      <family val="2"/>
    </font>
    <font>
      <b/>
      <sz val="9"/>
      <color indexed="81"/>
      <name val="Tahoma"/>
      <family val="2"/>
    </font>
    <font>
      <u/>
      <sz val="11"/>
      <color theme="1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theme="0"/>
      <name val="Calibri"/>
      <family val="2"/>
      <scheme val="minor"/>
    </font>
    <font>
      <sz val="11"/>
      <color theme="0"/>
      <name val="Calibri"/>
      <family val="2"/>
      <scheme val="minor"/>
    </font>
    <font>
      <sz val="10"/>
      <name val="Arial"/>
      <family val="2"/>
    </font>
    <font>
      <i/>
      <sz val="10"/>
      <color rgb="FFCC6600"/>
      <name val="Arial"/>
      <family val="2"/>
    </font>
    <font>
      <sz val="10"/>
      <color theme="4"/>
      <name val="Arial"/>
      <family val="2"/>
    </font>
    <font>
      <sz val="9"/>
      <color theme="4" tint="0.39997558519241921"/>
      <name val="Arial"/>
      <family val="2"/>
    </font>
    <font>
      <sz val="10"/>
      <color theme="1"/>
      <name val="Arial"/>
      <family val="2"/>
    </font>
    <font>
      <sz val="9"/>
      <color rgb="FFFF0000"/>
      <name val="Arial"/>
      <family val="2"/>
    </font>
    <font>
      <i/>
      <sz val="9"/>
      <color theme="1" tint="0.499984740745262"/>
      <name val="Arial"/>
      <family val="2"/>
    </font>
    <font>
      <sz val="9"/>
      <color theme="1"/>
      <name val="Arial"/>
      <family val="2"/>
    </font>
    <font>
      <i/>
      <sz val="11"/>
      <color theme="1"/>
      <name val="Calibri"/>
      <family val="2"/>
      <scheme val="minor"/>
    </font>
    <font>
      <b/>
      <sz val="10"/>
      <color theme="1"/>
      <name val="Calibri"/>
      <family val="2"/>
    </font>
    <font>
      <b/>
      <sz val="10"/>
      <color theme="4"/>
      <name val="Arial"/>
      <family val="2"/>
    </font>
    <font>
      <b/>
      <i/>
      <sz val="10"/>
      <color rgb="FFCC6600"/>
      <name val="Arial"/>
      <family val="2"/>
    </font>
    <font>
      <b/>
      <sz val="10"/>
      <name val="Arial"/>
      <family val="2"/>
    </font>
  </fonts>
  <fills count="7">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4"/>
      </patternFill>
    </fill>
    <fill>
      <patternFill patternType="solid">
        <fgColor rgb="FFFFE1E1"/>
        <bgColor indexed="64"/>
      </patternFill>
    </fill>
    <fill>
      <patternFill patternType="solid">
        <fgColor rgb="FF00B0F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ck">
        <color theme="4" tint="0.499984740745262"/>
      </bottom>
      <diagonal/>
    </border>
    <border>
      <left/>
      <right style="medium">
        <color indexed="64"/>
      </right>
      <top style="medium">
        <color indexed="64"/>
      </top>
      <bottom style="thick">
        <color theme="4" tint="0.499984740745262"/>
      </bottom>
      <diagonal/>
    </border>
  </borders>
  <cellStyleXfs count="16">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8" fillId="4" borderId="0" applyNumberFormat="0" applyBorder="0" applyAlignment="0" applyProtection="0"/>
    <xf numFmtId="0" fontId="9" fillId="5" borderId="0" applyNumberFormat="0" applyBorder="0" applyAlignment="0" applyProtection="0"/>
    <xf numFmtId="0" fontId="10" fillId="0" borderId="0" applyNumberFormat="0" applyBorder="0" applyAlignment="0" applyProtection="0"/>
    <xf numFmtId="0" fontId="9" fillId="2" borderId="0" applyNumberFormat="0" applyBorder="0" applyAlignment="0" applyProtection="0"/>
    <xf numFmtId="0" fontId="11" fillId="0" borderId="0" applyNumberFormat="0" applyBorder="0" applyAlignment="0" applyProtection="0"/>
    <xf numFmtId="0" fontId="12" fillId="0" borderId="0" applyNumberFormat="0" applyBorder="0" applyAlignment="0" applyProtection="0">
      <alignment vertical="top"/>
    </xf>
    <xf numFmtId="0" fontId="13" fillId="0" borderId="0" applyNumberFormat="0" applyBorder="0" applyAlignment="0" applyProtection="0"/>
    <xf numFmtId="0" fontId="14" fillId="3" borderId="0" applyNumberFormat="0" applyBorder="0" applyAlignment="0" applyProtection="0"/>
    <xf numFmtId="0" fontId="15" fillId="0" borderId="0" applyNumberFormat="0" applyBorder="0" applyAlignment="0" applyProtection="0"/>
    <xf numFmtId="0" fontId="16" fillId="0" borderId="0" applyNumberFormat="0" applyBorder="0" applyAlignment="0" applyProtection="0">
      <alignment horizontal="left"/>
    </xf>
    <xf numFmtId="0" fontId="9" fillId="6" borderId="0" applyNumberFormat="0" applyBorder="0" applyAlignment="0" applyProtection="0"/>
  </cellStyleXfs>
  <cellXfs count="79">
    <xf numFmtId="0" fontId="0" fillId="0" borderId="0" xfId="0"/>
    <xf numFmtId="14" fontId="0" fillId="0" borderId="9" xfId="0" applyNumberFormat="1" applyBorder="1" applyAlignment="1">
      <alignment horizontal="center"/>
    </xf>
    <xf numFmtId="0" fontId="3" fillId="0" borderId="0" xfId="1" applyAlignment="1">
      <alignment wrapText="1"/>
    </xf>
    <xf numFmtId="49" fontId="0" fillId="0" borderId="0" xfId="0" applyNumberFormat="1"/>
    <xf numFmtId="0" fontId="0" fillId="0" borderId="0" xfId="0"/>
    <xf numFmtId="0" fontId="0" fillId="3" borderId="0" xfId="0" applyFill="1"/>
    <xf numFmtId="0" fontId="3" fillId="0" borderId="0" xfId="1"/>
    <xf numFmtId="0" fontId="0" fillId="0" borderId="0" xfId="0" applyNumberFormat="1"/>
    <xf numFmtId="3" fontId="0" fillId="0" borderId="0" xfId="0" applyNumberFormat="1"/>
    <xf numFmtId="10" fontId="9" fillId="2" borderId="0" xfId="8" applyNumberFormat="1" applyAlignment="1">
      <alignment horizontal="center" vertical="center"/>
    </xf>
    <xf numFmtId="49" fontId="9" fillId="2" borderId="0" xfId="8" applyNumberFormat="1"/>
    <xf numFmtId="0" fontId="9" fillId="2" borderId="0" xfId="8"/>
    <xf numFmtId="0" fontId="9" fillId="5" borderId="0" xfId="6" applyAlignment="1">
      <alignment horizontal="center" vertical="center"/>
    </xf>
    <xf numFmtId="11" fontId="11" fillId="0" borderId="0" xfId="9" applyNumberFormat="1" applyAlignment="1">
      <alignment horizontal="center" vertical="center"/>
    </xf>
    <xf numFmtId="0" fontId="12" fillId="0" borderId="0" xfId="10" quotePrefix="1">
      <alignment vertical="top"/>
    </xf>
    <xf numFmtId="0" fontId="12" fillId="0" borderId="0" xfId="10" applyAlignment="1"/>
    <xf numFmtId="0" fontId="9" fillId="2" borderId="0" xfId="8" applyNumberFormat="1" applyAlignment="1">
      <alignment horizontal="center" vertical="center"/>
    </xf>
    <xf numFmtId="0" fontId="16" fillId="0" borderId="0" xfId="14" applyAlignment="1">
      <alignment horizontal="center"/>
    </xf>
    <xf numFmtId="3" fontId="16" fillId="0" borderId="0" xfId="14" applyNumberFormat="1" applyAlignment="1">
      <alignment horizontal="center"/>
    </xf>
    <xf numFmtId="0" fontId="16" fillId="0" borderId="0" xfId="14" applyAlignment="1"/>
    <xf numFmtId="0" fontId="0" fillId="0" borderId="0" xfId="0" applyAlignment="1">
      <alignment horizontal="right"/>
    </xf>
    <xf numFmtId="0" fontId="9" fillId="5" borderId="0" xfId="6" applyNumberFormat="1" applyAlignment="1">
      <alignment horizontal="center" vertical="center"/>
    </xf>
    <xf numFmtId="0" fontId="11" fillId="0" borderId="0" xfId="9" applyNumberFormat="1" applyAlignment="1">
      <alignment horizontal="center" vertical="center"/>
    </xf>
    <xf numFmtId="10" fontId="11" fillId="0" borderId="0" xfId="9" applyNumberFormat="1" applyAlignment="1">
      <alignment horizontal="center" vertical="center"/>
    </xf>
    <xf numFmtId="0" fontId="15" fillId="0" borderId="0" xfId="13"/>
    <xf numFmtId="0" fontId="9" fillId="5" borderId="0" xfId="6"/>
    <xf numFmtId="0" fontId="9" fillId="3" borderId="0" xfId="6" applyFill="1"/>
    <xf numFmtId="2" fontId="10" fillId="0" borderId="0" xfId="7" applyNumberFormat="1" applyAlignment="1">
      <alignment horizontal="center"/>
    </xf>
    <xf numFmtId="2" fontId="10" fillId="0" borderId="0" xfId="7" applyNumberFormat="1" applyAlignment="1">
      <alignment horizontal="center" vertical="center"/>
    </xf>
    <xf numFmtId="2" fontId="11" fillId="0" borderId="0" xfId="9" applyNumberFormat="1" applyAlignment="1">
      <alignment horizontal="center" vertical="center"/>
    </xf>
    <xf numFmtId="0" fontId="11" fillId="0" borderId="0" xfId="9"/>
    <xf numFmtId="0" fontId="5" fillId="0" borderId="2" xfId="3"/>
    <xf numFmtId="0" fontId="9" fillId="5" borderId="0" xfId="6" applyAlignment="1">
      <alignment horizontal="left" vertical="center"/>
    </xf>
    <xf numFmtId="0" fontId="10" fillId="0" borderId="0" xfId="7"/>
    <xf numFmtId="0" fontId="4" fillId="0" borderId="1" xfId="2"/>
    <xf numFmtId="0" fontId="0" fillId="0" borderId="0" xfId="0" applyAlignment="1">
      <alignment horizontal="center"/>
    </xf>
    <xf numFmtId="0" fontId="6" fillId="0" borderId="3" xfId="4"/>
    <xf numFmtId="0" fontId="5" fillId="0" borderId="2" xfId="3" applyAlignment="1">
      <alignment horizontal="left"/>
    </xf>
    <xf numFmtId="0" fontId="7" fillId="4" borderId="4" xfId="5" applyFont="1" applyBorder="1" applyAlignment="1">
      <alignment horizontal="center"/>
    </xf>
    <xf numFmtId="0" fontId="7" fillId="4" borderId="5" xfId="5" applyFont="1" applyBorder="1" applyAlignment="1">
      <alignment horizontal="center"/>
    </xf>
    <xf numFmtId="0" fontId="7" fillId="4" borderId="6" xfId="5" applyFont="1" applyBorder="1" applyAlignment="1">
      <alignment horizontal="center"/>
    </xf>
    <xf numFmtId="0" fontId="0" fillId="0" borderId="7" xfId="0" applyBorder="1" applyAlignment="1">
      <alignment horizontal="center"/>
    </xf>
    <xf numFmtId="0" fontId="9" fillId="5" borderId="0" xfId="6" applyBorder="1"/>
    <xf numFmtId="11" fontId="9" fillId="5" borderId="8" xfId="6" applyNumberFormat="1" applyBorder="1"/>
    <xf numFmtId="0" fontId="9" fillId="2" borderId="0" xfId="8" applyBorder="1"/>
    <xf numFmtId="11" fontId="9" fillId="2" borderId="8" xfId="8" applyNumberFormat="1" applyBorder="1"/>
    <xf numFmtId="0" fontId="11" fillId="0" borderId="0" xfId="9" applyBorder="1"/>
    <xf numFmtId="164" fontId="11" fillId="0" borderId="0" xfId="9" applyNumberFormat="1" applyBorder="1"/>
    <xf numFmtId="11" fontId="11" fillId="0" borderId="8" xfId="9" applyNumberFormat="1" applyBorder="1"/>
    <xf numFmtId="0" fontId="10" fillId="0" borderId="0" xfId="7" applyBorder="1"/>
    <xf numFmtId="11" fontId="10" fillId="0" borderId="8" xfId="7" applyNumberFormat="1" applyBorder="1"/>
    <xf numFmtId="0" fontId="15" fillId="0" borderId="0" xfId="13" applyBorder="1"/>
    <xf numFmtId="0" fontId="15" fillId="0" borderId="8" xfId="13" applyBorder="1"/>
    <xf numFmtId="0" fontId="16" fillId="0" borderId="0" xfId="14" applyBorder="1" applyAlignment="1">
      <alignment horizontal="left"/>
    </xf>
    <xf numFmtId="0" fontId="16" fillId="0" borderId="8" xfId="14" applyBorder="1" applyAlignment="1">
      <alignment horizontal="left"/>
    </xf>
    <xf numFmtId="0" fontId="12" fillId="0" borderId="0" xfId="10" quotePrefix="1" applyBorder="1" applyAlignment="1">
      <alignment vertical="top"/>
    </xf>
    <xf numFmtId="0" fontId="12" fillId="0" borderId="8" xfId="10" applyBorder="1" applyAlignment="1"/>
    <xf numFmtId="0" fontId="17" fillId="0" borderId="7" xfId="0" applyFont="1" applyBorder="1" applyAlignment="1">
      <alignment horizontal="center"/>
    </xf>
    <xf numFmtId="0" fontId="0" fillId="3" borderId="8" xfId="0" applyFill="1" applyBorder="1"/>
    <xf numFmtId="0" fontId="17" fillId="0" borderId="9" xfId="0" applyFont="1" applyBorder="1" applyAlignment="1">
      <alignment horizontal="center"/>
    </xf>
    <xf numFmtId="0" fontId="0" fillId="0" borderId="10" xfId="0" applyBorder="1"/>
    <xf numFmtId="0" fontId="18" fillId="0" borderId="10" xfId="0" applyFont="1" applyBorder="1"/>
    <xf numFmtId="0" fontId="19" fillId="0" borderId="10" xfId="9" applyFont="1" applyBorder="1"/>
    <xf numFmtId="0" fontId="20" fillId="0" borderId="10" xfId="7" applyFont="1" applyBorder="1"/>
    <xf numFmtId="11" fontId="21" fillId="2" borderId="11" xfId="8" applyNumberFormat="1" applyFont="1" applyBorder="1"/>
    <xf numFmtId="0" fontId="0" fillId="0" borderId="0" xfId="0" applyAlignment="1">
      <alignment wrapText="1"/>
    </xf>
    <xf numFmtId="0" fontId="0" fillId="0" borderId="8" xfId="0" applyBorder="1"/>
    <xf numFmtId="0" fontId="0" fillId="0" borderId="11" xfId="0" applyBorder="1"/>
    <xf numFmtId="0" fontId="7" fillId="4" borderId="6" xfId="5" applyFont="1" applyBorder="1" applyAlignment="1">
      <alignment horizontal="left"/>
    </xf>
    <xf numFmtId="0" fontId="0" fillId="0" borderId="9" xfId="0" applyBorder="1" applyAlignment="1">
      <alignment horizontal="center"/>
    </xf>
    <xf numFmtId="0" fontId="7" fillId="4" borderId="12" xfId="5" applyFont="1" applyBorder="1" applyAlignment="1">
      <alignment horizontal="center"/>
    </xf>
    <xf numFmtId="0" fontId="7" fillId="4" borderId="13" xfId="5" applyFont="1" applyBorder="1"/>
    <xf numFmtId="0" fontId="3" fillId="0" borderId="8" xfId="1" applyBorder="1"/>
    <xf numFmtId="0" fontId="3" fillId="0" borderId="11" xfId="1" applyBorder="1"/>
    <xf numFmtId="0" fontId="7" fillId="4" borderId="0" xfId="5" applyFont="1" applyAlignment="1">
      <alignment horizontal="center" vertical="center"/>
    </xf>
    <xf numFmtId="49" fontId="7" fillId="4" borderId="0" xfId="5" applyNumberFormat="1" applyFont="1" applyAlignment="1">
      <alignment horizontal="center" vertical="center"/>
    </xf>
    <xf numFmtId="0" fontId="0" fillId="0" borderId="0" xfId="0"/>
    <xf numFmtId="0" fontId="15" fillId="0" borderId="7" xfId="13" applyBorder="1" applyAlignment="1">
      <alignment horizontal="center"/>
    </xf>
    <xf numFmtId="0" fontId="15" fillId="0" borderId="9" xfId="13" applyBorder="1" applyAlignment="1">
      <alignment horizontal="center"/>
    </xf>
  </cellXfs>
  <cellStyles count="16">
    <cellStyle name="Accent1" xfId="5" builtinId="29"/>
    <cellStyle name="Data Assumption" xfId="6" xr:uid="{EB2A3700-F1B5-42F3-AB51-699BF1D97C4D}"/>
    <cellStyle name="Data Linked Cell" xfId="7" xr:uid="{1251E485-E332-47DA-82B6-0AB0BA28EF04}"/>
    <cellStyle name="Data Reference" xfId="8" xr:uid="{9287FCBF-4D4C-491F-AF2A-8E2CC5AA9E5C}"/>
    <cellStyle name="Formula" xfId="9" xr:uid="{1DABCCAF-49EC-4FEE-BC55-C4D9BF5013A6}"/>
    <cellStyle name="Heading 1" xfId="2" builtinId="16"/>
    <cellStyle name="Heading 2" xfId="3" builtinId="17"/>
    <cellStyle name="Heading 3" xfId="4" builtinId="18"/>
    <cellStyle name="Hyperlink" xfId="1" builtinId="8"/>
    <cellStyle name="Normal" xfId="0" builtinId="0"/>
    <cellStyle name="Required User Input" xfId="15" xr:uid="{A9E4DDA5-588D-4875-9F5A-566DC75BBDD0}"/>
    <cellStyle name="Text Formula" xfId="10" xr:uid="{390BEB70-955D-434A-958A-AC1EFE058255}"/>
    <cellStyle name="Text Note" xfId="11" xr:uid="{624BCBDE-D58D-44DB-AD00-6A63BC82B9D4}"/>
    <cellStyle name="Text Note Highlight" xfId="12" xr:uid="{F6E67C2E-A1A9-487A-86C0-A902F27F31C2}"/>
    <cellStyle name="Text Reference" xfId="13" xr:uid="{6F50148F-1DA8-429E-9D6D-A2979BCCE4E7}"/>
    <cellStyle name="Text Unit" xfId="14" xr:uid="{492A4EBE-4D42-4913-8B23-0EB2E5AA3D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260204 - reorganized annual_series" connectionId="1" xr16:uid="{124DA779-F4E7-45A1-886F-B7FD43D43553}"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nicolnt/screen-lca-paper-supplementary-code" TargetMode="External"/><Relationship Id="rId2" Type="http://schemas.openxmlformats.org/officeDocument/2006/relationships/hyperlink" Target="mailto:lorie.hamelin@insa-toulouse.fr" TargetMode="External"/><Relationship Id="rId1" Type="http://schemas.openxmlformats.org/officeDocument/2006/relationships/hyperlink" Target="mailto:nicolas.lienart@insa-toulouse.fr" TargetMode="External"/><Relationship Id="rId4" Type="http://schemas.openxmlformats.org/officeDocument/2006/relationships/hyperlink" Target="https://forge.inrae.fr/nicolas.lienart/screen-lca-paper-supplementary-code" TargetMode="External"/></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1515/psr-2020-0076" TargetMode="External"/><Relationship Id="rId13" Type="http://schemas.openxmlformats.org/officeDocument/2006/relationships/hyperlink" Target="https://doi.org/10.1186/s12934-016-0612-6" TargetMode="External"/><Relationship Id="rId3" Type="http://schemas.openxmlformats.org/officeDocument/2006/relationships/hyperlink" Target="https://doi.org/10.1002/14356007.a01_279.pub2" TargetMode="External"/><Relationship Id="rId7" Type="http://schemas.openxmlformats.org/officeDocument/2006/relationships/hyperlink" Target="https://support.ecoinvent.org/ecoinvent-version-3.11" TargetMode="External"/><Relationship Id="rId12" Type="http://schemas.openxmlformats.org/officeDocument/2006/relationships/hyperlink" Target="https://doi.org/10.2172/1244312" TargetMode="External"/><Relationship Id="rId17" Type="http://schemas.openxmlformats.org/officeDocument/2006/relationships/hyperlink" Target="https://doi.org/10.1016/j.jclepro.2011.12.037" TargetMode="External"/><Relationship Id="rId2" Type="http://schemas.openxmlformats.org/officeDocument/2006/relationships/hyperlink" Target="https://doi.org/10.1002/14356007.a04_463.pub3" TargetMode="External"/><Relationship Id="rId16" Type="http://schemas.openxmlformats.org/officeDocument/2006/relationships/hyperlink" Target="http://www.lib.ncsu.edu/resolver/1840.16/3805" TargetMode="External"/><Relationship Id="rId1" Type="http://schemas.openxmlformats.org/officeDocument/2006/relationships/hyperlink" Target="https://doi.org/10.1002/cssc.202102628" TargetMode="External"/><Relationship Id="rId6" Type="http://schemas.openxmlformats.org/officeDocument/2006/relationships/hyperlink" Target="https://doi.org/10.1002/14356007.a04_447.pub2" TargetMode="External"/><Relationship Id="rId11" Type="http://schemas.openxmlformats.org/officeDocument/2006/relationships/hyperlink" Target="https://doi.org/10.1002/14356007.a26_193.pub3" TargetMode="External"/><Relationship Id="rId5" Type="http://schemas.openxmlformats.org/officeDocument/2006/relationships/hyperlink" Target="https://doi.org/10.1002/14356007.a25_413.pub3" TargetMode="External"/><Relationship Id="rId15" Type="http://schemas.openxmlformats.org/officeDocument/2006/relationships/hyperlink" Target="https://www.epa.gov/chemical-data-reporting/access-chemical-data-reporting-data" TargetMode="External"/><Relationship Id="rId10" Type="http://schemas.openxmlformats.org/officeDocument/2006/relationships/hyperlink" Target="https://doi.org/10.1002/14356007.a20_181.pub2" TargetMode="External"/><Relationship Id="rId4" Type="http://schemas.openxmlformats.org/officeDocument/2006/relationships/hyperlink" Target="https://doi.org/10.1016/j.resconrec.2022.106324" TargetMode="External"/><Relationship Id="rId9" Type="http://schemas.openxmlformats.org/officeDocument/2006/relationships/hyperlink" Target="https://doi.org/10.1002/14356007.a14_611.pub2" TargetMode="External"/><Relationship Id="rId14" Type="http://schemas.openxmlformats.org/officeDocument/2006/relationships/hyperlink" Target="https://doi.org/10.1128/AEM.0241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BF45-AF91-442A-8C6A-4CCC341D5D94}">
  <sheetPr codeName="Sheet1"/>
  <dimension ref="B2:G46"/>
  <sheetViews>
    <sheetView tabSelected="1" zoomScaleNormal="100" workbookViewId="0">
      <selection activeCell="B12" sqref="B12"/>
    </sheetView>
  </sheetViews>
  <sheetFormatPr defaultRowHeight="14.4" x14ac:dyDescent="0.3"/>
  <cols>
    <col min="2" max="2" width="35.77734375" customWidth="1"/>
    <col min="3" max="3" width="72.5546875" customWidth="1"/>
    <col min="4" max="4" width="14.5546875" customWidth="1"/>
    <col min="5" max="7" width="15" customWidth="1"/>
  </cols>
  <sheetData>
    <row r="2" spans="2:3" ht="20.399999999999999" thickBot="1" x14ac:dyDescent="0.45">
      <c r="B2" s="34" t="s">
        <v>883</v>
      </c>
    </row>
    <row r="3" spans="2:3" ht="15" thickTop="1" x14ac:dyDescent="0.3"/>
    <row r="5" spans="2:3" ht="18" thickBot="1" x14ac:dyDescent="0.4">
      <c r="B5" s="31" t="s">
        <v>827</v>
      </c>
    </row>
    <row r="6" spans="2:3" ht="15" thickTop="1" x14ac:dyDescent="0.3"/>
    <row r="7" spans="2:3" x14ac:dyDescent="0.3">
      <c r="B7" t="s">
        <v>889</v>
      </c>
      <c r="C7" t="s">
        <v>890</v>
      </c>
    </row>
    <row r="8" spans="2:3" x14ac:dyDescent="0.3">
      <c r="B8" t="s">
        <v>881</v>
      </c>
      <c r="C8" t="s">
        <v>891</v>
      </c>
    </row>
    <row r="9" spans="2:3" x14ac:dyDescent="0.3">
      <c r="B9" t="s">
        <v>887</v>
      </c>
      <c r="C9" s="6" t="s">
        <v>884</v>
      </c>
    </row>
    <row r="10" spans="2:3" s="76" customFormat="1" x14ac:dyDescent="0.3">
      <c r="B10" s="76" t="s">
        <v>900</v>
      </c>
      <c r="C10" s="6" t="s">
        <v>901</v>
      </c>
    </row>
    <row r="11" spans="2:3" x14ac:dyDescent="0.3">
      <c r="B11" t="s">
        <v>888</v>
      </c>
      <c r="C11" s="6" t="s">
        <v>885</v>
      </c>
    </row>
    <row r="12" spans="2:3" ht="57.6" x14ac:dyDescent="0.3">
      <c r="B12" t="s">
        <v>577</v>
      </c>
      <c r="C12" s="65" t="s">
        <v>886</v>
      </c>
    </row>
    <row r="13" spans="2:3" ht="43.2" x14ac:dyDescent="0.3">
      <c r="B13" t="s">
        <v>874</v>
      </c>
      <c r="C13" s="65" t="s">
        <v>882</v>
      </c>
    </row>
    <row r="14" spans="2:3" s="76" customFormat="1" x14ac:dyDescent="0.3">
      <c r="B14" s="76" t="s">
        <v>896</v>
      </c>
      <c r="C14" s="2" t="s">
        <v>897</v>
      </c>
    </row>
    <row r="15" spans="2:3" s="76" customFormat="1" x14ac:dyDescent="0.3">
      <c r="B15" s="76" t="s">
        <v>898</v>
      </c>
      <c r="C15" s="2" t="s">
        <v>899</v>
      </c>
    </row>
    <row r="16" spans="2:3" s="76" customFormat="1" x14ac:dyDescent="0.3"/>
    <row r="17" spans="2:3" s="76" customFormat="1" x14ac:dyDescent="0.3"/>
    <row r="18" spans="2:3" s="76" customFormat="1" ht="18" thickBot="1" x14ac:dyDescent="0.4">
      <c r="B18" s="31" t="s">
        <v>893</v>
      </c>
    </row>
    <row r="19" spans="2:3" s="76" customFormat="1" ht="15.6" thickTop="1" thickBot="1" x14ac:dyDescent="0.35"/>
    <row r="20" spans="2:3" s="76" customFormat="1" x14ac:dyDescent="0.3">
      <c r="B20" s="38" t="s">
        <v>894</v>
      </c>
      <c r="C20" s="68" t="s">
        <v>874</v>
      </c>
    </row>
    <row r="21" spans="2:3" s="76" customFormat="1" ht="15" thickBot="1" x14ac:dyDescent="0.35">
      <c r="B21" s="1">
        <v>46146</v>
      </c>
      <c r="C21" s="67" t="s">
        <v>895</v>
      </c>
    </row>
    <row r="22" spans="2:3" s="76" customFormat="1" x14ac:dyDescent="0.3"/>
    <row r="24" spans="2:3" ht="18" thickBot="1" x14ac:dyDescent="0.4">
      <c r="B24" s="31" t="s">
        <v>825</v>
      </c>
    </row>
    <row r="25" spans="2:3" ht="15.6" thickTop="1" thickBot="1" x14ac:dyDescent="0.35"/>
    <row r="26" spans="2:3" x14ac:dyDescent="0.3">
      <c r="B26" s="38" t="s">
        <v>832</v>
      </c>
      <c r="C26" s="68" t="s">
        <v>577</v>
      </c>
    </row>
    <row r="27" spans="2:3" x14ac:dyDescent="0.3">
      <c r="B27" s="41" t="s">
        <v>828</v>
      </c>
      <c r="C27" s="66" t="s">
        <v>833</v>
      </c>
    </row>
    <row r="28" spans="2:3" x14ac:dyDescent="0.3">
      <c r="B28" s="41" t="s">
        <v>829</v>
      </c>
      <c r="C28" s="66" t="s">
        <v>839</v>
      </c>
    </row>
    <row r="29" spans="2:3" x14ac:dyDescent="0.3">
      <c r="B29" s="41" t="s">
        <v>835</v>
      </c>
      <c r="C29" s="66" t="s">
        <v>836</v>
      </c>
    </row>
    <row r="30" spans="2:3" x14ac:dyDescent="0.3">
      <c r="B30" s="41" t="s">
        <v>830</v>
      </c>
      <c r="C30" s="66" t="s">
        <v>837</v>
      </c>
    </row>
    <row r="31" spans="2:3" x14ac:dyDescent="0.3">
      <c r="B31" s="41" t="s">
        <v>831</v>
      </c>
      <c r="C31" s="66" t="s">
        <v>838</v>
      </c>
    </row>
    <row r="32" spans="2:3" ht="15" thickBot="1" x14ac:dyDescent="0.35">
      <c r="B32" s="69" t="s">
        <v>500</v>
      </c>
      <c r="C32" s="67" t="s">
        <v>840</v>
      </c>
    </row>
    <row r="35" spans="2:7" ht="18" thickBot="1" x14ac:dyDescent="0.4">
      <c r="B35" s="31" t="s">
        <v>826</v>
      </c>
    </row>
    <row r="36" spans="2:7" ht="15.6" thickTop="1" thickBot="1" x14ac:dyDescent="0.35"/>
    <row r="37" spans="2:7" x14ac:dyDescent="0.3">
      <c r="B37" s="38" t="s">
        <v>869</v>
      </c>
      <c r="C37" s="39" t="s">
        <v>577</v>
      </c>
      <c r="D37" s="39" t="s">
        <v>841</v>
      </c>
      <c r="E37" s="39" t="s">
        <v>842</v>
      </c>
      <c r="F37" s="39" t="s">
        <v>843</v>
      </c>
      <c r="G37" s="40" t="s">
        <v>844</v>
      </c>
    </row>
    <row r="38" spans="2:7" x14ac:dyDescent="0.3">
      <c r="B38" s="41" t="s">
        <v>845</v>
      </c>
      <c r="C38" t="s">
        <v>870</v>
      </c>
      <c r="D38" s="42" t="s">
        <v>846</v>
      </c>
      <c r="E38" s="42">
        <v>15</v>
      </c>
      <c r="F38" s="42">
        <v>4.1154000000000003E-2</v>
      </c>
      <c r="G38" s="43">
        <v>5.5855E-5</v>
      </c>
    </row>
    <row r="39" spans="2:7" x14ac:dyDescent="0.3">
      <c r="B39" s="41" t="s">
        <v>847</v>
      </c>
      <c r="C39" t="s">
        <v>871</v>
      </c>
      <c r="D39" s="44" t="s">
        <v>848</v>
      </c>
      <c r="E39" s="44">
        <v>15</v>
      </c>
      <c r="F39" s="44">
        <v>4.1154000000000003E-2</v>
      </c>
      <c r="G39" s="45">
        <v>5.5855E-5</v>
      </c>
    </row>
    <row r="40" spans="2:7" x14ac:dyDescent="0.3">
      <c r="B40" s="41" t="s">
        <v>849</v>
      </c>
      <c r="C40" t="s">
        <v>872</v>
      </c>
      <c r="D40" s="46" t="s">
        <v>850</v>
      </c>
      <c r="E40" s="46">
        <v>15</v>
      </c>
      <c r="F40" s="47">
        <v>4.1154000000000003E-2</v>
      </c>
      <c r="G40" s="48">
        <v>5.5855E-5</v>
      </c>
    </row>
    <row r="41" spans="2:7" x14ac:dyDescent="0.3">
      <c r="B41" s="41" t="s">
        <v>851</v>
      </c>
      <c r="C41" t="s">
        <v>873</v>
      </c>
      <c r="D41" s="49" t="s">
        <v>852</v>
      </c>
      <c r="E41" s="49">
        <v>15</v>
      </c>
      <c r="F41" s="49">
        <v>4.1154000000000003E-2</v>
      </c>
      <c r="G41" s="50">
        <v>5.5855E-5</v>
      </c>
    </row>
    <row r="42" spans="2:7" x14ac:dyDescent="0.3">
      <c r="B42" s="41" t="s">
        <v>853</v>
      </c>
      <c r="C42" t="s">
        <v>875</v>
      </c>
      <c r="D42" s="51" t="s">
        <v>854</v>
      </c>
      <c r="E42" s="51" t="s">
        <v>855</v>
      </c>
      <c r="F42" s="51" t="s">
        <v>856</v>
      </c>
      <c r="G42" s="52" t="s">
        <v>857</v>
      </c>
    </row>
    <row r="43" spans="2:7" x14ac:dyDescent="0.3">
      <c r="B43" s="41" t="s">
        <v>858</v>
      </c>
      <c r="C43" t="s">
        <v>876</v>
      </c>
      <c r="D43" s="53" t="s">
        <v>859</v>
      </c>
      <c r="E43" s="53" t="s">
        <v>860</v>
      </c>
      <c r="F43" s="53" t="s">
        <v>861</v>
      </c>
      <c r="G43" s="54" t="s">
        <v>862</v>
      </c>
    </row>
    <row r="44" spans="2:7" x14ac:dyDescent="0.3">
      <c r="B44" s="41" t="s">
        <v>863</v>
      </c>
      <c r="C44" t="s">
        <v>877</v>
      </c>
      <c r="D44" s="55" t="s">
        <v>864</v>
      </c>
      <c r="E44" s="55" t="s">
        <v>865</v>
      </c>
      <c r="F44" s="55" t="s">
        <v>866</v>
      </c>
      <c r="G44" s="56"/>
    </row>
    <row r="45" spans="2:7" x14ac:dyDescent="0.3">
      <c r="B45" s="57" t="s">
        <v>878</v>
      </c>
      <c r="C45" t="s">
        <v>879</v>
      </c>
      <c r="D45" s="5" t="s">
        <v>867</v>
      </c>
      <c r="E45" s="5">
        <v>15</v>
      </c>
      <c r="F45" s="5">
        <v>4.1154000000000003E-2</v>
      </c>
      <c r="G45" s="58">
        <v>5.5855E-5</v>
      </c>
    </row>
    <row r="46" spans="2:7" ht="15" thickBot="1" x14ac:dyDescent="0.35">
      <c r="B46" s="59" t="s">
        <v>878</v>
      </c>
      <c r="C46" s="60" t="s">
        <v>880</v>
      </c>
      <c r="D46" s="61" t="s">
        <v>868</v>
      </c>
      <c r="E46" s="62">
        <v>15</v>
      </c>
      <c r="F46" s="63">
        <v>4.1154000000000003E-2</v>
      </c>
      <c r="G46" s="64">
        <v>5.5855E-5</v>
      </c>
    </row>
  </sheetData>
  <hyperlinks>
    <hyperlink ref="C9" r:id="rId1" xr:uid="{294D8B3F-0440-48AF-8C37-CB013D2A050E}"/>
    <hyperlink ref="C11" r:id="rId2" xr:uid="{8E13DC61-A8D0-4C97-81C6-BBDD8A0BEE76}"/>
    <hyperlink ref="C15" r:id="rId3" xr:uid="{77DB74D4-0677-4F0A-9D40-4A525298A0F4}"/>
    <hyperlink ref="C14" r:id="rId4" xr:uid="{3CC58F76-F087-48CC-8A2E-7A62CA4F3FF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EAFDC-0743-46AE-AD5E-A130DCE3FE1C}">
  <sheetPr codeName="Sheet2"/>
  <dimension ref="A1:S239"/>
  <sheetViews>
    <sheetView topLeftCell="C1" zoomScaleNormal="100" workbookViewId="0">
      <selection activeCell="C1" sqref="C1"/>
    </sheetView>
  </sheetViews>
  <sheetFormatPr defaultRowHeight="14.4" x14ac:dyDescent="0.3"/>
  <cols>
    <col min="1" max="1" width="4.33203125" hidden="1" customWidth="1"/>
    <col min="2" max="2" width="10.33203125" hidden="1" customWidth="1"/>
    <col min="3" max="3" width="12.33203125" customWidth="1"/>
    <col min="4" max="4" width="80.88671875" bestFit="1" customWidth="1"/>
    <col min="5" max="5" width="14.21875" bestFit="1" customWidth="1"/>
    <col min="6" max="6" width="13.44140625" bestFit="1" customWidth="1"/>
    <col min="7" max="7" width="12.88671875" hidden="1" customWidth="1"/>
    <col min="8" max="8" width="12.44140625" hidden="1" customWidth="1"/>
    <col min="9" max="9" width="11.6640625" hidden="1" customWidth="1"/>
    <col min="10" max="10" width="11.21875" hidden="1" customWidth="1"/>
    <col min="11" max="11" width="12.6640625" bestFit="1" customWidth="1"/>
    <col min="12" max="12" width="11.88671875" bestFit="1" customWidth="1"/>
    <col min="13" max="13" width="11.44140625" customWidth="1"/>
    <col min="14" max="14" width="11" customWidth="1"/>
    <col min="15" max="15" width="8.88671875" customWidth="1"/>
    <col min="16" max="16" width="12" bestFit="1" customWidth="1"/>
    <col min="17" max="17" width="20.77734375" customWidth="1"/>
    <col min="18" max="18" width="21.88671875" customWidth="1"/>
    <col min="19" max="19" width="106.33203125" customWidth="1"/>
  </cols>
  <sheetData>
    <row r="1" spans="1:19" x14ac:dyDescent="0.3">
      <c r="C1" t="s">
        <v>778</v>
      </c>
      <c r="D1" t="s">
        <v>892</v>
      </c>
    </row>
    <row r="3" spans="1:19" x14ac:dyDescent="0.3">
      <c r="M3" t="s">
        <v>779</v>
      </c>
      <c r="N3" s="14" t="s">
        <v>650</v>
      </c>
      <c r="O3" s="15"/>
      <c r="P3" s="15"/>
    </row>
    <row r="4" spans="1:19" x14ac:dyDescent="0.3">
      <c r="A4" s="4" t="s">
        <v>0</v>
      </c>
      <c r="B4" s="4" t="s">
        <v>1</v>
      </c>
      <c r="C4" s="75" t="s">
        <v>2</v>
      </c>
      <c r="D4" s="74" t="s">
        <v>3</v>
      </c>
      <c r="E4" s="74" t="s">
        <v>4</v>
      </c>
      <c r="F4" s="75" t="s">
        <v>5</v>
      </c>
      <c r="G4" s="74" t="s">
        <v>6</v>
      </c>
      <c r="H4" s="74" t="s">
        <v>7</v>
      </c>
      <c r="I4" s="75" t="s">
        <v>8</v>
      </c>
      <c r="J4" s="74" t="s">
        <v>9</v>
      </c>
      <c r="K4" s="74" t="s">
        <v>10</v>
      </c>
      <c r="L4" s="75" t="s">
        <v>11</v>
      </c>
      <c r="M4" s="74" t="s">
        <v>12</v>
      </c>
      <c r="N4" s="74" t="s">
        <v>493</v>
      </c>
      <c r="O4" s="74" t="s">
        <v>494</v>
      </c>
      <c r="P4" s="74" t="s">
        <v>495</v>
      </c>
      <c r="Q4" s="74" t="s">
        <v>496</v>
      </c>
      <c r="R4" s="74" t="s">
        <v>497</v>
      </c>
      <c r="S4" s="74" t="s">
        <v>498</v>
      </c>
    </row>
    <row r="5" spans="1:19" x14ac:dyDescent="0.3">
      <c r="A5" t="s">
        <v>13</v>
      </c>
      <c r="B5" t="s">
        <v>14</v>
      </c>
      <c r="C5" s="10" t="s">
        <v>383</v>
      </c>
      <c r="D5" s="11" t="s">
        <v>384</v>
      </c>
      <c r="E5" s="11">
        <v>6281510027</v>
      </c>
      <c r="F5" s="10" t="s">
        <v>17</v>
      </c>
      <c r="G5" s="11" t="s">
        <v>18</v>
      </c>
      <c r="H5" s="11">
        <v>21755270186</v>
      </c>
      <c r="I5" s="10" t="s">
        <v>17</v>
      </c>
      <c r="J5" s="11" t="s">
        <v>18</v>
      </c>
      <c r="K5" s="11">
        <v>6686056032</v>
      </c>
      <c r="L5" s="10" t="s">
        <v>17</v>
      </c>
      <c r="M5" s="11" t="s">
        <v>18</v>
      </c>
      <c r="N5" s="13">
        <f t="shared" ref="N5:N68" si="0">IF(ISNUMBER(E5), E5, 0)+IF(ISNUMBER(K5), K5, 0)</f>
        <v>12967566059</v>
      </c>
      <c r="O5" s="12">
        <v>1</v>
      </c>
      <c r="P5" s="13">
        <f t="shared" ref="P5:P68" si="1">N5*O5</f>
        <v>12967566059</v>
      </c>
      <c r="Q5" s="12" t="s">
        <v>502</v>
      </c>
      <c r="R5" s="12"/>
      <c r="S5" s="32"/>
    </row>
    <row r="6" spans="1:19" x14ac:dyDescent="0.3">
      <c r="A6" t="s">
        <v>13</v>
      </c>
      <c r="B6" t="s">
        <v>14</v>
      </c>
      <c r="C6" s="10" t="s">
        <v>446</v>
      </c>
      <c r="D6" s="11" t="s">
        <v>447</v>
      </c>
      <c r="E6" s="11">
        <v>9018125838</v>
      </c>
      <c r="F6" s="10" t="s">
        <v>17</v>
      </c>
      <c r="G6" s="11" t="s">
        <v>18</v>
      </c>
      <c r="H6" s="11">
        <v>804486358</v>
      </c>
      <c r="I6" s="10" t="s">
        <v>17</v>
      </c>
      <c r="J6" s="11" t="s">
        <v>18</v>
      </c>
      <c r="K6" s="11">
        <v>1420773663</v>
      </c>
      <c r="L6" s="10" t="s">
        <v>17</v>
      </c>
      <c r="M6" s="11" t="s">
        <v>18</v>
      </c>
      <c r="N6" s="13">
        <f t="shared" si="0"/>
        <v>10438899501</v>
      </c>
      <c r="O6" s="12">
        <v>1</v>
      </c>
      <c r="P6" s="13">
        <f t="shared" si="1"/>
        <v>10438899501</v>
      </c>
      <c r="Q6" s="12"/>
      <c r="R6" s="12" t="s">
        <v>509</v>
      </c>
      <c r="S6" s="32"/>
    </row>
    <row r="7" spans="1:19" x14ac:dyDescent="0.3">
      <c r="A7" t="s">
        <v>13</v>
      </c>
      <c r="B7" t="s">
        <v>14</v>
      </c>
      <c r="C7" s="10" t="s">
        <v>448</v>
      </c>
      <c r="D7" s="11" t="s">
        <v>449</v>
      </c>
      <c r="E7" s="11">
        <v>2056138729</v>
      </c>
      <c r="F7" s="10" t="s">
        <v>17</v>
      </c>
      <c r="G7" s="11" t="s">
        <v>18</v>
      </c>
      <c r="H7" s="11">
        <v>1087580681</v>
      </c>
      <c r="I7" s="10" t="s">
        <v>17</v>
      </c>
      <c r="J7" s="11" t="s">
        <v>18</v>
      </c>
      <c r="K7" s="11">
        <v>679794621</v>
      </c>
      <c r="L7" s="10" t="s">
        <v>17</v>
      </c>
      <c r="M7" s="11" t="s">
        <v>18</v>
      </c>
      <c r="N7" s="13">
        <f t="shared" si="0"/>
        <v>2735933350</v>
      </c>
      <c r="O7" s="12">
        <v>1</v>
      </c>
      <c r="P7" s="13">
        <f t="shared" si="1"/>
        <v>2735933350</v>
      </c>
      <c r="Q7" s="12" t="s">
        <v>502</v>
      </c>
      <c r="R7" s="12" t="s">
        <v>509</v>
      </c>
      <c r="S7" s="32"/>
    </row>
    <row r="8" spans="1:19" x14ac:dyDescent="0.3">
      <c r="A8" t="s">
        <v>13</v>
      </c>
      <c r="B8" t="s">
        <v>14</v>
      </c>
      <c r="C8" s="10" t="s">
        <v>379</v>
      </c>
      <c r="D8" s="11" t="s">
        <v>380</v>
      </c>
      <c r="E8" s="11">
        <v>4200000000</v>
      </c>
      <c r="F8" s="10" t="s">
        <v>17</v>
      </c>
      <c r="G8" s="11" t="s">
        <v>18</v>
      </c>
      <c r="H8" s="11">
        <v>1042009420</v>
      </c>
      <c r="I8" s="10" t="s">
        <v>17</v>
      </c>
      <c r="J8" s="11" t="s">
        <v>18</v>
      </c>
      <c r="K8" s="11">
        <v>1685389468</v>
      </c>
      <c r="L8" s="10" t="s">
        <v>17</v>
      </c>
      <c r="M8" s="11" t="s">
        <v>18</v>
      </c>
      <c r="N8" s="13">
        <f t="shared" si="0"/>
        <v>5885389468</v>
      </c>
      <c r="O8" s="12">
        <v>1</v>
      </c>
      <c r="P8" s="13">
        <f t="shared" si="1"/>
        <v>5885389468</v>
      </c>
      <c r="Q8" s="12" t="s">
        <v>502</v>
      </c>
      <c r="R8" s="12"/>
      <c r="S8" s="32"/>
    </row>
    <row r="9" spans="1:19" x14ac:dyDescent="0.3">
      <c r="A9" t="s">
        <v>13</v>
      </c>
      <c r="B9" t="s">
        <v>14</v>
      </c>
      <c r="C9" s="10" t="s">
        <v>21</v>
      </c>
      <c r="D9" s="11" t="s">
        <v>22</v>
      </c>
      <c r="E9" s="11">
        <v>9154997559</v>
      </c>
      <c r="F9" s="10" t="s">
        <v>17</v>
      </c>
      <c r="G9" s="11" t="s">
        <v>18</v>
      </c>
      <c r="H9" s="11">
        <v>151507551</v>
      </c>
      <c r="I9" s="10" t="s">
        <v>17</v>
      </c>
      <c r="J9" s="11" t="s">
        <v>18</v>
      </c>
      <c r="K9" s="11">
        <v>225368724</v>
      </c>
      <c r="L9" s="10" t="s">
        <v>17</v>
      </c>
      <c r="M9" s="11" t="s">
        <v>18</v>
      </c>
      <c r="N9" s="13">
        <f t="shared" si="0"/>
        <v>9380366283</v>
      </c>
      <c r="O9" s="12">
        <v>1</v>
      </c>
      <c r="P9" s="13">
        <f t="shared" si="1"/>
        <v>9380366283</v>
      </c>
      <c r="Q9" s="12"/>
      <c r="R9" s="12" t="s">
        <v>510</v>
      </c>
      <c r="S9" s="32"/>
    </row>
    <row r="10" spans="1:19" x14ac:dyDescent="0.3">
      <c r="A10" t="s">
        <v>13</v>
      </c>
      <c r="B10" t="s">
        <v>14</v>
      </c>
      <c r="C10" s="10" t="s">
        <v>19</v>
      </c>
      <c r="D10" s="11" t="s">
        <v>20</v>
      </c>
      <c r="E10" s="11">
        <v>8082262489</v>
      </c>
      <c r="F10" s="10" t="s">
        <v>17</v>
      </c>
      <c r="G10" s="11" t="s">
        <v>18</v>
      </c>
      <c r="H10" s="11">
        <v>7255001</v>
      </c>
      <c r="I10" s="10" t="s">
        <v>17</v>
      </c>
      <c r="J10" s="11" t="s">
        <v>18</v>
      </c>
      <c r="K10" s="11">
        <v>1162202519</v>
      </c>
      <c r="L10" s="10" t="s">
        <v>17</v>
      </c>
      <c r="M10" s="11" t="s">
        <v>18</v>
      </c>
      <c r="N10" s="13">
        <f t="shared" si="0"/>
        <v>9244465008</v>
      </c>
      <c r="O10" s="12">
        <v>1</v>
      </c>
      <c r="P10" s="13">
        <f t="shared" si="1"/>
        <v>9244465008</v>
      </c>
      <c r="Q10" s="12"/>
      <c r="R10" s="12" t="s">
        <v>511</v>
      </c>
      <c r="S10" s="32"/>
    </row>
    <row r="11" spans="1:19" x14ac:dyDescent="0.3">
      <c r="A11" t="s">
        <v>13</v>
      </c>
      <c r="B11" t="s">
        <v>14</v>
      </c>
      <c r="C11" s="10" t="s">
        <v>400</v>
      </c>
      <c r="D11" s="11" t="s">
        <v>401</v>
      </c>
      <c r="E11" s="11">
        <v>1054762109</v>
      </c>
      <c r="F11" s="10" t="s">
        <v>17</v>
      </c>
      <c r="G11" s="11" t="s">
        <v>18</v>
      </c>
      <c r="H11" s="11">
        <v>935329057</v>
      </c>
      <c r="I11" s="10" t="s">
        <v>17</v>
      </c>
      <c r="J11" s="11" t="s">
        <v>18</v>
      </c>
      <c r="K11" s="11">
        <v>1537639634</v>
      </c>
      <c r="L11" s="10" t="s">
        <v>17</v>
      </c>
      <c r="M11" s="11" t="s">
        <v>18</v>
      </c>
      <c r="N11" s="13">
        <f t="shared" si="0"/>
        <v>2592401743</v>
      </c>
      <c r="O11" s="12">
        <v>1</v>
      </c>
      <c r="P11" s="13">
        <f t="shared" si="1"/>
        <v>2592401743</v>
      </c>
      <c r="Q11" s="12" t="s">
        <v>502</v>
      </c>
      <c r="R11" s="12" t="s">
        <v>512</v>
      </c>
      <c r="S11" s="32"/>
    </row>
    <row r="12" spans="1:19" x14ac:dyDescent="0.3">
      <c r="A12" t="s">
        <v>13</v>
      </c>
      <c r="B12" t="s">
        <v>14</v>
      </c>
      <c r="C12" s="10" t="s">
        <v>396</v>
      </c>
      <c r="D12" s="11" t="s">
        <v>397</v>
      </c>
      <c r="E12" s="11">
        <v>5507260631</v>
      </c>
      <c r="F12" s="10" t="s">
        <v>17</v>
      </c>
      <c r="G12" s="11" t="s">
        <v>18</v>
      </c>
      <c r="H12" s="11">
        <v>951456319</v>
      </c>
      <c r="I12" s="10" t="s">
        <v>17</v>
      </c>
      <c r="J12" s="11" t="s">
        <v>18</v>
      </c>
      <c r="K12" s="11">
        <v>1702406546</v>
      </c>
      <c r="L12" s="10" t="s">
        <v>17</v>
      </c>
      <c r="M12" s="11" t="s">
        <v>18</v>
      </c>
      <c r="N12" s="13">
        <f t="shared" si="0"/>
        <v>7209667177</v>
      </c>
      <c r="O12" s="12">
        <v>1</v>
      </c>
      <c r="P12" s="13">
        <f t="shared" si="1"/>
        <v>7209667177</v>
      </c>
      <c r="Q12" s="12"/>
      <c r="R12" s="12" t="s">
        <v>513</v>
      </c>
      <c r="S12" s="32"/>
    </row>
    <row r="13" spans="1:19" x14ac:dyDescent="0.3">
      <c r="A13" t="s">
        <v>13</v>
      </c>
      <c r="B13" t="s">
        <v>14</v>
      </c>
      <c r="C13" s="10" t="s">
        <v>458</v>
      </c>
      <c r="D13" s="11" t="s">
        <v>459</v>
      </c>
      <c r="E13" s="11">
        <v>3784589489</v>
      </c>
      <c r="F13" s="10" t="s">
        <v>17</v>
      </c>
      <c r="G13" s="11" t="s">
        <v>18</v>
      </c>
      <c r="H13" s="11">
        <v>802904999</v>
      </c>
      <c r="I13" s="10" t="s">
        <v>17</v>
      </c>
      <c r="J13" s="11" t="s">
        <v>18</v>
      </c>
      <c r="K13" s="11">
        <v>443280701</v>
      </c>
      <c r="L13" s="10" t="s">
        <v>17</v>
      </c>
      <c r="M13" s="11" t="s">
        <v>18</v>
      </c>
      <c r="N13" s="13">
        <f t="shared" si="0"/>
        <v>4227870190</v>
      </c>
      <c r="O13" s="12">
        <v>1</v>
      </c>
      <c r="P13" s="13">
        <f t="shared" si="1"/>
        <v>4227870190</v>
      </c>
      <c r="Q13" s="12" t="s">
        <v>502</v>
      </c>
      <c r="R13" s="12" t="s">
        <v>514</v>
      </c>
      <c r="S13" s="32"/>
    </row>
    <row r="14" spans="1:19" x14ac:dyDescent="0.3">
      <c r="A14" t="s">
        <v>13</v>
      </c>
      <c r="B14" t="s">
        <v>14</v>
      </c>
      <c r="C14" s="10" t="s">
        <v>468</v>
      </c>
      <c r="D14" s="11" t="s">
        <v>469</v>
      </c>
      <c r="E14" s="11">
        <v>1521228629</v>
      </c>
      <c r="F14" s="10" t="s">
        <v>17</v>
      </c>
      <c r="G14" s="11" t="s">
        <v>18</v>
      </c>
      <c r="H14" s="11">
        <v>720236690</v>
      </c>
      <c r="I14" s="10" t="s">
        <v>17</v>
      </c>
      <c r="J14" s="11" t="s">
        <v>18</v>
      </c>
      <c r="K14" s="11">
        <v>214039250</v>
      </c>
      <c r="L14" s="10" t="s">
        <v>17</v>
      </c>
      <c r="M14" s="11" t="s">
        <v>18</v>
      </c>
      <c r="N14" s="13">
        <f t="shared" si="0"/>
        <v>1735267879</v>
      </c>
      <c r="O14" s="12">
        <v>1</v>
      </c>
      <c r="P14" s="13">
        <f t="shared" si="1"/>
        <v>1735267879</v>
      </c>
      <c r="Q14" s="12" t="s">
        <v>502</v>
      </c>
      <c r="R14" s="12"/>
      <c r="S14" s="32"/>
    </row>
    <row r="15" spans="1:19" x14ac:dyDescent="0.3">
      <c r="A15" t="s">
        <v>13</v>
      </c>
      <c r="B15" t="s">
        <v>14</v>
      </c>
      <c r="C15" s="10" t="s">
        <v>333</v>
      </c>
      <c r="D15" s="11" t="s">
        <v>334</v>
      </c>
      <c r="E15" s="11">
        <v>1800000000</v>
      </c>
      <c r="F15" s="10" t="s">
        <v>17</v>
      </c>
      <c r="G15" s="11" t="s">
        <v>18</v>
      </c>
      <c r="H15" s="11">
        <v>503736982</v>
      </c>
      <c r="I15" s="10" t="s">
        <v>17</v>
      </c>
      <c r="J15" s="11" t="s">
        <v>18</v>
      </c>
      <c r="K15" s="11">
        <v>848579596</v>
      </c>
      <c r="L15" s="10" t="s">
        <v>17</v>
      </c>
      <c r="M15" s="11" t="s">
        <v>18</v>
      </c>
      <c r="N15" s="13">
        <f t="shared" si="0"/>
        <v>2648579596</v>
      </c>
      <c r="O15" s="12">
        <v>1</v>
      </c>
      <c r="P15" s="13">
        <f t="shared" si="1"/>
        <v>2648579596</v>
      </c>
      <c r="Q15" s="12" t="s">
        <v>502</v>
      </c>
      <c r="R15" s="12"/>
      <c r="S15" s="32"/>
    </row>
    <row r="16" spans="1:19" x14ac:dyDescent="0.3">
      <c r="A16" t="s">
        <v>13</v>
      </c>
      <c r="B16" t="s">
        <v>14</v>
      </c>
      <c r="C16" s="10" t="s">
        <v>426</v>
      </c>
      <c r="D16" s="11" t="s">
        <v>427</v>
      </c>
      <c r="E16" s="11">
        <v>1236618667</v>
      </c>
      <c r="F16" s="10" t="s">
        <v>17</v>
      </c>
      <c r="G16" s="11" t="s">
        <v>18</v>
      </c>
      <c r="H16" s="11">
        <v>496608245</v>
      </c>
      <c r="I16" s="10" t="s">
        <v>17</v>
      </c>
      <c r="J16" s="11" t="s">
        <v>18</v>
      </c>
      <c r="K16" s="11">
        <v>277527064</v>
      </c>
      <c r="L16" s="10" t="s">
        <v>17</v>
      </c>
      <c r="M16" s="11" t="s">
        <v>18</v>
      </c>
      <c r="N16" s="13">
        <f t="shared" si="0"/>
        <v>1514145731</v>
      </c>
      <c r="O16" s="12">
        <v>1</v>
      </c>
      <c r="P16" s="13">
        <f t="shared" si="1"/>
        <v>1514145731</v>
      </c>
      <c r="Q16" s="12" t="s">
        <v>502</v>
      </c>
      <c r="R16" s="12" t="s">
        <v>515</v>
      </c>
      <c r="S16" s="32"/>
    </row>
    <row r="17" spans="1:19" x14ac:dyDescent="0.3">
      <c r="A17" t="s">
        <v>13</v>
      </c>
      <c r="B17" t="s">
        <v>14</v>
      </c>
      <c r="C17" s="10" t="s">
        <v>90</v>
      </c>
      <c r="D17" s="11" t="s">
        <v>91</v>
      </c>
      <c r="E17" s="11">
        <v>800000000</v>
      </c>
      <c r="F17" s="10" t="s">
        <v>17</v>
      </c>
      <c r="G17" s="11" t="s">
        <v>18</v>
      </c>
      <c r="H17" s="11">
        <v>427422136</v>
      </c>
      <c r="I17" s="10" t="s">
        <v>17</v>
      </c>
      <c r="J17" s="11" t="s">
        <v>18</v>
      </c>
      <c r="K17" s="11">
        <v>6323081145</v>
      </c>
      <c r="L17" s="10" t="s">
        <v>17</v>
      </c>
      <c r="M17" s="11" t="s">
        <v>18</v>
      </c>
      <c r="N17" s="13">
        <f t="shared" si="0"/>
        <v>7123081145</v>
      </c>
      <c r="O17" s="12">
        <v>1</v>
      </c>
      <c r="P17" s="13">
        <f t="shared" si="1"/>
        <v>7123081145</v>
      </c>
      <c r="Q17" s="12"/>
      <c r="R17" s="12" t="s">
        <v>516</v>
      </c>
      <c r="S17" s="32"/>
    </row>
    <row r="18" spans="1:19" x14ac:dyDescent="0.3">
      <c r="A18" t="s">
        <v>13</v>
      </c>
      <c r="B18" t="s">
        <v>14</v>
      </c>
      <c r="C18" s="10" t="s">
        <v>472</v>
      </c>
      <c r="D18" s="11" t="s">
        <v>473</v>
      </c>
      <c r="E18" s="11">
        <v>2000000000</v>
      </c>
      <c r="F18" s="10" t="s">
        <v>17</v>
      </c>
      <c r="G18" s="11" t="s">
        <v>18</v>
      </c>
      <c r="H18" s="11">
        <v>399773869</v>
      </c>
      <c r="I18" s="10" t="s">
        <v>17</v>
      </c>
      <c r="J18" s="11" t="s">
        <v>18</v>
      </c>
      <c r="K18" s="11">
        <v>86849920</v>
      </c>
      <c r="L18" s="10" t="s">
        <v>17</v>
      </c>
      <c r="M18" s="11" t="s">
        <v>18</v>
      </c>
      <c r="N18" s="13">
        <f t="shared" si="0"/>
        <v>2086849920</v>
      </c>
      <c r="O18" s="12">
        <v>1</v>
      </c>
      <c r="P18" s="13">
        <f t="shared" si="1"/>
        <v>2086849920</v>
      </c>
      <c r="Q18" s="12" t="s">
        <v>502</v>
      </c>
      <c r="R18" s="12" t="s">
        <v>517</v>
      </c>
      <c r="S18" s="32"/>
    </row>
    <row r="19" spans="1:19" x14ac:dyDescent="0.3">
      <c r="A19" t="s">
        <v>13</v>
      </c>
      <c r="B19" t="s">
        <v>14</v>
      </c>
      <c r="C19" s="10" t="s">
        <v>38</v>
      </c>
      <c r="D19" s="11" t="s">
        <v>39</v>
      </c>
      <c r="E19" s="11">
        <v>5459018446</v>
      </c>
      <c r="F19" s="10" t="s">
        <v>17</v>
      </c>
      <c r="G19" s="11" t="s">
        <v>18</v>
      </c>
      <c r="H19" s="11">
        <v>342450902</v>
      </c>
      <c r="I19" s="10" t="s">
        <v>17</v>
      </c>
      <c r="J19" s="11" t="s">
        <v>18</v>
      </c>
      <c r="K19" s="11">
        <v>531552505</v>
      </c>
      <c r="L19" s="10" t="s">
        <v>17</v>
      </c>
      <c r="M19" s="11" t="s">
        <v>18</v>
      </c>
      <c r="N19" s="13">
        <f t="shared" si="0"/>
        <v>5990570951</v>
      </c>
      <c r="O19" s="12">
        <v>1</v>
      </c>
      <c r="P19" s="13">
        <f t="shared" si="1"/>
        <v>5990570951</v>
      </c>
      <c r="Q19" s="12"/>
      <c r="R19" s="12" t="s">
        <v>518</v>
      </c>
      <c r="S19" s="32"/>
    </row>
    <row r="20" spans="1:19" x14ac:dyDescent="0.3">
      <c r="A20" t="s">
        <v>13</v>
      </c>
      <c r="B20" t="s">
        <v>14</v>
      </c>
      <c r="C20" s="10" t="s">
        <v>444</v>
      </c>
      <c r="D20" s="11" t="s">
        <v>445</v>
      </c>
      <c r="E20" s="11">
        <v>1093364852</v>
      </c>
      <c r="F20" s="10" t="s">
        <v>17</v>
      </c>
      <c r="G20" s="11" t="s">
        <v>18</v>
      </c>
      <c r="H20" s="11">
        <v>346057837</v>
      </c>
      <c r="I20" s="10" t="s">
        <v>17</v>
      </c>
      <c r="J20" s="11" t="s">
        <v>18</v>
      </c>
      <c r="K20" s="11">
        <v>371444833</v>
      </c>
      <c r="L20" s="10" t="s">
        <v>17</v>
      </c>
      <c r="M20" s="11" t="s">
        <v>18</v>
      </c>
      <c r="N20" s="13">
        <f t="shared" si="0"/>
        <v>1464809685</v>
      </c>
      <c r="O20" s="12">
        <v>1</v>
      </c>
      <c r="P20" s="13">
        <f t="shared" si="1"/>
        <v>1464809685</v>
      </c>
      <c r="Q20" s="12" t="s">
        <v>502</v>
      </c>
      <c r="R20" s="12" t="s">
        <v>519</v>
      </c>
      <c r="S20" s="32"/>
    </row>
    <row r="21" spans="1:19" x14ac:dyDescent="0.3">
      <c r="A21" t="s">
        <v>13</v>
      </c>
      <c r="B21" t="s">
        <v>14</v>
      </c>
      <c r="C21" s="10" t="s">
        <v>412</v>
      </c>
      <c r="D21" s="11" t="s">
        <v>413</v>
      </c>
      <c r="E21" s="11">
        <v>4431944772</v>
      </c>
      <c r="F21" s="10" t="s">
        <v>17</v>
      </c>
      <c r="G21" s="11" t="s">
        <v>18</v>
      </c>
      <c r="H21" s="11">
        <v>1200688249</v>
      </c>
      <c r="I21" s="10" t="s">
        <v>17</v>
      </c>
      <c r="J21" s="11" t="s">
        <v>18</v>
      </c>
      <c r="K21" s="11">
        <v>398464555</v>
      </c>
      <c r="L21" s="10" t="s">
        <v>17</v>
      </c>
      <c r="M21" s="11" t="s">
        <v>18</v>
      </c>
      <c r="N21" s="13">
        <f t="shared" si="0"/>
        <v>4830409327</v>
      </c>
      <c r="O21" s="12">
        <v>1</v>
      </c>
      <c r="P21" s="13">
        <f t="shared" si="1"/>
        <v>4830409327</v>
      </c>
      <c r="Q21" s="12"/>
      <c r="R21" s="12" t="s">
        <v>520</v>
      </c>
      <c r="S21" s="32"/>
    </row>
    <row r="22" spans="1:19" x14ac:dyDescent="0.3">
      <c r="A22" t="s">
        <v>13</v>
      </c>
      <c r="B22" t="s">
        <v>14</v>
      </c>
      <c r="C22" s="10" t="s">
        <v>394</v>
      </c>
      <c r="D22" s="11" t="s">
        <v>395</v>
      </c>
      <c r="E22" s="11">
        <v>3434283993</v>
      </c>
      <c r="F22" s="10" t="s">
        <v>17</v>
      </c>
      <c r="G22" s="11" t="s">
        <v>18</v>
      </c>
      <c r="H22" s="11">
        <v>938356558</v>
      </c>
      <c r="I22" s="10" t="s">
        <v>17</v>
      </c>
      <c r="J22" s="11" t="s">
        <v>18</v>
      </c>
      <c r="K22" s="11">
        <v>799356302</v>
      </c>
      <c r="L22" s="10" t="s">
        <v>17</v>
      </c>
      <c r="M22" s="11" t="s">
        <v>18</v>
      </c>
      <c r="N22" s="13">
        <f t="shared" si="0"/>
        <v>4233640295</v>
      </c>
      <c r="O22" s="12">
        <v>1</v>
      </c>
      <c r="P22" s="13">
        <f t="shared" si="1"/>
        <v>4233640295</v>
      </c>
      <c r="Q22" s="12"/>
      <c r="R22" s="12" t="s">
        <v>512</v>
      </c>
      <c r="S22" s="32"/>
    </row>
    <row r="23" spans="1:19" x14ac:dyDescent="0.3">
      <c r="A23" t="s">
        <v>13</v>
      </c>
      <c r="B23" t="s">
        <v>14</v>
      </c>
      <c r="C23" s="10" t="s">
        <v>478</v>
      </c>
      <c r="D23" s="11" t="s">
        <v>479</v>
      </c>
      <c r="E23" s="11">
        <v>418243981</v>
      </c>
      <c r="F23" s="10" t="s">
        <v>480</v>
      </c>
      <c r="G23" s="11" t="s">
        <v>18</v>
      </c>
      <c r="H23" s="11">
        <v>294421605</v>
      </c>
      <c r="I23" s="10" t="s">
        <v>480</v>
      </c>
      <c r="J23" s="11" t="s">
        <v>18</v>
      </c>
      <c r="K23" s="11">
        <v>120427027</v>
      </c>
      <c r="L23" s="10" t="s">
        <v>480</v>
      </c>
      <c r="M23" s="11" t="s">
        <v>18</v>
      </c>
      <c r="N23" s="13">
        <f t="shared" si="0"/>
        <v>538671008</v>
      </c>
      <c r="O23" s="12">
        <v>1</v>
      </c>
      <c r="P23" s="13">
        <f t="shared" si="1"/>
        <v>538671008</v>
      </c>
      <c r="Q23" s="12" t="s">
        <v>499</v>
      </c>
      <c r="R23" s="12" t="s">
        <v>521</v>
      </c>
      <c r="S23" s="32"/>
    </row>
    <row r="24" spans="1:19" x14ac:dyDescent="0.3">
      <c r="A24" t="s">
        <v>13</v>
      </c>
      <c r="B24" t="s">
        <v>14</v>
      </c>
      <c r="C24" s="10" t="s">
        <v>365</v>
      </c>
      <c r="D24" s="11" t="s">
        <v>366</v>
      </c>
      <c r="E24" s="11">
        <v>700000000</v>
      </c>
      <c r="F24" s="10" t="s">
        <v>17</v>
      </c>
      <c r="G24" s="11" t="s">
        <v>18</v>
      </c>
      <c r="H24" s="11">
        <v>292652074</v>
      </c>
      <c r="I24" s="10" t="s">
        <v>17</v>
      </c>
      <c r="J24" s="11" t="s">
        <v>18</v>
      </c>
      <c r="K24" s="11">
        <v>84363989</v>
      </c>
      <c r="L24" s="10" t="s">
        <v>17</v>
      </c>
      <c r="M24" s="11" t="s">
        <v>18</v>
      </c>
      <c r="N24" s="13">
        <f t="shared" si="0"/>
        <v>784363989</v>
      </c>
      <c r="O24" s="12">
        <v>1</v>
      </c>
      <c r="P24" s="13">
        <f t="shared" si="1"/>
        <v>784363989</v>
      </c>
      <c r="Q24" s="12" t="s">
        <v>503</v>
      </c>
      <c r="R24" s="12"/>
      <c r="S24" s="32"/>
    </row>
    <row r="25" spans="1:19" x14ac:dyDescent="0.3">
      <c r="A25" t="s">
        <v>13</v>
      </c>
      <c r="B25" t="s">
        <v>14</v>
      </c>
      <c r="C25" s="10" t="s">
        <v>196</v>
      </c>
      <c r="D25" s="11" t="s">
        <v>197</v>
      </c>
      <c r="E25" s="11">
        <v>526597998</v>
      </c>
      <c r="F25" s="10" t="s">
        <v>17</v>
      </c>
      <c r="G25" s="11" t="s">
        <v>18</v>
      </c>
      <c r="H25" s="11">
        <v>292253900</v>
      </c>
      <c r="I25" s="10" t="s">
        <v>195</v>
      </c>
      <c r="J25" s="11" t="s">
        <v>18</v>
      </c>
      <c r="K25" s="11">
        <v>34970700</v>
      </c>
      <c r="L25" s="10" t="s">
        <v>195</v>
      </c>
      <c r="M25" s="11" t="s">
        <v>18</v>
      </c>
      <c r="N25" s="13">
        <f t="shared" si="0"/>
        <v>561568698</v>
      </c>
      <c r="O25" s="12">
        <v>1</v>
      </c>
      <c r="P25" s="13">
        <f t="shared" si="1"/>
        <v>561568698</v>
      </c>
      <c r="Q25" s="12" t="s">
        <v>502</v>
      </c>
      <c r="R25" s="12"/>
      <c r="S25" s="32"/>
    </row>
    <row r="26" spans="1:19" x14ac:dyDescent="0.3">
      <c r="A26" t="s">
        <v>13</v>
      </c>
      <c r="B26" t="s">
        <v>14</v>
      </c>
      <c r="C26" s="10" t="s">
        <v>100</v>
      </c>
      <c r="D26" s="11" t="s">
        <v>101</v>
      </c>
      <c r="E26" s="11">
        <v>400000000</v>
      </c>
      <c r="F26" s="10" t="s">
        <v>17</v>
      </c>
      <c r="G26" s="11" t="s">
        <v>18</v>
      </c>
      <c r="H26" s="11">
        <v>290427849</v>
      </c>
      <c r="I26" s="10" t="s">
        <v>17</v>
      </c>
      <c r="J26" s="11" t="s">
        <v>18</v>
      </c>
      <c r="K26" s="11">
        <v>67102694</v>
      </c>
      <c r="L26" s="10" t="s">
        <v>17</v>
      </c>
      <c r="M26" s="11" t="s">
        <v>18</v>
      </c>
      <c r="N26" s="13">
        <f t="shared" si="0"/>
        <v>467102694</v>
      </c>
      <c r="O26" s="12">
        <v>1</v>
      </c>
      <c r="P26" s="13">
        <f t="shared" si="1"/>
        <v>467102694</v>
      </c>
      <c r="Q26" s="12" t="s">
        <v>502</v>
      </c>
      <c r="R26" s="12"/>
      <c r="S26" s="32"/>
    </row>
    <row r="27" spans="1:19" x14ac:dyDescent="0.3">
      <c r="A27" t="s">
        <v>13</v>
      </c>
      <c r="B27" t="s">
        <v>14</v>
      </c>
      <c r="C27" s="10" t="s">
        <v>198</v>
      </c>
      <c r="D27" s="11" t="s">
        <v>199</v>
      </c>
      <c r="E27" s="11">
        <v>3240000000</v>
      </c>
      <c r="F27" s="10" t="s">
        <v>17</v>
      </c>
      <c r="G27" s="11" t="s">
        <v>18</v>
      </c>
      <c r="H27" s="11">
        <v>216746591</v>
      </c>
      <c r="I27" s="10" t="s">
        <v>17</v>
      </c>
      <c r="J27" s="11" t="s">
        <v>18</v>
      </c>
      <c r="K27" s="11">
        <v>792953658</v>
      </c>
      <c r="L27" s="10" t="s">
        <v>17</v>
      </c>
      <c r="M27" s="11" t="s">
        <v>18</v>
      </c>
      <c r="N27" s="13">
        <f t="shared" si="0"/>
        <v>4032953658</v>
      </c>
      <c r="O27" s="12">
        <v>1</v>
      </c>
      <c r="P27" s="13">
        <f t="shared" si="1"/>
        <v>4032953658</v>
      </c>
      <c r="Q27" s="12"/>
      <c r="R27" s="12" t="s">
        <v>522</v>
      </c>
      <c r="S27" s="32" t="s">
        <v>793</v>
      </c>
    </row>
    <row r="28" spans="1:19" x14ac:dyDescent="0.3">
      <c r="A28" t="s">
        <v>13</v>
      </c>
      <c r="B28" t="s">
        <v>14</v>
      </c>
      <c r="C28" s="10" t="s">
        <v>436</v>
      </c>
      <c r="D28" s="11" t="s">
        <v>437</v>
      </c>
      <c r="E28" s="11">
        <v>2078527679</v>
      </c>
      <c r="F28" s="10" t="s">
        <v>17</v>
      </c>
      <c r="G28" s="11" t="s">
        <v>18</v>
      </c>
      <c r="H28" s="11">
        <v>281655452</v>
      </c>
      <c r="I28" s="10" t="s">
        <v>17</v>
      </c>
      <c r="J28" s="11" t="s">
        <v>18</v>
      </c>
      <c r="K28" s="11">
        <v>1230771387</v>
      </c>
      <c r="L28" s="10" t="s">
        <v>17</v>
      </c>
      <c r="M28" s="11" t="s">
        <v>18</v>
      </c>
      <c r="N28" s="13">
        <f t="shared" si="0"/>
        <v>3309299066</v>
      </c>
      <c r="O28" s="12">
        <v>1</v>
      </c>
      <c r="P28" s="13">
        <f t="shared" si="1"/>
        <v>3309299066</v>
      </c>
      <c r="Q28" s="12"/>
      <c r="R28" s="12" t="s">
        <v>523</v>
      </c>
      <c r="S28" s="32"/>
    </row>
    <row r="29" spans="1:19" x14ac:dyDescent="0.3">
      <c r="A29" t="s">
        <v>13</v>
      </c>
      <c r="B29" t="s">
        <v>14</v>
      </c>
      <c r="C29" s="10" t="s">
        <v>48</v>
      </c>
      <c r="D29" s="11" t="s">
        <v>49</v>
      </c>
      <c r="E29" s="11">
        <v>2340000000</v>
      </c>
      <c r="F29" s="10" t="s">
        <v>17</v>
      </c>
      <c r="G29" s="11" t="s">
        <v>18</v>
      </c>
      <c r="H29" s="11">
        <v>335102036</v>
      </c>
      <c r="I29" s="10" t="s">
        <v>17</v>
      </c>
      <c r="J29" s="11" t="s">
        <v>18</v>
      </c>
      <c r="K29" s="11">
        <v>652240374</v>
      </c>
      <c r="L29" s="10" t="s">
        <v>17</v>
      </c>
      <c r="M29" s="11" t="s">
        <v>18</v>
      </c>
      <c r="N29" s="13">
        <f t="shared" si="0"/>
        <v>2992240374</v>
      </c>
      <c r="O29" s="12">
        <v>1</v>
      </c>
      <c r="P29" s="13">
        <f t="shared" si="1"/>
        <v>2992240374</v>
      </c>
      <c r="Q29" s="12"/>
      <c r="R29" s="12" t="s">
        <v>524</v>
      </c>
      <c r="S29" s="32"/>
    </row>
    <row r="30" spans="1:19" x14ac:dyDescent="0.3">
      <c r="A30" t="s">
        <v>13</v>
      </c>
      <c r="B30" t="s">
        <v>14</v>
      </c>
      <c r="C30" s="10" t="s">
        <v>410</v>
      </c>
      <c r="D30" s="11" t="s">
        <v>411</v>
      </c>
      <c r="E30" s="11">
        <v>657361341</v>
      </c>
      <c r="F30" s="10" t="s">
        <v>17</v>
      </c>
      <c r="G30" s="11" t="s">
        <v>18</v>
      </c>
      <c r="H30" s="11">
        <v>244324425</v>
      </c>
      <c r="I30" s="10" t="s">
        <v>17</v>
      </c>
      <c r="J30" s="11" t="s">
        <v>18</v>
      </c>
      <c r="K30" s="11">
        <v>74047298</v>
      </c>
      <c r="L30" s="10" t="s">
        <v>17</v>
      </c>
      <c r="M30" s="11" t="s">
        <v>18</v>
      </c>
      <c r="N30" s="13">
        <f t="shared" si="0"/>
        <v>731408639</v>
      </c>
      <c r="O30" s="12">
        <v>1</v>
      </c>
      <c r="P30" s="13">
        <f t="shared" si="1"/>
        <v>731408639</v>
      </c>
      <c r="Q30" s="12" t="s">
        <v>502</v>
      </c>
      <c r="R30" s="12" t="s">
        <v>524</v>
      </c>
      <c r="S30" s="32"/>
    </row>
    <row r="31" spans="1:19" x14ac:dyDescent="0.3">
      <c r="A31" t="s">
        <v>13</v>
      </c>
      <c r="B31" t="s">
        <v>14</v>
      </c>
      <c r="C31" s="10" t="s">
        <v>392</v>
      </c>
      <c r="D31" s="11" t="s">
        <v>393</v>
      </c>
      <c r="E31" s="11">
        <v>2000580713</v>
      </c>
      <c r="F31" s="10" t="s">
        <v>17</v>
      </c>
      <c r="G31" s="11" t="s">
        <v>18</v>
      </c>
      <c r="H31" s="11">
        <v>173560950</v>
      </c>
      <c r="I31" s="10" t="s">
        <v>17</v>
      </c>
      <c r="J31" s="11" t="s">
        <v>18</v>
      </c>
      <c r="K31" s="11">
        <v>582711227</v>
      </c>
      <c r="L31" s="10" t="s">
        <v>17</v>
      </c>
      <c r="M31" s="11" t="s">
        <v>18</v>
      </c>
      <c r="N31" s="13">
        <f t="shared" si="0"/>
        <v>2583291940</v>
      </c>
      <c r="O31" s="12">
        <v>1</v>
      </c>
      <c r="P31" s="13">
        <f t="shared" si="1"/>
        <v>2583291940</v>
      </c>
      <c r="Q31" s="12"/>
      <c r="R31" s="12" t="s">
        <v>525</v>
      </c>
      <c r="S31" s="32"/>
    </row>
    <row r="32" spans="1:19" x14ac:dyDescent="0.3">
      <c r="A32" t="s">
        <v>13</v>
      </c>
      <c r="B32" t="s">
        <v>14</v>
      </c>
      <c r="C32" s="10" t="s">
        <v>385</v>
      </c>
      <c r="D32" s="11" t="s">
        <v>386</v>
      </c>
      <c r="E32" s="11">
        <v>5000000000</v>
      </c>
      <c r="F32" s="10" t="s">
        <v>17</v>
      </c>
      <c r="G32" s="11" t="s">
        <v>387</v>
      </c>
      <c r="H32" s="11">
        <v>291915847</v>
      </c>
      <c r="I32" s="10" t="s">
        <v>17</v>
      </c>
      <c r="J32" s="11" t="s">
        <v>387</v>
      </c>
      <c r="K32" s="11">
        <v>1258625585</v>
      </c>
      <c r="L32" s="10" t="s">
        <v>17</v>
      </c>
      <c r="M32" s="11" t="s">
        <v>387</v>
      </c>
      <c r="N32" s="13">
        <f t="shared" si="0"/>
        <v>6258625585</v>
      </c>
      <c r="O32" s="12">
        <v>0.79</v>
      </c>
      <c r="P32" s="13">
        <f t="shared" si="1"/>
        <v>4944314212.1500006</v>
      </c>
      <c r="Q32" s="12" t="s">
        <v>499</v>
      </c>
      <c r="R32" s="12"/>
      <c r="S32" s="32" t="s">
        <v>807</v>
      </c>
    </row>
    <row r="33" spans="1:19" x14ac:dyDescent="0.3">
      <c r="A33" t="s">
        <v>13</v>
      </c>
      <c r="B33" t="s">
        <v>14</v>
      </c>
      <c r="C33" s="10" t="s">
        <v>460</v>
      </c>
      <c r="D33" s="11" t="s">
        <v>461</v>
      </c>
      <c r="E33" s="11">
        <v>2069358570</v>
      </c>
      <c r="F33" s="10" t="s">
        <v>17</v>
      </c>
      <c r="G33" s="11" t="s">
        <v>18</v>
      </c>
      <c r="H33" s="11">
        <v>357769008</v>
      </c>
      <c r="I33" s="10" t="s">
        <v>17</v>
      </c>
      <c r="J33" s="11" t="s">
        <v>18</v>
      </c>
      <c r="K33" s="11">
        <v>255501225</v>
      </c>
      <c r="L33" s="10" t="s">
        <v>17</v>
      </c>
      <c r="M33" s="11" t="s">
        <v>18</v>
      </c>
      <c r="N33" s="13">
        <f t="shared" si="0"/>
        <v>2324859795</v>
      </c>
      <c r="O33" s="12">
        <v>1</v>
      </c>
      <c r="P33" s="13">
        <f t="shared" si="1"/>
        <v>2324859795</v>
      </c>
      <c r="Q33" s="12"/>
      <c r="R33" s="12"/>
      <c r="S33" s="32" t="s">
        <v>785</v>
      </c>
    </row>
    <row r="34" spans="1:19" x14ac:dyDescent="0.3">
      <c r="A34" t="s">
        <v>13</v>
      </c>
      <c r="B34" t="s">
        <v>14</v>
      </c>
      <c r="C34" s="10" t="s">
        <v>25</v>
      </c>
      <c r="D34" s="11" t="s">
        <v>26</v>
      </c>
      <c r="E34" s="11">
        <v>2043943673</v>
      </c>
      <c r="F34" s="10" t="s">
        <v>17</v>
      </c>
      <c r="G34" s="11" t="s">
        <v>18</v>
      </c>
      <c r="H34" s="11">
        <v>85693377</v>
      </c>
      <c r="I34" s="10" t="s">
        <v>17</v>
      </c>
      <c r="J34" s="11" t="s">
        <v>18</v>
      </c>
      <c r="K34" s="11">
        <v>5603755</v>
      </c>
      <c r="L34" s="10" t="s">
        <v>17</v>
      </c>
      <c r="M34" s="11" t="s">
        <v>18</v>
      </c>
      <c r="N34" s="13">
        <f t="shared" si="0"/>
        <v>2049547428</v>
      </c>
      <c r="O34" s="12">
        <v>1</v>
      </c>
      <c r="P34" s="13">
        <f t="shared" si="1"/>
        <v>2049547428</v>
      </c>
      <c r="Q34" s="12"/>
      <c r="R34" s="12" t="s">
        <v>526</v>
      </c>
      <c r="S34" s="32" t="s">
        <v>800</v>
      </c>
    </row>
    <row r="35" spans="1:19" x14ac:dyDescent="0.3">
      <c r="A35" t="s">
        <v>13</v>
      </c>
      <c r="B35" t="s">
        <v>14</v>
      </c>
      <c r="C35" s="10" t="s">
        <v>341</v>
      </c>
      <c r="D35" s="11" t="s">
        <v>342</v>
      </c>
      <c r="E35" s="11">
        <v>440000000</v>
      </c>
      <c r="F35" s="10" t="s">
        <v>17</v>
      </c>
      <c r="G35" s="11" t="s">
        <v>18</v>
      </c>
      <c r="H35" s="11">
        <v>214951347</v>
      </c>
      <c r="I35" s="10" t="s">
        <v>17</v>
      </c>
      <c r="J35" s="11" t="s">
        <v>18</v>
      </c>
      <c r="K35" s="11">
        <v>97039544</v>
      </c>
      <c r="L35" s="10" t="s">
        <v>17</v>
      </c>
      <c r="M35" s="11" t="s">
        <v>18</v>
      </c>
      <c r="N35" s="13">
        <f t="shared" si="0"/>
        <v>537039544</v>
      </c>
      <c r="O35" s="12">
        <v>1</v>
      </c>
      <c r="P35" s="13">
        <f t="shared" si="1"/>
        <v>537039544</v>
      </c>
      <c r="Q35" s="12" t="s">
        <v>502</v>
      </c>
      <c r="R35" s="12"/>
      <c r="S35" s="32"/>
    </row>
    <row r="36" spans="1:19" x14ac:dyDescent="0.3">
      <c r="A36" t="s">
        <v>13</v>
      </c>
      <c r="B36" t="s">
        <v>14</v>
      </c>
      <c r="C36" s="10" t="s">
        <v>27</v>
      </c>
      <c r="D36" s="11" t="s">
        <v>28</v>
      </c>
      <c r="E36" s="11">
        <v>2174651913</v>
      </c>
      <c r="F36" s="10" t="s">
        <v>29</v>
      </c>
      <c r="G36" s="11" t="s">
        <v>18</v>
      </c>
      <c r="H36" s="11">
        <v>209246900</v>
      </c>
      <c r="I36" s="10" t="s">
        <v>29</v>
      </c>
      <c r="J36" s="11" t="s">
        <v>18</v>
      </c>
      <c r="K36" s="11">
        <v>14293100</v>
      </c>
      <c r="L36" s="10" t="s">
        <v>29</v>
      </c>
      <c r="M36" s="11" t="s">
        <v>18</v>
      </c>
      <c r="N36" s="13">
        <f t="shared" si="0"/>
        <v>2188945013</v>
      </c>
      <c r="O36" s="12">
        <v>1</v>
      </c>
      <c r="P36" s="13">
        <f t="shared" si="1"/>
        <v>2188945013</v>
      </c>
      <c r="Q36" s="12" t="s">
        <v>527</v>
      </c>
      <c r="R36" s="12"/>
      <c r="S36" s="32"/>
    </row>
    <row r="37" spans="1:19" x14ac:dyDescent="0.3">
      <c r="A37" t="s">
        <v>13</v>
      </c>
      <c r="B37" t="s">
        <v>14</v>
      </c>
      <c r="C37" s="10" t="s">
        <v>23</v>
      </c>
      <c r="D37" s="11" t="s">
        <v>24</v>
      </c>
      <c r="E37" s="11">
        <v>1800000000</v>
      </c>
      <c r="F37" s="10" t="s">
        <v>17</v>
      </c>
      <c r="G37" s="11" t="s">
        <v>18</v>
      </c>
      <c r="H37" s="11">
        <v>91343999</v>
      </c>
      <c r="I37" s="10" t="s">
        <v>17</v>
      </c>
      <c r="J37" s="11" t="s">
        <v>18</v>
      </c>
      <c r="K37" s="11">
        <v>76728</v>
      </c>
      <c r="L37" s="10" t="s">
        <v>17</v>
      </c>
      <c r="M37" s="11" t="s">
        <v>18</v>
      </c>
      <c r="N37" s="13">
        <f t="shared" si="0"/>
        <v>1800076728</v>
      </c>
      <c r="O37" s="12">
        <v>1</v>
      </c>
      <c r="P37" s="13">
        <f t="shared" si="1"/>
        <v>1800076728</v>
      </c>
      <c r="Q37" s="12"/>
      <c r="R37" s="12" t="s">
        <v>528</v>
      </c>
      <c r="S37" s="32"/>
    </row>
    <row r="38" spans="1:19" x14ac:dyDescent="0.3">
      <c r="A38" t="s">
        <v>13</v>
      </c>
      <c r="B38" t="s">
        <v>14</v>
      </c>
      <c r="C38" s="10" t="s">
        <v>98</v>
      </c>
      <c r="D38" s="11" t="s">
        <v>99</v>
      </c>
      <c r="E38" s="11">
        <v>420000000</v>
      </c>
      <c r="F38" s="10" t="s">
        <v>17</v>
      </c>
      <c r="G38" s="11" t="s">
        <v>18</v>
      </c>
      <c r="H38" s="11">
        <v>188929951</v>
      </c>
      <c r="I38" s="10" t="s">
        <v>17</v>
      </c>
      <c r="J38" s="11" t="s">
        <v>18</v>
      </c>
      <c r="K38" s="11">
        <v>13982483</v>
      </c>
      <c r="L38" s="10" t="s">
        <v>17</v>
      </c>
      <c r="M38" s="11" t="s">
        <v>18</v>
      </c>
      <c r="N38" s="13">
        <f t="shared" si="0"/>
        <v>433982483</v>
      </c>
      <c r="O38" s="12">
        <v>1</v>
      </c>
      <c r="P38" s="13">
        <f t="shared" si="1"/>
        <v>433982483</v>
      </c>
      <c r="Q38" s="12" t="s">
        <v>502</v>
      </c>
      <c r="R38" s="12"/>
      <c r="S38" s="32"/>
    </row>
    <row r="39" spans="1:19" x14ac:dyDescent="0.3">
      <c r="A39" t="s">
        <v>13</v>
      </c>
      <c r="B39" t="s">
        <v>14</v>
      </c>
      <c r="C39" s="10" t="s">
        <v>464</v>
      </c>
      <c r="D39" s="11" t="s">
        <v>465</v>
      </c>
      <c r="E39" s="11">
        <v>2400000000</v>
      </c>
      <c r="F39" s="10" t="s">
        <v>17</v>
      </c>
      <c r="G39" s="11" t="s">
        <v>18</v>
      </c>
      <c r="H39" s="11">
        <v>185386522</v>
      </c>
      <c r="I39" s="10" t="s">
        <v>17</v>
      </c>
      <c r="J39" s="11" t="s">
        <v>18</v>
      </c>
      <c r="K39" s="11">
        <v>119966200</v>
      </c>
      <c r="L39" s="10" t="s">
        <v>17</v>
      </c>
      <c r="M39" s="11" t="s">
        <v>18</v>
      </c>
      <c r="N39" s="13">
        <f t="shared" si="0"/>
        <v>2519966200</v>
      </c>
      <c r="O39" s="12">
        <v>1</v>
      </c>
      <c r="P39" s="13">
        <f t="shared" si="1"/>
        <v>2519966200</v>
      </c>
      <c r="Q39" s="12" t="s">
        <v>503</v>
      </c>
      <c r="R39" s="12" t="s">
        <v>529</v>
      </c>
      <c r="S39" s="32" t="s">
        <v>812</v>
      </c>
    </row>
    <row r="40" spans="1:19" x14ac:dyDescent="0.3">
      <c r="A40" t="s">
        <v>13</v>
      </c>
      <c r="B40" t="s">
        <v>14</v>
      </c>
      <c r="C40" s="10" t="s">
        <v>476</v>
      </c>
      <c r="D40" s="11" t="s">
        <v>477</v>
      </c>
      <c r="E40" s="11">
        <v>400000000</v>
      </c>
      <c r="F40" s="10" t="s">
        <v>17</v>
      </c>
      <c r="G40" s="11" t="s">
        <v>18</v>
      </c>
      <c r="H40" s="11">
        <v>184133999</v>
      </c>
      <c r="I40" s="10" t="s">
        <v>17</v>
      </c>
      <c r="J40" s="11" t="s">
        <v>18</v>
      </c>
      <c r="K40" s="11">
        <v>320187033</v>
      </c>
      <c r="L40" s="10" t="s">
        <v>17</v>
      </c>
      <c r="M40" s="11" t="s">
        <v>18</v>
      </c>
      <c r="N40" s="13">
        <f t="shared" si="0"/>
        <v>720187033</v>
      </c>
      <c r="O40" s="12">
        <v>1</v>
      </c>
      <c r="P40" s="13">
        <f t="shared" si="1"/>
        <v>720187033</v>
      </c>
      <c r="Q40" s="12" t="s">
        <v>502</v>
      </c>
      <c r="R40" s="12"/>
      <c r="S40" s="32"/>
    </row>
    <row r="41" spans="1:19" x14ac:dyDescent="0.3">
      <c r="A41" t="s">
        <v>13</v>
      </c>
      <c r="B41" t="s">
        <v>14</v>
      </c>
      <c r="C41" s="10" t="s">
        <v>147</v>
      </c>
      <c r="D41" s="11" t="s">
        <v>148</v>
      </c>
      <c r="E41" s="11">
        <v>331121714</v>
      </c>
      <c r="F41" s="10" t="s">
        <v>17</v>
      </c>
      <c r="G41" s="11" t="s">
        <v>18</v>
      </c>
      <c r="H41" s="11">
        <v>182933222</v>
      </c>
      <c r="I41" s="10" t="s">
        <v>17</v>
      </c>
      <c r="J41" s="11" t="s">
        <v>18</v>
      </c>
      <c r="K41" s="11">
        <v>107058481</v>
      </c>
      <c r="L41" s="10" t="s">
        <v>17</v>
      </c>
      <c r="M41" s="11" t="s">
        <v>18</v>
      </c>
      <c r="N41" s="13">
        <f t="shared" si="0"/>
        <v>438180195</v>
      </c>
      <c r="O41" s="12">
        <v>1</v>
      </c>
      <c r="P41" s="13">
        <f t="shared" si="1"/>
        <v>438180195</v>
      </c>
      <c r="Q41" s="12" t="s">
        <v>502</v>
      </c>
      <c r="R41" s="12"/>
      <c r="S41" s="32"/>
    </row>
    <row r="42" spans="1:19" x14ac:dyDescent="0.3">
      <c r="A42" t="s">
        <v>13</v>
      </c>
      <c r="B42" t="s">
        <v>14</v>
      </c>
      <c r="C42" s="10" t="s">
        <v>483</v>
      </c>
      <c r="D42" s="11" t="s">
        <v>484</v>
      </c>
      <c r="E42" s="11">
        <v>285515204</v>
      </c>
      <c r="F42" s="10" t="s">
        <v>17</v>
      </c>
      <c r="G42" s="11" t="s">
        <v>18</v>
      </c>
      <c r="H42" s="11">
        <v>181410634</v>
      </c>
      <c r="I42" s="10" t="s">
        <v>17</v>
      </c>
      <c r="J42" s="11" t="s">
        <v>18</v>
      </c>
      <c r="K42" s="11">
        <v>124487250</v>
      </c>
      <c r="L42" s="10" t="s">
        <v>17</v>
      </c>
      <c r="M42" s="11" t="s">
        <v>18</v>
      </c>
      <c r="N42" s="13">
        <f t="shared" si="0"/>
        <v>410002454</v>
      </c>
      <c r="O42" s="12">
        <v>1</v>
      </c>
      <c r="P42" s="13">
        <f t="shared" si="1"/>
        <v>410002454</v>
      </c>
      <c r="Q42" s="12" t="s">
        <v>499</v>
      </c>
      <c r="R42" s="12"/>
      <c r="S42" s="32"/>
    </row>
    <row r="43" spans="1:19" x14ac:dyDescent="0.3">
      <c r="A43" t="s">
        <v>13</v>
      </c>
      <c r="B43" t="s">
        <v>14</v>
      </c>
      <c r="C43" s="10" t="s">
        <v>163</v>
      </c>
      <c r="D43" s="11" t="s">
        <v>164</v>
      </c>
      <c r="E43" s="11">
        <v>408000000</v>
      </c>
      <c r="F43" s="10" t="s">
        <v>17</v>
      </c>
      <c r="G43" s="11" t="s">
        <v>18</v>
      </c>
      <c r="H43" s="11">
        <v>180103402</v>
      </c>
      <c r="I43" s="10" t="s">
        <v>17</v>
      </c>
      <c r="J43" s="11" t="s">
        <v>18</v>
      </c>
      <c r="K43" s="11">
        <v>288471597</v>
      </c>
      <c r="L43" s="10" t="s">
        <v>17</v>
      </c>
      <c r="M43" s="11" t="s">
        <v>18</v>
      </c>
      <c r="N43" s="13">
        <f t="shared" si="0"/>
        <v>696471597</v>
      </c>
      <c r="O43" s="12">
        <v>1</v>
      </c>
      <c r="P43" s="13">
        <f t="shared" si="1"/>
        <v>696471597</v>
      </c>
      <c r="Q43" s="12" t="s">
        <v>499</v>
      </c>
      <c r="R43" s="12"/>
      <c r="S43" s="32"/>
    </row>
    <row r="44" spans="1:19" x14ac:dyDescent="0.3">
      <c r="A44" t="s">
        <v>13</v>
      </c>
      <c r="B44" t="s">
        <v>14</v>
      </c>
      <c r="C44" s="10" t="s">
        <v>404</v>
      </c>
      <c r="D44" s="11" t="s">
        <v>405</v>
      </c>
      <c r="E44" s="11">
        <v>1500000000</v>
      </c>
      <c r="F44" s="10" t="s">
        <v>17</v>
      </c>
      <c r="G44" s="11" t="s">
        <v>18</v>
      </c>
      <c r="H44" s="11">
        <v>217808143</v>
      </c>
      <c r="I44" s="10" t="s">
        <v>17</v>
      </c>
      <c r="J44" s="11" t="s">
        <v>18</v>
      </c>
      <c r="K44" s="11">
        <v>149416689</v>
      </c>
      <c r="L44" s="10" t="s">
        <v>17</v>
      </c>
      <c r="M44" s="11" t="s">
        <v>18</v>
      </c>
      <c r="N44" s="13">
        <f t="shared" si="0"/>
        <v>1649416689</v>
      </c>
      <c r="O44" s="12">
        <v>1</v>
      </c>
      <c r="P44" s="13">
        <f t="shared" si="1"/>
        <v>1649416689</v>
      </c>
      <c r="Q44" s="12"/>
      <c r="R44" s="12" t="s">
        <v>530</v>
      </c>
      <c r="S44" s="32"/>
    </row>
    <row r="45" spans="1:19" x14ac:dyDescent="0.3">
      <c r="A45" t="s">
        <v>13</v>
      </c>
      <c r="B45" t="s">
        <v>14</v>
      </c>
      <c r="C45" s="10" t="s">
        <v>352</v>
      </c>
      <c r="D45" s="11" t="s">
        <v>353</v>
      </c>
      <c r="E45" s="11">
        <v>1437528238</v>
      </c>
      <c r="F45" s="10" t="s">
        <v>17</v>
      </c>
      <c r="G45" s="11" t="s">
        <v>18</v>
      </c>
      <c r="H45" s="11">
        <v>12633578</v>
      </c>
      <c r="I45" s="10" t="s">
        <v>17</v>
      </c>
      <c r="J45" s="11" t="s">
        <v>18</v>
      </c>
      <c r="K45" s="11">
        <v>74526547</v>
      </c>
      <c r="L45" s="10" t="s">
        <v>17</v>
      </c>
      <c r="M45" s="11" t="s">
        <v>18</v>
      </c>
      <c r="N45" s="13">
        <f t="shared" si="0"/>
        <v>1512054785</v>
      </c>
      <c r="O45" s="12">
        <v>1</v>
      </c>
      <c r="P45" s="13">
        <f t="shared" si="1"/>
        <v>1512054785</v>
      </c>
      <c r="Q45" s="12"/>
      <c r="R45" s="12" t="s">
        <v>531</v>
      </c>
      <c r="S45" s="32"/>
    </row>
    <row r="46" spans="1:19" x14ac:dyDescent="0.3">
      <c r="A46" t="s">
        <v>13</v>
      </c>
      <c r="B46" t="s">
        <v>14</v>
      </c>
      <c r="C46" s="10" t="s">
        <v>206</v>
      </c>
      <c r="D46" s="11" t="s">
        <v>207</v>
      </c>
      <c r="E46" s="11">
        <v>551246743</v>
      </c>
      <c r="F46" s="10" t="s">
        <v>17</v>
      </c>
      <c r="G46" s="11" t="s">
        <v>18</v>
      </c>
      <c r="H46" s="11">
        <v>170162405</v>
      </c>
      <c r="I46" s="10" t="s">
        <v>17</v>
      </c>
      <c r="J46" s="11" t="s">
        <v>18</v>
      </c>
      <c r="K46" s="11">
        <v>34350882</v>
      </c>
      <c r="L46" s="10" t="s">
        <v>17</v>
      </c>
      <c r="M46" s="11" t="s">
        <v>18</v>
      </c>
      <c r="N46" s="13">
        <f t="shared" si="0"/>
        <v>585597625</v>
      </c>
      <c r="O46" s="12">
        <v>1</v>
      </c>
      <c r="P46" s="13">
        <f t="shared" si="1"/>
        <v>585597625</v>
      </c>
      <c r="Q46" s="12" t="s">
        <v>502</v>
      </c>
      <c r="R46" s="12" t="s">
        <v>532</v>
      </c>
      <c r="S46" s="32"/>
    </row>
    <row r="47" spans="1:19" x14ac:dyDescent="0.3">
      <c r="A47" t="s">
        <v>13</v>
      </c>
      <c r="B47" t="s">
        <v>14</v>
      </c>
      <c r="C47" s="10" t="s">
        <v>377</v>
      </c>
      <c r="D47" s="11" t="s">
        <v>378</v>
      </c>
      <c r="E47" s="11">
        <v>1832250912</v>
      </c>
      <c r="F47" s="10" t="s">
        <v>17</v>
      </c>
      <c r="G47" s="11" t="s">
        <v>18</v>
      </c>
      <c r="H47" s="11">
        <v>167676125</v>
      </c>
      <c r="I47" s="10" t="s">
        <v>17</v>
      </c>
      <c r="J47" s="11" t="s">
        <v>18</v>
      </c>
      <c r="K47" s="11">
        <v>321852593</v>
      </c>
      <c r="L47" s="10" t="s">
        <v>17</v>
      </c>
      <c r="M47" s="11" t="s">
        <v>18</v>
      </c>
      <c r="N47" s="13">
        <f t="shared" si="0"/>
        <v>2154103505</v>
      </c>
      <c r="O47" s="12">
        <v>1</v>
      </c>
      <c r="P47" s="13">
        <f t="shared" si="1"/>
        <v>2154103505</v>
      </c>
      <c r="Q47" s="12" t="s">
        <v>502</v>
      </c>
      <c r="R47" s="12"/>
      <c r="S47" s="32"/>
    </row>
    <row r="48" spans="1:19" x14ac:dyDescent="0.3">
      <c r="A48" t="s">
        <v>13</v>
      </c>
      <c r="B48" t="s">
        <v>14</v>
      </c>
      <c r="C48" s="10" t="s">
        <v>104</v>
      </c>
      <c r="D48" s="11" t="s">
        <v>105</v>
      </c>
      <c r="E48" s="11">
        <v>910000000</v>
      </c>
      <c r="F48" s="10" t="s">
        <v>17</v>
      </c>
      <c r="G48" s="11" t="s">
        <v>18</v>
      </c>
      <c r="H48" s="11">
        <v>31808580</v>
      </c>
      <c r="I48" s="10" t="s">
        <v>17</v>
      </c>
      <c r="J48" s="11" t="s">
        <v>18</v>
      </c>
      <c r="K48" s="11">
        <v>579049224</v>
      </c>
      <c r="L48" s="10" t="s">
        <v>17</v>
      </c>
      <c r="M48" s="11" t="s">
        <v>18</v>
      </c>
      <c r="N48" s="13">
        <f t="shared" si="0"/>
        <v>1489049224</v>
      </c>
      <c r="O48" s="12">
        <v>1</v>
      </c>
      <c r="P48" s="13">
        <f t="shared" si="1"/>
        <v>1489049224</v>
      </c>
      <c r="Q48" s="12"/>
      <c r="R48" s="12" t="s">
        <v>533</v>
      </c>
      <c r="S48" s="32"/>
    </row>
    <row r="49" spans="1:19" x14ac:dyDescent="0.3">
      <c r="A49" t="s">
        <v>13</v>
      </c>
      <c r="B49" t="s">
        <v>14</v>
      </c>
      <c r="C49" s="10" t="s">
        <v>402</v>
      </c>
      <c r="D49" s="11" t="s">
        <v>403</v>
      </c>
      <c r="E49" s="11">
        <v>1299181693</v>
      </c>
      <c r="F49" s="10" t="s">
        <v>17</v>
      </c>
      <c r="G49" s="11" t="s">
        <v>18</v>
      </c>
      <c r="H49" s="11">
        <v>70524860</v>
      </c>
      <c r="I49" s="10" t="s">
        <v>17</v>
      </c>
      <c r="J49" s="11" t="s">
        <v>18</v>
      </c>
      <c r="K49" s="11">
        <v>169341824</v>
      </c>
      <c r="L49" s="10" t="s">
        <v>17</v>
      </c>
      <c r="M49" s="11" t="s">
        <v>18</v>
      </c>
      <c r="N49" s="13">
        <f t="shared" si="0"/>
        <v>1468523517</v>
      </c>
      <c r="O49" s="12">
        <v>1</v>
      </c>
      <c r="P49" s="13">
        <f t="shared" si="1"/>
        <v>1468523517</v>
      </c>
      <c r="Q49" s="12"/>
      <c r="R49" s="12" t="s">
        <v>534</v>
      </c>
      <c r="S49" s="32"/>
    </row>
    <row r="50" spans="1:19" x14ac:dyDescent="0.3">
      <c r="A50" t="s">
        <v>13</v>
      </c>
      <c r="B50" t="s">
        <v>14</v>
      </c>
      <c r="C50" s="10" t="s">
        <v>450</v>
      </c>
      <c r="D50" s="11" t="s">
        <v>451</v>
      </c>
      <c r="E50" s="11">
        <v>1060516856</v>
      </c>
      <c r="F50" s="10" t="s">
        <v>17</v>
      </c>
      <c r="G50" s="11" t="s">
        <v>18</v>
      </c>
      <c r="H50" s="11">
        <v>124835877</v>
      </c>
      <c r="I50" s="10" t="s">
        <v>17</v>
      </c>
      <c r="J50" s="11" t="s">
        <v>18</v>
      </c>
      <c r="K50" s="11">
        <v>13951101</v>
      </c>
      <c r="L50" s="10" t="s">
        <v>17</v>
      </c>
      <c r="M50" s="11" t="s">
        <v>18</v>
      </c>
      <c r="N50" s="13">
        <f t="shared" si="0"/>
        <v>1074467957</v>
      </c>
      <c r="O50" s="12">
        <v>1</v>
      </c>
      <c r="P50" s="13">
        <f t="shared" si="1"/>
        <v>1074467957</v>
      </c>
      <c r="Q50" s="12"/>
      <c r="R50" s="12" t="s">
        <v>535</v>
      </c>
      <c r="S50" s="32"/>
    </row>
    <row r="51" spans="1:19" x14ac:dyDescent="0.3">
      <c r="A51" t="s">
        <v>13</v>
      </c>
      <c r="B51" t="s">
        <v>14</v>
      </c>
      <c r="C51" s="10" t="s">
        <v>363</v>
      </c>
      <c r="D51" s="11" t="s">
        <v>364</v>
      </c>
      <c r="E51" s="11">
        <v>270998028</v>
      </c>
      <c r="F51" s="10" t="s">
        <v>17</v>
      </c>
      <c r="G51" s="11" t="s">
        <v>18</v>
      </c>
      <c r="H51" s="11">
        <v>148821240</v>
      </c>
      <c r="I51" s="10" t="s">
        <v>17</v>
      </c>
      <c r="J51" s="11" t="s">
        <v>18</v>
      </c>
      <c r="K51" s="11">
        <v>43469310</v>
      </c>
      <c r="L51" s="10" t="s">
        <v>17</v>
      </c>
      <c r="M51" s="11" t="s">
        <v>18</v>
      </c>
      <c r="N51" s="13">
        <f t="shared" si="0"/>
        <v>314467338</v>
      </c>
      <c r="O51" s="12">
        <v>1</v>
      </c>
      <c r="P51" s="13">
        <f t="shared" si="1"/>
        <v>314467338</v>
      </c>
      <c r="Q51" s="12" t="s">
        <v>499</v>
      </c>
      <c r="R51" s="12"/>
      <c r="S51" s="32"/>
    </row>
    <row r="52" spans="1:19" x14ac:dyDescent="0.3">
      <c r="A52" t="s">
        <v>13</v>
      </c>
      <c r="B52" t="s">
        <v>14</v>
      </c>
      <c r="C52" s="10" t="s">
        <v>145</v>
      </c>
      <c r="D52" s="11" t="s">
        <v>146</v>
      </c>
      <c r="E52" s="11">
        <v>497544814</v>
      </c>
      <c r="F52" s="10" t="s">
        <v>17</v>
      </c>
      <c r="G52" s="11" t="s">
        <v>18</v>
      </c>
      <c r="H52" s="11">
        <v>147933054</v>
      </c>
      <c r="I52" s="10" t="s">
        <v>17</v>
      </c>
      <c r="J52" s="11" t="s">
        <v>18</v>
      </c>
      <c r="K52" s="11">
        <v>705735488</v>
      </c>
      <c r="L52" s="10" t="s">
        <v>17</v>
      </c>
      <c r="M52" s="11" t="s">
        <v>18</v>
      </c>
      <c r="N52" s="13">
        <f t="shared" si="0"/>
        <v>1203280302</v>
      </c>
      <c r="O52" s="12">
        <v>1</v>
      </c>
      <c r="P52" s="13">
        <f t="shared" si="1"/>
        <v>1203280302</v>
      </c>
      <c r="Q52" s="12" t="s">
        <v>502</v>
      </c>
      <c r="R52" s="12"/>
      <c r="S52" s="32"/>
    </row>
    <row r="53" spans="1:19" x14ac:dyDescent="0.3">
      <c r="A53" t="s">
        <v>13</v>
      </c>
      <c r="B53" t="s">
        <v>14</v>
      </c>
      <c r="C53" s="10" t="s">
        <v>430</v>
      </c>
      <c r="D53" s="11" t="s">
        <v>431</v>
      </c>
      <c r="E53" s="11">
        <v>597767646</v>
      </c>
      <c r="F53" s="10" t="s">
        <v>17</v>
      </c>
      <c r="G53" s="11" t="s">
        <v>18</v>
      </c>
      <c r="H53" s="11">
        <v>145535564</v>
      </c>
      <c r="I53" s="10" t="s">
        <v>17</v>
      </c>
      <c r="J53" s="11" t="s">
        <v>18</v>
      </c>
      <c r="K53" s="11">
        <v>166895581</v>
      </c>
      <c r="L53" s="10" t="s">
        <v>17</v>
      </c>
      <c r="M53" s="11" t="s">
        <v>18</v>
      </c>
      <c r="N53" s="13">
        <f t="shared" si="0"/>
        <v>764663227</v>
      </c>
      <c r="O53" s="12">
        <v>1</v>
      </c>
      <c r="P53" s="13">
        <f t="shared" si="1"/>
        <v>764663227</v>
      </c>
      <c r="Q53" s="12" t="s">
        <v>502</v>
      </c>
      <c r="R53" s="12" t="s">
        <v>536</v>
      </c>
      <c r="S53" s="32"/>
    </row>
    <row r="54" spans="1:19" x14ac:dyDescent="0.3">
      <c r="A54" t="s">
        <v>13</v>
      </c>
      <c r="B54" t="s">
        <v>14</v>
      </c>
      <c r="C54" s="10" t="s">
        <v>311</v>
      </c>
      <c r="D54" s="11" t="s">
        <v>312</v>
      </c>
      <c r="E54" s="11">
        <v>953089905</v>
      </c>
      <c r="F54" s="10" t="s">
        <v>17</v>
      </c>
      <c r="G54" s="11" t="s">
        <v>18</v>
      </c>
      <c r="H54" s="11">
        <v>137400097</v>
      </c>
      <c r="I54" s="10" t="s">
        <v>17</v>
      </c>
      <c r="J54" s="11" t="s">
        <v>18</v>
      </c>
      <c r="K54" s="11">
        <v>84694159</v>
      </c>
      <c r="L54" s="10" t="s">
        <v>17</v>
      </c>
      <c r="M54" s="11" t="s">
        <v>18</v>
      </c>
      <c r="N54" s="13">
        <f t="shared" si="0"/>
        <v>1037784064</v>
      </c>
      <c r="O54" s="12">
        <v>1</v>
      </c>
      <c r="P54" s="13">
        <f t="shared" si="1"/>
        <v>1037784064</v>
      </c>
      <c r="Q54" s="12"/>
      <c r="R54" s="12" t="s">
        <v>537</v>
      </c>
      <c r="S54" s="32"/>
    </row>
    <row r="55" spans="1:19" x14ac:dyDescent="0.3">
      <c r="A55" t="s">
        <v>13</v>
      </c>
      <c r="B55" t="s">
        <v>14</v>
      </c>
      <c r="C55" s="10" t="s">
        <v>257</v>
      </c>
      <c r="D55" s="11" t="s">
        <v>258</v>
      </c>
      <c r="E55" s="11">
        <v>920000000</v>
      </c>
      <c r="F55" s="10" t="s">
        <v>17</v>
      </c>
      <c r="G55" s="11" t="s">
        <v>18</v>
      </c>
      <c r="H55" s="11">
        <v>275669877</v>
      </c>
      <c r="I55" s="10" t="s">
        <v>17</v>
      </c>
      <c r="J55" s="11" t="s">
        <v>18</v>
      </c>
      <c r="K55" s="11">
        <v>107557924</v>
      </c>
      <c r="L55" s="10" t="s">
        <v>17</v>
      </c>
      <c r="M55" s="11" t="s">
        <v>18</v>
      </c>
      <c r="N55" s="13">
        <f t="shared" si="0"/>
        <v>1027557924</v>
      </c>
      <c r="O55" s="12">
        <v>1</v>
      </c>
      <c r="P55" s="13">
        <f t="shared" si="1"/>
        <v>1027557924</v>
      </c>
      <c r="Q55" s="12"/>
      <c r="R55" s="12"/>
      <c r="S55" s="32" t="s">
        <v>788</v>
      </c>
    </row>
    <row r="56" spans="1:19" x14ac:dyDescent="0.3">
      <c r="A56" t="s">
        <v>13</v>
      </c>
      <c r="B56" t="s">
        <v>14</v>
      </c>
      <c r="C56" s="10" t="s">
        <v>64</v>
      </c>
      <c r="D56" s="11" t="s">
        <v>65</v>
      </c>
      <c r="E56" s="11">
        <v>900000000</v>
      </c>
      <c r="F56" s="10" t="s">
        <v>17</v>
      </c>
      <c r="G56" s="11" t="s">
        <v>18</v>
      </c>
      <c r="H56" s="11">
        <v>272995157</v>
      </c>
      <c r="I56" s="10" t="s">
        <v>17</v>
      </c>
      <c r="J56" s="11" t="s">
        <v>18</v>
      </c>
      <c r="K56" s="11">
        <v>118745547</v>
      </c>
      <c r="L56" s="10" t="s">
        <v>17</v>
      </c>
      <c r="M56" s="11" t="s">
        <v>18</v>
      </c>
      <c r="N56" s="13">
        <f t="shared" si="0"/>
        <v>1018745547</v>
      </c>
      <c r="O56" s="12">
        <v>1</v>
      </c>
      <c r="P56" s="13">
        <f t="shared" si="1"/>
        <v>1018745547</v>
      </c>
      <c r="Q56" s="12"/>
      <c r="R56" s="12" t="s">
        <v>538</v>
      </c>
      <c r="S56" s="32"/>
    </row>
    <row r="57" spans="1:19" x14ac:dyDescent="0.3">
      <c r="A57" t="s">
        <v>13</v>
      </c>
      <c r="B57" t="s">
        <v>14</v>
      </c>
      <c r="C57" s="10" t="s">
        <v>88</v>
      </c>
      <c r="D57" s="11" t="s">
        <v>89</v>
      </c>
      <c r="E57" s="11">
        <v>320000000</v>
      </c>
      <c r="F57" s="10" t="s">
        <v>17</v>
      </c>
      <c r="G57" s="11" t="s">
        <v>18</v>
      </c>
      <c r="H57" s="11">
        <v>134028846</v>
      </c>
      <c r="I57" s="10" t="s">
        <v>17</v>
      </c>
      <c r="J57" s="11" t="s">
        <v>18</v>
      </c>
      <c r="K57" s="11">
        <v>278978791</v>
      </c>
      <c r="L57" s="10" t="s">
        <v>17</v>
      </c>
      <c r="M57" s="11" t="s">
        <v>18</v>
      </c>
      <c r="N57" s="13">
        <f t="shared" si="0"/>
        <v>598978791</v>
      </c>
      <c r="O57" s="12">
        <v>1</v>
      </c>
      <c r="P57" s="13">
        <f t="shared" si="1"/>
        <v>598978791</v>
      </c>
      <c r="Q57" s="12" t="s">
        <v>502</v>
      </c>
      <c r="R57" s="12" t="s">
        <v>539</v>
      </c>
      <c r="S57" s="32"/>
    </row>
    <row r="58" spans="1:19" x14ac:dyDescent="0.3">
      <c r="A58" t="s">
        <v>13</v>
      </c>
      <c r="B58" t="s">
        <v>14</v>
      </c>
      <c r="C58" s="10" t="s">
        <v>462</v>
      </c>
      <c r="D58" s="11" t="s">
        <v>463</v>
      </c>
      <c r="E58" s="11">
        <v>262291878</v>
      </c>
      <c r="F58" s="10" t="s">
        <v>17</v>
      </c>
      <c r="G58" s="11" t="s">
        <v>18</v>
      </c>
      <c r="H58" s="11">
        <v>132850660</v>
      </c>
      <c r="I58" s="10" t="s">
        <v>17</v>
      </c>
      <c r="J58" s="11" t="s">
        <v>18</v>
      </c>
      <c r="K58" s="11">
        <v>79823094</v>
      </c>
      <c r="L58" s="10" t="s">
        <v>17</v>
      </c>
      <c r="M58" s="11" t="s">
        <v>18</v>
      </c>
      <c r="N58" s="13">
        <f t="shared" si="0"/>
        <v>342114972</v>
      </c>
      <c r="O58" s="12">
        <v>1</v>
      </c>
      <c r="P58" s="13">
        <f t="shared" si="1"/>
        <v>342114972</v>
      </c>
      <c r="Q58" s="12" t="s">
        <v>502</v>
      </c>
      <c r="R58" s="12"/>
      <c r="S58" s="32"/>
    </row>
    <row r="59" spans="1:19" x14ac:dyDescent="0.3">
      <c r="A59" t="s">
        <v>13</v>
      </c>
      <c r="B59" t="s">
        <v>14</v>
      </c>
      <c r="C59" s="10" t="s">
        <v>119</v>
      </c>
      <c r="D59" s="11" t="s">
        <v>120</v>
      </c>
      <c r="E59" s="11">
        <v>661924113</v>
      </c>
      <c r="F59" s="10" t="s">
        <v>17</v>
      </c>
      <c r="G59" s="11" t="s">
        <v>18</v>
      </c>
      <c r="H59" s="11">
        <v>132192787</v>
      </c>
      <c r="I59" s="10" t="s">
        <v>17</v>
      </c>
      <c r="J59" s="11" t="s">
        <v>18</v>
      </c>
      <c r="K59" s="11">
        <v>92783624</v>
      </c>
      <c r="L59" s="10" t="s">
        <v>17</v>
      </c>
      <c r="M59" s="11" t="s">
        <v>18</v>
      </c>
      <c r="N59" s="13">
        <f t="shared" si="0"/>
        <v>754707737</v>
      </c>
      <c r="O59" s="12">
        <v>1</v>
      </c>
      <c r="P59" s="13">
        <f t="shared" si="1"/>
        <v>754707737</v>
      </c>
      <c r="Q59" s="12" t="s">
        <v>499</v>
      </c>
      <c r="R59" s="12"/>
      <c r="S59" s="32"/>
    </row>
    <row r="60" spans="1:19" x14ac:dyDescent="0.3">
      <c r="A60" t="s">
        <v>13</v>
      </c>
      <c r="B60" t="s">
        <v>14</v>
      </c>
      <c r="C60" s="10" t="s">
        <v>265</v>
      </c>
      <c r="D60" s="11" t="s">
        <v>266</v>
      </c>
      <c r="E60" s="11">
        <v>190767174</v>
      </c>
      <c r="F60" s="10" t="s">
        <v>267</v>
      </c>
      <c r="G60" s="11" t="s">
        <v>18</v>
      </c>
      <c r="H60" s="11">
        <v>131783300</v>
      </c>
      <c r="I60" s="10" t="s">
        <v>267</v>
      </c>
      <c r="J60" s="11" t="s">
        <v>18</v>
      </c>
      <c r="K60" s="11">
        <v>242957600</v>
      </c>
      <c r="L60" s="10" t="s">
        <v>267</v>
      </c>
      <c r="M60" s="11" t="s">
        <v>18</v>
      </c>
      <c r="N60" s="13">
        <f t="shared" si="0"/>
        <v>433724774</v>
      </c>
      <c r="O60" s="12">
        <v>1</v>
      </c>
      <c r="P60" s="13">
        <f t="shared" si="1"/>
        <v>433724774</v>
      </c>
      <c r="Q60" s="12" t="s">
        <v>502</v>
      </c>
      <c r="R60" s="12"/>
      <c r="S60" s="32"/>
    </row>
    <row r="61" spans="1:19" x14ac:dyDescent="0.3">
      <c r="A61" t="s">
        <v>13</v>
      </c>
      <c r="B61" t="s">
        <v>14</v>
      </c>
      <c r="C61" s="10" t="s">
        <v>432</v>
      </c>
      <c r="D61" s="11" t="s">
        <v>433</v>
      </c>
      <c r="E61" s="11">
        <v>878391616</v>
      </c>
      <c r="F61" s="10" t="s">
        <v>17</v>
      </c>
      <c r="G61" s="11" t="s">
        <v>18</v>
      </c>
      <c r="H61" s="11">
        <v>131196704</v>
      </c>
      <c r="I61" s="10" t="s">
        <v>17</v>
      </c>
      <c r="J61" s="11" t="s">
        <v>18</v>
      </c>
      <c r="K61" s="11">
        <v>157039200</v>
      </c>
      <c r="L61" s="10" t="s">
        <v>17</v>
      </c>
      <c r="M61" s="11" t="s">
        <v>18</v>
      </c>
      <c r="N61" s="13">
        <f t="shared" si="0"/>
        <v>1035430816</v>
      </c>
      <c r="O61" s="12">
        <v>1</v>
      </c>
      <c r="P61" s="13">
        <f t="shared" si="1"/>
        <v>1035430816</v>
      </c>
      <c r="Q61" s="12" t="s">
        <v>502</v>
      </c>
      <c r="R61" s="12" t="s">
        <v>540</v>
      </c>
      <c r="S61" s="32"/>
    </row>
    <row r="62" spans="1:19" x14ac:dyDescent="0.3">
      <c r="A62" t="s">
        <v>13</v>
      </c>
      <c r="B62" t="s">
        <v>14</v>
      </c>
      <c r="C62" s="10" t="s">
        <v>40</v>
      </c>
      <c r="D62" s="11" t="s">
        <v>41</v>
      </c>
      <c r="E62" s="11">
        <v>963343770</v>
      </c>
      <c r="F62" s="10" t="s">
        <v>17</v>
      </c>
      <c r="G62" s="11" t="s">
        <v>18</v>
      </c>
      <c r="H62" s="11">
        <v>151636245</v>
      </c>
      <c r="I62" s="10" t="s">
        <v>17</v>
      </c>
      <c r="J62" s="11" t="s">
        <v>18</v>
      </c>
      <c r="K62" s="11">
        <v>43116918</v>
      </c>
      <c r="L62" s="10" t="s">
        <v>17</v>
      </c>
      <c r="M62" s="11" t="s">
        <v>18</v>
      </c>
      <c r="N62" s="13">
        <f t="shared" si="0"/>
        <v>1006460688</v>
      </c>
      <c r="O62" s="12">
        <v>1</v>
      </c>
      <c r="P62" s="13">
        <f t="shared" si="1"/>
        <v>1006460688</v>
      </c>
      <c r="Q62" s="12"/>
      <c r="R62" s="12" t="s">
        <v>541</v>
      </c>
      <c r="S62" s="32"/>
    </row>
    <row r="63" spans="1:19" x14ac:dyDescent="0.3">
      <c r="A63" t="s">
        <v>13</v>
      </c>
      <c r="B63" t="s">
        <v>14</v>
      </c>
      <c r="C63" s="10" t="s">
        <v>218</v>
      </c>
      <c r="D63" s="11" t="s">
        <v>219</v>
      </c>
      <c r="E63" s="11">
        <v>665810142</v>
      </c>
      <c r="F63" s="10" t="s">
        <v>17</v>
      </c>
      <c r="G63" s="11" t="s">
        <v>18</v>
      </c>
      <c r="H63" s="11">
        <v>96050933</v>
      </c>
      <c r="I63" s="10" t="s">
        <v>17</v>
      </c>
      <c r="J63" s="11" t="s">
        <v>18</v>
      </c>
      <c r="K63" s="11">
        <v>293687056</v>
      </c>
      <c r="L63" s="10" t="s">
        <v>17</v>
      </c>
      <c r="M63" s="11" t="s">
        <v>18</v>
      </c>
      <c r="N63" s="13">
        <f t="shared" si="0"/>
        <v>959497198</v>
      </c>
      <c r="O63" s="12">
        <v>1</v>
      </c>
      <c r="P63" s="13">
        <f t="shared" si="1"/>
        <v>959497198</v>
      </c>
      <c r="Q63" s="12"/>
      <c r="R63" s="12" t="s">
        <v>542</v>
      </c>
      <c r="S63" s="32"/>
    </row>
    <row r="64" spans="1:19" x14ac:dyDescent="0.3">
      <c r="A64" t="s">
        <v>13</v>
      </c>
      <c r="B64" t="s">
        <v>14</v>
      </c>
      <c r="C64" s="10" t="s">
        <v>204</v>
      </c>
      <c r="D64" s="11" t="s">
        <v>205</v>
      </c>
      <c r="E64" s="11">
        <v>360000000</v>
      </c>
      <c r="F64" s="10" t="s">
        <v>17</v>
      </c>
      <c r="G64" s="11" t="s">
        <v>18</v>
      </c>
      <c r="H64" s="11">
        <v>122039757</v>
      </c>
      <c r="I64" s="10" t="s">
        <v>17</v>
      </c>
      <c r="J64" s="11" t="s">
        <v>18</v>
      </c>
      <c r="K64" s="11">
        <v>211231809</v>
      </c>
      <c r="L64" s="10" t="s">
        <v>17</v>
      </c>
      <c r="M64" s="11" t="s">
        <v>18</v>
      </c>
      <c r="N64" s="13">
        <f t="shared" si="0"/>
        <v>571231809</v>
      </c>
      <c r="O64" s="12">
        <v>1</v>
      </c>
      <c r="P64" s="13">
        <f t="shared" si="1"/>
        <v>571231809</v>
      </c>
      <c r="Q64" s="12" t="s">
        <v>502</v>
      </c>
      <c r="R64" s="12"/>
      <c r="S64" s="32"/>
    </row>
    <row r="65" spans="1:19" x14ac:dyDescent="0.3">
      <c r="A65" t="s">
        <v>13</v>
      </c>
      <c r="B65" t="s">
        <v>14</v>
      </c>
      <c r="C65" s="10" t="s">
        <v>114</v>
      </c>
      <c r="D65" s="11" t="s">
        <v>115</v>
      </c>
      <c r="E65" s="11">
        <v>740885097</v>
      </c>
      <c r="F65" s="10" t="s">
        <v>116</v>
      </c>
      <c r="G65" s="11" t="s">
        <v>18</v>
      </c>
      <c r="H65" s="11">
        <v>120828000</v>
      </c>
      <c r="I65" s="10" t="s">
        <v>116</v>
      </c>
      <c r="J65" s="11" t="s">
        <v>18</v>
      </c>
      <c r="K65" s="11">
        <v>108981300</v>
      </c>
      <c r="L65" s="10" t="s">
        <v>116</v>
      </c>
      <c r="M65" s="11" t="s">
        <v>18</v>
      </c>
      <c r="N65" s="13">
        <f t="shared" si="0"/>
        <v>849866397</v>
      </c>
      <c r="O65" s="12">
        <v>1</v>
      </c>
      <c r="P65" s="13">
        <f t="shared" si="1"/>
        <v>849866397</v>
      </c>
      <c r="Q65" s="12" t="s">
        <v>502</v>
      </c>
      <c r="R65" s="12"/>
      <c r="S65" s="32"/>
    </row>
    <row r="66" spans="1:19" x14ac:dyDescent="0.3">
      <c r="A66" t="s">
        <v>13</v>
      </c>
      <c r="B66" t="s">
        <v>14</v>
      </c>
      <c r="C66" s="10" t="s">
        <v>287</v>
      </c>
      <c r="D66" s="11" t="s">
        <v>288</v>
      </c>
      <c r="E66" s="11">
        <v>880000000</v>
      </c>
      <c r="F66" s="10" t="s">
        <v>17</v>
      </c>
      <c r="G66" s="11" t="s">
        <v>18</v>
      </c>
      <c r="H66" s="11">
        <v>42634413</v>
      </c>
      <c r="I66" s="10" t="s">
        <v>17</v>
      </c>
      <c r="J66" s="11" t="s">
        <v>18</v>
      </c>
      <c r="K66" s="11">
        <v>18541723</v>
      </c>
      <c r="L66" s="10" t="s">
        <v>17</v>
      </c>
      <c r="M66" s="11" t="s">
        <v>18</v>
      </c>
      <c r="N66" s="13">
        <f t="shared" si="0"/>
        <v>898541723</v>
      </c>
      <c r="O66" s="12">
        <v>1</v>
      </c>
      <c r="P66" s="13">
        <f t="shared" si="1"/>
        <v>898541723</v>
      </c>
      <c r="Q66" s="12"/>
      <c r="R66" s="12" t="s">
        <v>543</v>
      </c>
      <c r="S66" s="32"/>
    </row>
    <row r="67" spans="1:19" x14ac:dyDescent="0.3">
      <c r="A67" t="s">
        <v>13</v>
      </c>
      <c r="B67" t="s">
        <v>14</v>
      </c>
      <c r="C67" s="10" t="s">
        <v>237</v>
      </c>
      <c r="D67" s="11" t="s">
        <v>238</v>
      </c>
      <c r="E67" s="11">
        <v>350000000</v>
      </c>
      <c r="F67" s="10" t="s">
        <v>17</v>
      </c>
      <c r="G67" s="11" t="s">
        <v>18</v>
      </c>
      <c r="H67" s="11">
        <v>114083173</v>
      </c>
      <c r="I67" s="10" t="s">
        <v>17</v>
      </c>
      <c r="J67" s="11" t="s">
        <v>18</v>
      </c>
      <c r="K67" s="11">
        <v>412747258</v>
      </c>
      <c r="L67" s="10" t="s">
        <v>17</v>
      </c>
      <c r="M67" s="11" t="s">
        <v>18</v>
      </c>
      <c r="N67" s="13">
        <f t="shared" si="0"/>
        <v>762747258</v>
      </c>
      <c r="O67" s="12">
        <v>1</v>
      </c>
      <c r="P67" s="13">
        <f t="shared" si="1"/>
        <v>762747258</v>
      </c>
      <c r="Q67" s="12" t="s">
        <v>502</v>
      </c>
      <c r="R67" s="12"/>
      <c r="S67" s="32"/>
    </row>
    <row r="68" spans="1:19" x14ac:dyDescent="0.3">
      <c r="A68" t="s">
        <v>13</v>
      </c>
      <c r="B68" t="s">
        <v>14</v>
      </c>
      <c r="C68" s="10" t="s">
        <v>390</v>
      </c>
      <c r="D68" s="11" t="s">
        <v>391</v>
      </c>
      <c r="E68" s="11">
        <v>350000000</v>
      </c>
      <c r="F68" s="10" t="s">
        <v>17</v>
      </c>
      <c r="G68" s="11" t="s">
        <v>18</v>
      </c>
      <c r="H68" s="11">
        <v>113004719</v>
      </c>
      <c r="I68" s="10" t="s">
        <v>17</v>
      </c>
      <c r="J68" s="11" t="s">
        <v>18</v>
      </c>
      <c r="K68" s="11">
        <v>129966752</v>
      </c>
      <c r="L68" s="10" t="s">
        <v>17</v>
      </c>
      <c r="M68" s="11" t="s">
        <v>18</v>
      </c>
      <c r="N68" s="13">
        <f t="shared" si="0"/>
        <v>479966752</v>
      </c>
      <c r="O68" s="12">
        <v>1</v>
      </c>
      <c r="P68" s="13">
        <f t="shared" si="1"/>
        <v>479966752</v>
      </c>
      <c r="Q68" s="12" t="s">
        <v>499</v>
      </c>
      <c r="R68" s="12"/>
      <c r="S68" s="32"/>
    </row>
    <row r="69" spans="1:19" x14ac:dyDescent="0.3">
      <c r="A69" t="s">
        <v>13</v>
      </c>
      <c r="B69" t="s">
        <v>14</v>
      </c>
      <c r="C69" s="10" t="s">
        <v>440</v>
      </c>
      <c r="D69" s="11" t="s">
        <v>441</v>
      </c>
      <c r="E69" s="11">
        <v>360000000</v>
      </c>
      <c r="F69" s="10" t="s">
        <v>17</v>
      </c>
      <c r="G69" s="11" t="s">
        <v>18</v>
      </c>
      <c r="H69" s="11">
        <v>105833239</v>
      </c>
      <c r="I69" s="10" t="s">
        <v>17</v>
      </c>
      <c r="J69" s="11" t="s">
        <v>18</v>
      </c>
      <c r="K69" s="11">
        <v>110126692</v>
      </c>
      <c r="L69" s="10" t="s">
        <v>17</v>
      </c>
      <c r="M69" s="11" t="s">
        <v>18</v>
      </c>
      <c r="N69" s="13">
        <f t="shared" ref="N69:N132" si="2">IF(ISNUMBER(E69), E69, 0)+IF(ISNUMBER(K69), K69, 0)</f>
        <v>470126692</v>
      </c>
      <c r="O69" s="12">
        <v>1</v>
      </c>
      <c r="P69" s="13">
        <f t="shared" ref="P69:P132" si="3">N69*O69</f>
        <v>470126692</v>
      </c>
      <c r="Q69" s="12" t="s">
        <v>502</v>
      </c>
      <c r="R69" s="12"/>
      <c r="S69" s="32"/>
    </row>
    <row r="70" spans="1:19" x14ac:dyDescent="0.3">
      <c r="A70" t="s">
        <v>13</v>
      </c>
      <c r="B70" t="s">
        <v>14</v>
      </c>
      <c r="C70" s="10" t="s">
        <v>157</v>
      </c>
      <c r="D70" s="11" t="s">
        <v>158</v>
      </c>
      <c r="E70" s="11">
        <v>180000000</v>
      </c>
      <c r="F70" s="10" t="s">
        <v>17</v>
      </c>
      <c r="G70" s="11" t="s">
        <v>18</v>
      </c>
      <c r="H70" s="11">
        <v>52861737</v>
      </c>
      <c r="I70" s="10" t="s">
        <v>17</v>
      </c>
      <c r="J70" s="11" t="s">
        <v>18</v>
      </c>
      <c r="K70" s="11">
        <v>709396781</v>
      </c>
      <c r="L70" s="10" t="s">
        <v>17</v>
      </c>
      <c r="M70" s="11" t="s">
        <v>18</v>
      </c>
      <c r="N70" s="13">
        <f t="shared" si="2"/>
        <v>889396781</v>
      </c>
      <c r="O70" s="12">
        <v>1</v>
      </c>
      <c r="P70" s="13">
        <f t="shared" si="3"/>
        <v>889396781</v>
      </c>
      <c r="Q70" s="12"/>
      <c r="R70" s="12" t="s">
        <v>544</v>
      </c>
      <c r="S70" s="32"/>
    </row>
    <row r="71" spans="1:19" x14ac:dyDescent="0.3">
      <c r="A71" t="s">
        <v>13</v>
      </c>
      <c r="B71" t="s">
        <v>14</v>
      </c>
      <c r="C71" s="10" t="s">
        <v>251</v>
      </c>
      <c r="D71" s="11" t="s">
        <v>252</v>
      </c>
      <c r="E71" s="11">
        <v>276973129</v>
      </c>
      <c r="F71" s="10" t="s">
        <v>17</v>
      </c>
      <c r="G71" s="11" t="s">
        <v>18</v>
      </c>
      <c r="H71" s="11">
        <v>103978377</v>
      </c>
      <c r="I71" s="10" t="s">
        <v>17</v>
      </c>
      <c r="J71" s="11" t="s">
        <v>18</v>
      </c>
      <c r="K71" s="11">
        <v>55164401</v>
      </c>
      <c r="L71" s="10" t="s">
        <v>17</v>
      </c>
      <c r="M71" s="11" t="s">
        <v>18</v>
      </c>
      <c r="N71" s="13">
        <f t="shared" si="2"/>
        <v>332137530</v>
      </c>
      <c r="O71" s="12">
        <v>1</v>
      </c>
      <c r="P71" s="13">
        <f t="shared" si="3"/>
        <v>332137530</v>
      </c>
      <c r="Q71" s="12" t="s">
        <v>502</v>
      </c>
      <c r="R71" s="12"/>
      <c r="S71" s="32"/>
    </row>
    <row r="72" spans="1:19" x14ac:dyDescent="0.3">
      <c r="A72" t="s">
        <v>13</v>
      </c>
      <c r="B72" t="s">
        <v>14</v>
      </c>
      <c r="C72" s="10" t="s">
        <v>268</v>
      </c>
      <c r="D72" s="11" t="s">
        <v>266</v>
      </c>
      <c r="E72" s="11">
        <v>127825032</v>
      </c>
      <c r="F72" s="10" t="s">
        <v>17</v>
      </c>
      <c r="G72" s="11" t="s">
        <v>18</v>
      </c>
      <c r="H72" s="11">
        <v>102541644</v>
      </c>
      <c r="I72" s="10" t="s">
        <v>17</v>
      </c>
      <c r="J72" s="11" t="s">
        <v>18</v>
      </c>
      <c r="K72" s="11">
        <v>309412252</v>
      </c>
      <c r="L72" s="10" t="s">
        <v>17</v>
      </c>
      <c r="M72" s="11" t="s">
        <v>18</v>
      </c>
      <c r="N72" s="13">
        <f t="shared" si="2"/>
        <v>437237284</v>
      </c>
      <c r="O72" s="12">
        <v>1</v>
      </c>
      <c r="P72" s="13">
        <f t="shared" si="3"/>
        <v>437237284</v>
      </c>
      <c r="Q72" s="12" t="s">
        <v>503</v>
      </c>
      <c r="R72" s="12"/>
      <c r="S72" s="32"/>
    </row>
    <row r="73" spans="1:19" x14ac:dyDescent="0.3">
      <c r="A73" t="s">
        <v>13</v>
      </c>
      <c r="B73" t="s">
        <v>14</v>
      </c>
      <c r="C73" s="10" t="s">
        <v>200</v>
      </c>
      <c r="D73" s="11" t="s">
        <v>201</v>
      </c>
      <c r="E73" s="11">
        <v>91503633</v>
      </c>
      <c r="F73" s="10" t="s">
        <v>17</v>
      </c>
      <c r="G73" s="11" t="s">
        <v>18</v>
      </c>
      <c r="H73" s="11">
        <v>100947440</v>
      </c>
      <c r="I73" s="10" t="s">
        <v>17</v>
      </c>
      <c r="J73" s="11" t="s">
        <v>18</v>
      </c>
      <c r="K73" s="11">
        <v>250812208</v>
      </c>
      <c r="L73" s="10" t="s">
        <v>17</v>
      </c>
      <c r="M73" s="11" t="s">
        <v>18</v>
      </c>
      <c r="N73" s="13">
        <f t="shared" si="2"/>
        <v>342315841</v>
      </c>
      <c r="O73" s="12">
        <v>1</v>
      </c>
      <c r="P73" s="13">
        <f t="shared" si="3"/>
        <v>342315841</v>
      </c>
      <c r="Q73" s="12" t="s">
        <v>502</v>
      </c>
      <c r="R73" s="12"/>
      <c r="S73" s="32"/>
    </row>
    <row r="74" spans="1:19" x14ac:dyDescent="0.3">
      <c r="A74" t="s">
        <v>13</v>
      </c>
      <c r="B74" t="s">
        <v>14</v>
      </c>
      <c r="C74" s="10" t="s">
        <v>110</v>
      </c>
      <c r="D74" s="11" t="s">
        <v>111</v>
      </c>
      <c r="E74" s="11">
        <v>630000000</v>
      </c>
      <c r="F74" s="10" t="s">
        <v>17</v>
      </c>
      <c r="G74" s="11" t="s">
        <v>18</v>
      </c>
      <c r="H74" s="11">
        <v>100848821</v>
      </c>
      <c r="I74" s="10" t="s">
        <v>17</v>
      </c>
      <c r="J74" s="11" t="s">
        <v>18</v>
      </c>
      <c r="K74" s="11">
        <v>194658838</v>
      </c>
      <c r="L74" s="10" t="s">
        <v>17</v>
      </c>
      <c r="M74" s="11" t="s">
        <v>18</v>
      </c>
      <c r="N74" s="13">
        <f t="shared" si="2"/>
        <v>824658838</v>
      </c>
      <c r="O74" s="12">
        <v>1</v>
      </c>
      <c r="P74" s="13">
        <f t="shared" si="3"/>
        <v>824658838</v>
      </c>
      <c r="Q74" s="12" t="s">
        <v>502</v>
      </c>
      <c r="R74" s="12"/>
      <c r="S74" s="32"/>
    </row>
    <row r="75" spans="1:19" x14ac:dyDescent="0.3">
      <c r="A75" t="s">
        <v>13</v>
      </c>
      <c r="B75" t="s">
        <v>14</v>
      </c>
      <c r="C75" s="10" t="s">
        <v>279</v>
      </c>
      <c r="D75" s="11" t="s">
        <v>280</v>
      </c>
      <c r="E75" s="11">
        <v>484453391</v>
      </c>
      <c r="F75" s="10" t="s">
        <v>17</v>
      </c>
      <c r="G75" s="11" t="s">
        <v>18</v>
      </c>
      <c r="H75" s="11">
        <v>97508045</v>
      </c>
      <c r="I75" s="10" t="s">
        <v>17</v>
      </c>
      <c r="J75" s="11" t="s">
        <v>18</v>
      </c>
      <c r="K75" s="11">
        <v>111929140</v>
      </c>
      <c r="L75" s="10" t="s">
        <v>17</v>
      </c>
      <c r="M75" s="11" t="s">
        <v>18</v>
      </c>
      <c r="N75" s="13">
        <f t="shared" si="2"/>
        <v>596382531</v>
      </c>
      <c r="O75" s="12">
        <v>1</v>
      </c>
      <c r="P75" s="13">
        <f t="shared" si="3"/>
        <v>596382531</v>
      </c>
      <c r="Q75" s="12" t="s">
        <v>503</v>
      </c>
      <c r="R75" s="12"/>
      <c r="S75" s="32"/>
    </row>
    <row r="76" spans="1:19" x14ac:dyDescent="0.3">
      <c r="A76" t="s">
        <v>13</v>
      </c>
      <c r="B76" t="s">
        <v>14</v>
      </c>
      <c r="C76" s="10" t="s">
        <v>474</v>
      </c>
      <c r="D76" s="11" t="s">
        <v>475</v>
      </c>
      <c r="E76" s="11">
        <v>700000000</v>
      </c>
      <c r="F76" s="10" t="s">
        <v>17</v>
      </c>
      <c r="G76" s="11" t="s">
        <v>18</v>
      </c>
      <c r="H76" s="11">
        <v>80064811</v>
      </c>
      <c r="I76" s="10" t="s">
        <v>17</v>
      </c>
      <c r="J76" s="11" t="s">
        <v>18</v>
      </c>
      <c r="K76" s="11">
        <v>182958306</v>
      </c>
      <c r="L76" s="10" t="s">
        <v>17</v>
      </c>
      <c r="M76" s="11" t="s">
        <v>18</v>
      </c>
      <c r="N76" s="13">
        <f t="shared" si="2"/>
        <v>882958306</v>
      </c>
      <c r="O76" s="12">
        <v>1</v>
      </c>
      <c r="P76" s="13">
        <f t="shared" si="3"/>
        <v>882958306</v>
      </c>
      <c r="Q76" s="12" t="s">
        <v>503</v>
      </c>
      <c r="R76" s="12" t="s">
        <v>545</v>
      </c>
      <c r="S76" s="32"/>
    </row>
    <row r="77" spans="1:19" x14ac:dyDescent="0.3">
      <c r="A77" t="s">
        <v>13</v>
      </c>
      <c r="B77" t="s">
        <v>14</v>
      </c>
      <c r="C77" s="10" t="s">
        <v>422</v>
      </c>
      <c r="D77" s="11" t="s">
        <v>423</v>
      </c>
      <c r="E77" s="11">
        <v>120000000</v>
      </c>
      <c r="F77" s="10" t="s">
        <v>17</v>
      </c>
      <c r="G77" s="11" t="s">
        <v>18</v>
      </c>
      <c r="H77" s="11">
        <v>95676982</v>
      </c>
      <c r="I77" s="10" t="s">
        <v>17</v>
      </c>
      <c r="J77" s="11" t="s">
        <v>18</v>
      </c>
      <c r="K77" s="11">
        <v>7521800</v>
      </c>
      <c r="L77" s="10" t="s">
        <v>17</v>
      </c>
      <c r="M77" s="11" t="s">
        <v>18</v>
      </c>
      <c r="N77" s="13">
        <f t="shared" si="2"/>
        <v>127521800</v>
      </c>
      <c r="O77" s="12">
        <v>1</v>
      </c>
      <c r="P77" s="13">
        <f t="shared" si="3"/>
        <v>127521800</v>
      </c>
      <c r="Q77" s="12" t="s">
        <v>502</v>
      </c>
      <c r="R77" s="12"/>
      <c r="S77" s="32"/>
    </row>
    <row r="78" spans="1:19" x14ac:dyDescent="0.3">
      <c r="A78" t="s">
        <v>13</v>
      </c>
      <c r="B78" t="s">
        <v>14</v>
      </c>
      <c r="C78" s="10" t="s">
        <v>408</v>
      </c>
      <c r="D78" s="11" t="s">
        <v>409</v>
      </c>
      <c r="E78" s="11">
        <v>580562412</v>
      </c>
      <c r="F78" s="10" t="s">
        <v>17</v>
      </c>
      <c r="G78" s="11" t="s">
        <v>18</v>
      </c>
      <c r="H78" s="11">
        <v>235161606</v>
      </c>
      <c r="I78" s="10" t="s">
        <v>17</v>
      </c>
      <c r="J78" s="11" t="s">
        <v>18</v>
      </c>
      <c r="K78" s="11">
        <v>236763232</v>
      </c>
      <c r="L78" s="10" t="s">
        <v>17</v>
      </c>
      <c r="M78" s="11" t="s">
        <v>18</v>
      </c>
      <c r="N78" s="13">
        <f t="shared" si="2"/>
        <v>817325644</v>
      </c>
      <c r="O78" s="12">
        <v>1</v>
      </c>
      <c r="P78" s="13">
        <f t="shared" si="3"/>
        <v>817325644</v>
      </c>
      <c r="Q78" s="12"/>
      <c r="R78" s="12" t="s">
        <v>546</v>
      </c>
      <c r="S78" s="32"/>
    </row>
    <row r="79" spans="1:19" x14ac:dyDescent="0.3">
      <c r="A79" t="s">
        <v>13</v>
      </c>
      <c r="B79" t="s">
        <v>14</v>
      </c>
      <c r="C79" s="10" t="s">
        <v>470</v>
      </c>
      <c r="D79" s="11" t="s">
        <v>471</v>
      </c>
      <c r="E79" s="11">
        <v>802145211</v>
      </c>
      <c r="F79" s="10" t="s">
        <v>17</v>
      </c>
      <c r="G79" s="11" t="s">
        <v>18</v>
      </c>
      <c r="H79" s="11">
        <v>86272343</v>
      </c>
      <c r="I79" s="10" t="s">
        <v>17</v>
      </c>
      <c r="J79" s="11" t="s">
        <v>18</v>
      </c>
      <c r="K79" s="11">
        <v>67345903</v>
      </c>
      <c r="L79" s="10" t="s">
        <v>17</v>
      </c>
      <c r="M79" s="11" t="s">
        <v>18</v>
      </c>
      <c r="N79" s="13">
        <f t="shared" si="2"/>
        <v>869491114</v>
      </c>
      <c r="O79" s="12">
        <v>1</v>
      </c>
      <c r="P79" s="13">
        <f t="shared" si="3"/>
        <v>869491114</v>
      </c>
      <c r="Q79" s="12" t="s">
        <v>502</v>
      </c>
      <c r="R79" s="12" t="s">
        <v>547</v>
      </c>
      <c r="S79" s="32"/>
    </row>
    <row r="80" spans="1:19" x14ac:dyDescent="0.3">
      <c r="A80" t="s">
        <v>13</v>
      </c>
      <c r="B80" t="s">
        <v>14</v>
      </c>
      <c r="C80" s="10" t="s">
        <v>68</v>
      </c>
      <c r="D80" s="11" t="s">
        <v>69</v>
      </c>
      <c r="E80" s="11">
        <v>700000000</v>
      </c>
      <c r="F80" s="10" t="s">
        <v>17</v>
      </c>
      <c r="G80" s="11" t="s">
        <v>18</v>
      </c>
      <c r="H80" s="11">
        <v>49989654</v>
      </c>
      <c r="I80" s="10" t="s">
        <v>17</v>
      </c>
      <c r="J80" s="11" t="s">
        <v>18</v>
      </c>
      <c r="K80" s="11">
        <v>107789565</v>
      </c>
      <c r="L80" s="10" t="s">
        <v>17</v>
      </c>
      <c r="M80" s="11" t="s">
        <v>18</v>
      </c>
      <c r="N80" s="13">
        <f t="shared" si="2"/>
        <v>807789565</v>
      </c>
      <c r="O80" s="12">
        <v>1</v>
      </c>
      <c r="P80" s="13">
        <f t="shared" si="3"/>
        <v>807789565</v>
      </c>
      <c r="Q80" s="12"/>
      <c r="R80" s="12" t="s">
        <v>548</v>
      </c>
      <c r="S80" s="32"/>
    </row>
    <row r="81" spans="1:19" x14ac:dyDescent="0.3">
      <c r="A81" t="s">
        <v>13</v>
      </c>
      <c r="B81" t="s">
        <v>14</v>
      </c>
      <c r="C81" s="10" t="s">
        <v>125</v>
      </c>
      <c r="D81" s="11" t="s">
        <v>126</v>
      </c>
      <c r="E81" s="11">
        <v>1440152770</v>
      </c>
      <c r="F81" s="10" t="s">
        <v>17</v>
      </c>
      <c r="G81" s="11" t="s">
        <v>18</v>
      </c>
      <c r="H81" s="11">
        <v>84330499</v>
      </c>
      <c r="I81" s="10" t="s">
        <v>17</v>
      </c>
      <c r="J81" s="11" t="s">
        <v>18</v>
      </c>
      <c r="K81" s="11">
        <v>161592746</v>
      </c>
      <c r="L81" s="10" t="s">
        <v>17</v>
      </c>
      <c r="M81" s="11" t="s">
        <v>18</v>
      </c>
      <c r="N81" s="13">
        <f t="shared" si="2"/>
        <v>1601745516</v>
      </c>
      <c r="O81" s="12">
        <v>1</v>
      </c>
      <c r="P81" s="13">
        <f t="shared" si="3"/>
        <v>1601745516</v>
      </c>
      <c r="Q81" s="12" t="s">
        <v>502</v>
      </c>
      <c r="R81" s="12"/>
      <c r="S81" s="32"/>
    </row>
    <row r="82" spans="1:19" x14ac:dyDescent="0.3">
      <c r="A82" t="s">
        <v>13</v>
      </c>
      <c r="B82" t="s">
        <v>14</v>
      </c>
      <c r="C82" s="10" t="s">
        <v>233</v>
      </c>
      <c r="D82" s="11" t="s">
        <v>234</v>
      </c>
      <c r="E82" s="11">
        <v>300000000</v>
      </c>
      <c r="F82" s="10" t="s">
        <v>17</v>
      </c>
      <c r="G82" s="11" t="s">
        <v>18</v>
      </c>
      <c r="H82" s="11">
        <v>81411180</v>
      </c>
      <c r="I82" s="10" t="s">
        <v>17</v>
      </c>
      <c r="J82" s="11" t="s">
        <v>18</v>
      </c>
      <c r="K82" s="11">
        <v>73124022</v>
      </c>
      <c r="L82" s="10" t="s">
        <v>17</v>
      </c>
      <c r="M82" s="11" t="s">
        <v>18</v>
      </c>
      <c r="N82" s="13">
        <f t="shared" si="2"/>
        <v>373124022</v>
      </c>
      <c r="O82" s="12">
        <v>1</v>
      </c>
      <c r="P82" s="13">
        <f t="shared" si="3"/>
        <v>373124022</v>
      </c>
      <c r="Q82" s="12" t="s">
        <v>502</v>
      </c>
      <c r="R82" s="12"/>
      <c r="S82" s="32"/>
    </row>
    <row r="83" spans="1:19" x14ac:dyDescent="0.3">
      <c r="A83" t="s">
        <v>13</v>
      </c>
      <c r="B83" t="s">
        <v>14</v>
      </c>
      <c r="C83" s="10" t="s">
        <v>350</v>
      </c>
      <c r="D83" s="11" t="s">
        <v>351</v>
      </c>
      <c r="E83" s="11">
        <v>799625115</v>
      </c>
      <c r="F83" s="10" t="s">
        <v>17</v>
      </c>
      <c r="G83" s="11" t="s">
        <v>18</v>
      </c>
      <c r="H83" s="11">
        <v>19410201</v>
      </c>
      <c r="I83" s="10" t="s">
        <v>17</v>
      </c>
      <c r="J83" s="11" t="s">
        <v>18</v>
      </c>
      <c r="K83" s="11">
        <v>2502819</v>
      </c>
      <c r="L83" s="10" t="s">
        <v>17</v>
      </c>
      <c r="M83" s="11" t="s">
        <v>18</v>
      </c>
      <c r="N83" s="13">
        <f t="shared" si="2"/>
        <v>802127934</v>
      </c>
      <c r="O83" s="12">
        <v>1</v>
      </c>
      <c r="P83" s="13">
        <f t="shared" si="3"/>
        <v>802127934</v>
      </c>
      <c r="Q83" s="12"/>
      <c r="R83" s="12" t="s">
        <v>549</v>
      </c>
      <c r="S83" s="32"/>
    </row>
    <row r="84" spans="1:19" x14ac:dyDescent="0.3">
      <c r="A84" t="s">
        <v>13</v>
      </c>
      <c r="B84" t="s">
        <v>14</v>
      </c>
      <c r="C84" s="10" t="s">
        <v>285</v>
      </c>
      <c r="D84" s="11" t="s">
        <v>286</v>
      </c>
      <c r="E84" s="11">
        <v>120000000</v>
      </c>
      <c r="F84" s="10" t="s">
        <v>17</v>
      </c>
      <c r="G84" s="11" t="s">
        <v>18</v>
      </c>
      <c r="H84" s="11">
        <v>79476179</v>
      </c>
      <c r="I84" s="10" t="s">
        <v>17</v>
      </c>
      <c r="J84" s="11" t="s">
        <v>18</v>
      </c>
      <c r="K84" s="11">
        <v>98626458</v>
      </c>
      <c r="L84" s="10" t="s">
        <v>17</v>
      </c>
      <c r="M84" s="11" t="s">
        <v>18</v>
      </c>
      <c r="N84" s="13">
        <f t="shared" si="2"/>
        <v>218626458</v>
      </c>
      <c r="O84" s="12">
        <v>1</v>
      </c>
      <c r="P84" s="13">
        <f t="shared" si="3"/>
        <v>218626458</v>
      </c>
      <c r="Q84" s="12" t="s">
        <v>503</v>
      </c>
      <c r="R84" s="12"/>
      <c r="S84" s="32"/>
    </row>
    <row r="85" spans="1:19" x14ac:dyDescent="0.3">
      <c r="A85" t="s">
        <v>13</v>
      </c>
      <c r="B85" t="s">
        <v>14</v>
      </c>
      <c r="C85" s="10" t="s">
        <v>261</v>
      </c>
      <c r="D85" s="11" t="s">
        <v>262</v>
      </c>
      <c r="E85" s="11">
        <v>560733974</v>
      </c>
      <c r="F85" s="10" t="s">
        <v>17</v>
      </c>
      <c r="G85" s="11" t="s">
        <v>18</v>
      </c>
      <c r="H85" s="11">
        <v>77674113</v>
      </c>
      <c r="I85" s="10" t="s">
        <v>17</v>
      </c>
      <c r="J85" s="11" t="s">
        <v>18</v>
      </c>
      <c r="K85" s="11">
        <v>74555312</v>
      </c>
      <c r="L85" s="10" t="s">
        <v>17</v>
      </c>
      <c r="M85" s="11" t="s">
        <v>18</v>
      </c>
      <c r="N85" s="13">
        <f t="shared" si="2"/>
        <v>635289286</v>
      </c>
      <c r="O85" s="12">
        <v>1</v>
      </c>
      <c r="P85" s="13">
        <f t="shared" si="3"/>
        <v>635289286</v>
      </c>
      <c r="Q85" s="12" t="s">
        <v>502</v>
      </c>
      <c r="R85" s="12"/>
      <c r="S85" s="32"/>
    </row>
    <row r="86" spans="1:19" x14ac:dyDescent="0.3">
      <c r="A86" t="s">
        <v>13</v>
      </c>
      <c r="B86" t="s">
        <v>14</v>
      </c>
      <c r="C86" s="10" t="s">
        <v>438</v>
      </c>
      <c r="D86" s="11" t="s">
        <v>439</v>
      </c>
      <c r="E86" s="11">
        <v>428398627</v>
      </c>
      <c r="F86" s="10" t="s">
        <v>17</v>
      </c>
      <c r="G86" s="11" t="s">
        <v>18</v>
      </c>
      <c r="H86" s="11">
        <v>115898653</v>
      </c>
      <c r="I86" s="10" t="s">
        <v>17</v>
      </c>
      <c r="J86" s="11" t="s">
        <v>18</v>
      </c>
      <c r="K86" s="11">
        <v>352784599</v>
      </c>
      <c r="L86" s="10" t="s">
        <v>17</v>
      </c>
      <c r="M86" s="11" t="s">
        <v>18</v>
      </c>
      <c r="N86" s="13">
        <f t="shared" si="2"/>
        <v>781183226</v>
      </c>
      <c r="O86" s="12">
        <v>1</v>
      </c>
      <c r="P86" s="13">
        <f t="shared" si="3"/>
        <v>781183226</v>
      </c>
      <c r="Q86" s="12"/>
      <c r="R86" s="12" t="s">
        <v>523</v>
      </c>
      <c r="S86" s="32"/>
    </row>
    <row r="87" spans="1:19" x14ac:dyDescent="0.3">
      <c r="A87" t="s">
        <v>13</v>
      </c>
      <c r="B87" t="s">
        <v>14</v>
      </c>
      <c r="C87" s="10" t="s">
        <v>263</v>
      </c>
      <c r="D87" s="11" t="s">
        <v>264</v>
      </c>
      <c r="E87" s="11">
        <v>272000000</v>
      </c>
      <c r="F87" s="10" t="s">
        <v>17</v>
      </c>
      <c r="G87" s="11" t="s">
        <v>18</v>
      </c>
      <c r="H87" s="11">
        <v>74484321</v>
      </c>
      <c r="I87" s="10" t="s">
        <v>17</v>
      </c>
      <c r="J87" s="11" t="s">
        <v>18</v>
      </c>
      <c r="K87" s="11">
        <v>124725756</v>
      </c>
      <c r="L87" s="10" t="s">
        <v>17</v>
      </c>
      <c r="M87" s="11" t="s">
        <v>18</v>
      </c>
      <c r="N87" s="13">
        <f t="shared" si="2"/>
        <v>396725756</v>
      </c>
      <c r="O87" s="12">
        <v>1</v>
      </c>
      <c r="P87" s="13">
        <f t="shared" si="3"/>
        <v>396725756</v>
      </c>
      <c r="Q87" s="12" t="s">
        <v>502</v>
      </c>
      <c r="R87" s="12"/>
      <c r="S87" s="32"/>
    </row>
    <row r="88" spans="1:19" x14ac:dyDescent="0.3">
      <c r="A88" t="s">
        <v>13</v>
      </c>
      <c r="B88" t="s">
        <v>14</v>
      </c>
      <c r="C88" s="10" t="s">
        <v>281</v>
      </c>
      <c r="D88" s="11" t="s">
        <v>282</v>
      </c>
      <c r="E88" s="11">
        <v>86404725</v>
      </c>
      <c r="F88" s="10" t="s">
        <v>17</v>
      </c>
      <c r="G88" s="11" t="s">
        <v>18</v>
      </c>
      <c r="H88" s="11">
        <v>72543130</v>
      </c>
      <c r="I88" s="10" t="s">
        <v>17</v>
      </c>
      <c r="J88" s="11" t="s">
        <v>18</v>
      </c>
      <c r="K88" s="11">
        <v>50617439</v>
      </c>
      <c r="L88" s="10" t="s">
        <v>17</v>
      </c>
      <c r="M88" s="11" t="s">
        <v>18</v>
      </c>
      <c r="N88" s="13">
        <f t="shared" si="2"/>
        <v>137022164</v>
      </c>
      <c r="O88" s="12">
        <v>1</v>
      </c>
      <c r="P88" s="13">
        <f t="shared" si="3"/>
        <v>137022164</v>
      </c>
      <c r="Q88" s="12" t="s">
        <v>502</v>
      </c>
      <c r="R88" s="12"/>
      <c r="S88" s="32"/>
    </row>
    <row r="89" spans="1:19" x14ac:dyDescent="0.3">
      <c r="A89" t="s">
        <v>13</v>
      </c>
      <c r="B89" t="s">
        <v>14</v>
      </c>
      <c r="C89" s="10" t="s">
        <v>416</v>
      </c>
      <c r="D89" s="11" t="s">
        <v>417</v>
      </c>
      <c r="E89" s="11">
        <v>732400200</v>
      </c>
      <c r="F89" s="10" t="s">
        <v>17</v>
      </c>
      <c r="G89" s="11" t="s">
        <v>18</v>
      </c>
      <c r="H89" s="11">
        <v>140237150</v>
      </c>
      <c r="I89" s="10" t="s">
        <v>17</v>
      </c>
      <c r="J89" s="11" t="s">
        <v>18</v>
      </c>
      <c r="K89" s="11">
        <v>47556464</v>
      </c>
      <c r="L89" s="10" t="s">
        <v>17</v>
      </c>
      <c r="M89" s="11" t="s">
        <v>18</v>
      </c>
      <c r="N89" s="13">
        <f t="shared" si="2"/>
        <v>779956664</v>
      </c>
      <c r="O89" s="12">
        <v>1</v>
      </c>
      <c r="P89" s="13">
        <f t="shared" si="3"/>
        <v>779956664</v>
      </c>
      <c r="Q89" s="12"/>
      <c r="R89" s="12" t="s">
        <v>550</v>
      </c>
      <c r="S89" s="32"/>
    </row>
    <row r="90" spans="1:19" x14ac:dyDescent="0.3">
      <c r="A90" t="s">
        <v>13</v>
      </c>
      <c r="B90" t="s">
        <v>14</v>
      </c>
      <c r="C90" s="10" t="s">
        <v>398</v>
      </c>
      <c r="D90" s="11" t="s">
        <v>399</v>
      </c>
      <c r="E90" s="11">
        <v>600000000</v>
      </c>
      <c r="F90" s="10" t="s">
        <v>17</v>
      </c>
      <c r="G90" s="11" t="s">
        <v>18</v>
      </c>
      <c r="H90" s="11">
        <v>179886953</v>
      </c>
      <c r="I90" s="10" t="s">
        <v>17</v>
      </c>
      <c r="J90" s="11" t="s">
        <v>18</v>
      </c>
      <c r="K90" s="11">
        <v>77151979</v>
      </c>
      <c r="L90" s="10" t="s">
        <v>17</v>
      </c>
      <c r="M90" s="11" t="s">
        <v>18</v>
      </c>
      <c r="N90" s="13">
        <f t="shared" si="2"/>
        <v>677151979</v>
      </c>
      <c r="O90" s="12">
        <v>1</v>
      </c>
      <c r="P90" s="13">
        <f t="shared" si="3"/>
        <v>677151979</v>
      </c>
      <c r="Q90" s="12"/>
      <c r="R90" s="12" t="s">
        <v>551</v>
      </c>
      <c r="S90" s="32"/>
    </row>
    <row r="91" spans="1:19" x14ac:dyDescent="0.3">
      <c r="A91" t="s">
        <v>13</v>
      </c>
      <c r="B91" t="s">
        <v>14</v>
      </c>
      <c r="C91" s="10" t="s">
        <v>167</v>
      </c>
      <c r="D91" s="11" t="s">
        <v>168</v>
      </c>
      <c r="E91" s="11">
        <v>475905885</v>
      </c>
      <c r="F91" s="10" t="s">
        <v>17</v>
      </c>
      <c r="G91" s="11" t="s">
        <v>18</v>
      </c>
      <c r="H91" s="11">
        <v>139861465</v>
      </c>
      <c r="I91" s="10" t="s">
        <v>17</v>
      </c>
      <c r="J91" s="11" t="s">
        <v>18</v>
      </c>
      <c r="K91" s="11">
        <v>173048538</v>
      </c>
      <c r="L91" s="10" t="s">
        <v>17</v>
      </c>
      <c r="M91" s="11" t="s">
        <v>18</v>
      </c>
      <c r="N91" s="13">
        <f t="shared" si="2"/>
        <v>648954423</v>
      </c>
      <c r="O91" s="12">
        <v>1</v>
      </c>
      <c r="P91" s="13">
        <f t="shared" si="3"/>
        <v>648954423</v>
      </c>
      <c r="Q91" s="12"/>
      <c r="R91" s="12" t="s">
        <v>514</v>
      </c>
      <c r="S91" s="32" t="s">
        <v>811</v>
      </c>
    </row>
    <row r="92" spans="1:19" x14ac:dyDescent="0.3">
      <c r="A92" t="s">
        <v>13</v>
      </c>
      <c r="B92" t="s">
        <v>14</v>
      </c>
      <c r="C92" s="10" t="s">
        <v>92</v>
      </c>
      <c r="D92" s="11" t="s">
        <v>93</v>
      </c>
      <c r="E92" s="11">
        <v>513154462</v>
      </c>
      <c r="F92" s="10" t="s">
        <v>17</v>
      </c>
      <c r="G92" s="11" t="s">
        <v>18</v>
      </c>
      <c r="H92" s="11">
        <v>104026278</v>
      </c>
      <c r="I92" s="10" t="s">
        <v>17</v>
      </c>
      <c r="J92" s="11" t="s">
        <v>18</v>
      </c>
      <c r="K92" s="11">
        <v>120475540</v>
      </c>
      <c r="L92" s="10" t="s">
        <v>17</v>
      </c>
      <c r="M92" s="11" t="s">
        <v>18</v>
      </c>
      <c r="N92" s="13">
        <f t="shared" si="2"/>
        <v>633630002</v>
      </c>
      <c r="O92" s="12">
        <v>1</v>
      </c>
      <c r="P92" s="13">
        <f t="shared" si="3"/>
        <v>633630002</v>
      </c>
      <c r="Q92" s="12"/>
      <c r="R92" s="12" t="s">
        <v>552</v>
      </c>
      <c r="S92" s="32" t="s">
        <v>786</v>
      </c>
    </row>
    <row r="93" spans="1:19" x14ac:dyDescent="0.3">
      <c r="A93" t="s">
        <v>13</v>
      </c>
      <c r="B93" t="s">
        <v>14</v>
      </c>
      <c r="C93" s="10" t="s">
        <v>52</v>
      </c>
      <c r="D93" s="11" t="s">
        <v>53</v>
      </c>
      <c r="E93" s="11">
        <v>600000000</v>
      </c>
      <c r="F93" s="10" t="s">
        <v>17</v>
      </c>
      <c r="G93" s="11" t="s">
        <v>18</v>
      </c>
      <c r="H93" s="11">
        <v>38539</v>
      </c>
      <c r="I93" s="10" t="s">
        <v>17</v>
      </c>
      <c r="J93" s="11" t="s">
        <v>18</v>
      </c>
      <c r="K93" s="11">
        <v>15550552</v>
      </c>
      <c r="L93" s="10" t="s">
        <v>17</v>
      </c>
      <c r="M93" s="11" t="s">
        <v>18</v>
      </c>
      <c r="N93" s="13">
        <f t="shared" si="2"/>
        <v>615550552</v>
      </c>
      <c r="O93" s="12">
        <v>1</v>
      </c>
      <c r="P93" s="13">
        <f t="shared" si="3"/>
        <v>615550552</v>
      </c>
      <c r="Q93" s="12"/>
      <c r="R93" s="12" t="s">
        <v>553</v>
      </c>
      <c r="S93" s="32"/>
    </row>
    <row r="94" spans="1:19" x14ac:dyDescent="0.3">
      <c r="A94" t="s">
        <v>13</v>
      </c>
      <c r="B94" t="s">
        <v>14</v>
      </c>
      <c r="C94" s="10" t="s">
        <v>34</v>
      </c>
      <c r="D94" s="11" t="s">
        <v>35</v>
      </c>
      <c r="E94" s="11">
        <v>280000000</v>
      </c>
      <c r="F94" s="10" t="s">
        <v>17</v>
      </c>
      <c r="G94" s="11" t="s">
        <v>18</v>
      </c>
      <c r="H94" s="11">
        <v>4913590</v>
      </c>
      <c r="I94" s="10" t="s">
        <v>17</v>
      </c>
      <c r="J94" s="11" t="s">
        <v>18</v>
      </c>
      <c r="K94" s="11">
        <v>334333996</v>
      </c>
      <c r="L94" s="10" t="s">
        <v>17</v>
      </c>
      <c r="M94" s="11" t="s">
        <v>18</v>
      </c>
      <c r="N94" s="13">
        <f t="shared" si="2"/>
        <v>614333996</v>
      </c>
      <c r="O94" s="12">
        <v>1</v>
      </c>
      <c r="P94" s="13">
        <f t="shared" si="3"/>
        <v>614333996</v>
      </c>
      <c r="Q94" s="12"/>
      <c r="R94" s="12" t="s">
        <v>554</v>
      </c>
      <c r="S94" s="32"/>
    </row>
    <row r="95" spans="1:19" x14ac:dyDescent="0.3">
      <c r="A95" t="s">
        <v>13</v>
      </c>
      <c r="B95" t="s">
        <v>14</v>
      </c>
      <c r="C95" s="10" t="s">
        <v>189</v>
      </c>
      <c r="D95" s="11" t="s">
        <v>190</v>
      </c>
      <c r="E95" s="11">
        <v>450000000</v>
      </c>
      <c r="F95" s="10" t="s">
        <v>17</v>
      </c>
      <c r="G95" s="11" t="s">
        <v>18</v>
      </c>
      <c r="H95" s="11">
        <v>16469131</v>
      </c>
      <c r="I95" s="10" t="s">
        <v>17</v>
      </c>
      <c r="J95" s="11" t="s">
        <v>18</v>
      </c>
      <c r="K95" s="11">
        <v>131289067</v>
      </c>
      <c r="L95" s="10" t="s">
        <v>17</v>
      </c>
      <c r="M95" s="11" t="s">
        <v>18</v>
      </c>
      <c r="N95" s="13">
        <f t="shared" si="2"/>
        <v>581289067</v>
      </c>
      <c r="O95" s="12">
        <v>1</v>
      </c>
      <c r="P95" s="13">
        <f t="shared" si="3"/>
        <v>581289067</v>
      </c>
      <c r="Q95" s="12"/>
      <c r="R95" s="12" t="s">
        <v>555</v>
      </c>
      <c r="S95" s="32"/>
    </row>
    <row r="96" spans="1:19" x14ac:dyDescent="0.3">
      <c r="A96" t="s">
        <v>13</v>
      </c>
      <c r="B96" t="s">
        <v>14</v>
      </c>
      <c r="C96" s="10" t="s">
        <v>15</v>
      </c>
      <c r="D96" s="11" t="s">
        <v>16</v>
      </c>
      <c r="E96" s="11">
        <v>700000000</v>
      </c>
      <c r="F96" s="10" t="s">
        <v>17</v>
      </c>
      <c r="G96" s="11" t="s">
        <v>18</v>
      </c>
      <c r="H96" s="11">
        <v>65463753</v>
      </c>
      <c r="I96" s="10" t="s">
        <v>17</v>
      </c>
      <c r="J96" s="11" t="s">
        <v>18</v>
      </c>
      <c r="K96" s="11">
        <v>1707980335</v>
      </c>
      <c r="L96" s="10" t="s">
        <v>17</v>
      </c>
      <c r="M96" s="11" t="s">
        <v>18</v>
      </c>
      <c r="N96" s="13">
        <f t="shared" si="2"/>
        <v>2407980335</v>
      </c>
      <c r="O96" s="12">
        <v>1</v>
      </c>
      <c r="P96" s="13">
        <f t="shared" si="3"/>
        <v>2407980335</v>
      </c>
      <c r="Q96" s="12" t="s">
        <v>502</v>
      </c>
      <c r="R96" s="12"/>
      <c r="S96" s="32"/>
    </row>
    <row r="97" spans="1:19" x14ac:dyDescent="0.3">
      <c r="A97" t="s">
        <v>13</v>
      </c>
      <c r="B97" t="s">
        <v>14</v>
      </c>
      <c r="C97" s="10" t="s">
        <v>44</v>
      </c>
      <c r="D97" s="11" t="s">
        <v>45</v>
      </c>
      <c r="E97" s="11">
        <v>400000000</v>
      </c>
      <c r="F97" s="10" t="s">
        <v>17</v>
      </c>
      <c r="G97" s="11" t="s">
        <v>18</v>
      </c>
      <c r="H97" s="11">
        <v>196541201</v>
      </c>
      <c r="I97" s="10" t="s">
        <v>17</v>
      </c>
      <c r="J97" s="11" t="s">
        <v>18</v>
      </c>
      <c r="K97" s="11">
        <v>179092855</v>
      </c>
      <c r="L97" s="10" t="s">
        <v>17</v>
      </c>
      <c r="M97" s="11" t="s">
        <v>18</v>
      </c>
      <c r="N97" s="13">
        <f t="shared" si="2"/>
        <v>579092855</v>
      </c>
      <c r="O97" s="12">
        <v>1</v>
      </c>
      <c r="P97" s="13">
        <f t="shared" si="3"/>
        <v>579092855</v>
      </c>
      <c r="Q97" s="12"/>
      <c r="R97" s="12" t="s">
        <v>556</v>
      </c>
      <c r="S97" s="32"/>
    </row>
    <row r="98" spans="1:19" x14ac:dyDescent="0.3">
      <c r="A98" t="s">
        <v>13</v>
      </c>
      <c r="B98" t="s">
        <v>14</v>
      </c>
      <c r="C98" s="10" t="s">
        <v>371</v>
      </c>
      <c r="D98" s="11" t="s">
        <v>372</v>
      </c>
      <c r="E98" s="11">
        <v>300000000</v>
      </c>
      <c r="F98" s="10" t="s">
        <v>17</v>
      </c>
      <c r="G98" s="11" t="s">
        <v>18</v>
      </c>
      <c r="H98" s="11">
        <v>64068837</v>
      </c>
      <c r="I98" s="10" t="s">
        <v>17</v>
      </c>
      <c r="J98" s="11" t="s">
        <v>18</v>
      </c>
      <c r="K98" s="11">
        <v>87254049</v>
      </c>
      <c r="L98" s="10" t="s">
        <v>17</v>
      </c>
      <c r="M98" s="11" t="s">
        <v>18</v>
      </c>
      <c r="N98" s="13">
        <f t="shared" si="2"/>
        <v>387254049</v>
      </c>
      <c r="O98" s="12">
        <v>1</v>
      </c>
      <c r="P98" s="13">
        <f t="shared" si="3"/>
        <v>387254049</v>
      </c>
      <c r="Q98" s="12" t="s">
        <v>499</v>
      </c>
      <c r="R98" s="12"/>
      <c r="S98" s="32"/>
    </row>
    <row r="99" spans="1:19" x14ac:dyDescent="0.3">
      <c r="A99" t="s">
        <v>13</v>
      </c>
      <c r="B99" t="s">
        <v>14</v>
      </c>
      <c r="C99" s="10" t="s">
        <v>50</v>
      </c>
      <c r="D99" s="11" t="s">
        <v>51</v>
      </c>
      <c r="E99" s="11">
        <v>400000000</v>
      </c>
      <c r="F99" s="10" t="s">
        <v>17</v>
      </c>
      <c r="G99" s="11" t="s">
        <v>18</v>
      </c>
      <c r="H99" s="11">
        <v>681631</v>
      </c>
      <c r="I99" s="10" t="s">
        <v>17</v>
      </c>
      <c r="J99" s="11" t="s">
        <v>18</v>
      </c>
      <c r="K99" s="11">
        <v>43532407</v>
      </c>
      <c r="L99" s="10" t="s">
        <v>17</v>
      </c>
      <c r="M99" s="11" t="s">
        <v>18</v>
      </c>
      <c r="N99" s="13">
        <f t="shared" si="2"/>
        <v>443532407</v>
      </c>
      <c r="O99" s="12">
        <v>1</v>
      </c>
      <c r="P99" s="13">
        <f t="shared" si="3"/>
        <v>443532407</v>
      </c>
      <c r="Q99" s="12"/>
      <c r="R99" s="12" t="s">
        <v>557</v>
      </c>
      <c r="S99" s="32"/>
    </row>
    <row r="100" spans="1:19" x14ac:dyDescent="0.3">
      <c r="A100" t="s">
        <v>13</v>
      </c>
      <c r="B100" t="s">
        <v>14</v>
      </c>
      <c r="C100" s="10" t="s">
        <v>155</v>
      </c>
      <c r="D100" s="11" t="s">
        <v>156</v>
      </c>
      <c r="E100" s="11">
        <v>300000000</v>
      </c>
      <c r="F100" s="10" t="s">
        <v>17</v>
      </c>
      <c r="G100" s="11" t="s">
        <v>18</v>
      </c>
      <c r="H100" s="11">
        <v>55865531</v>
      </c>
      <c r="I100" s="10" t="s">
        <v>17</v>
      </c>
      <c r="J100" s="11" t="s">
        <v>18</v>
      </c>
      <c r="K100" s="11">
        <v>142926298</v>
      </c>
      <c r="L100" s="10" t="s">
        <v>17</v>
      </c>
      <c r="M100" s="11" t="s">
        <v>18</v>
      </c>
      <c r="N100" s="13">
        <f t="shared" si="2"/>
        <v>442926298</v>
      </c>
      <c r="O100" s="12">
        <v>1</v>
      </c>
      <c r="P100" s="13">
        <f t="shared" si="3"/>
        <v>442926298</v>
      </c>
      <c r="Q100" s="12" t="s">
        <v>499</v>
      </c>
      <c r="R100" s="12" t="s">
        <v>558</v>
      </c>
      <c r="S100" s="32"/>
    </row>
    <row r="101" spans="1:19" x14ac:dyDescent="0.3">
      <c r="A101" t="s">
        <v>13</v>
      </c>
      <c r="B101" t="s">
        <v>14</v>
      </c>
      <c r="C101" s="10" t="s">
        <v>106</v>
      </c>
      <c r="D101" s="11" t="s">
        <v>107</v>
      </c>
      <c r="E101" s="11">
        <v>400000000</v>
      </c>
      <c r="F101" s="10" t="s">
        <v>17</v>
      </c>
      <c r="G101" s="11" t="s">
        <v>18</v>
      </c>
      <c r="H101" s="11">
        <v>71647309</v>
      </c>
      <c r="I101" s="10" t="s">
        <v>17</v>
      </c>
      <c r="J101" s="11" t="s">
        <v>18</v>
      </c>
      <c r="K101" s="11">
        <v>41896430</v>
      </c>
      <c r="L101" s="10" t="s">
        <v>17</v>
      </c>
      <c r="M101" s="11" t="s">
        <v>18</v>
      </c>
      <c r="N101" s="13">
        <f t="shared" si="2"/>
        <v>441896430</v>
      </c>
      <c r="O101" s="12">
        <v>1</v>
      </c>
      <c r="P101" s="13">
        <f t="shared" si="3"/>
        <v>441896430</v>
      </c>
      <c r="Q101" s="12"/>
      <c r="R101" s="12" t="s">
        <v>559</v>
      </c>
      <c r="S101" s="32"/>
    </row>
    <row r="102" spans="1:19" x14ac:dyDescent="0.3">
      <c r="A102" t="s">
        <v>13</v>
      </c>
      <c r="B102" t="s">
        <v>14</v>
      </c>
      <c r="C102" s="10" t="s">
        <v>94</v>
      </c>
      <c r="D102" s="11" t="s">
        <v>95</v>
      </c>
      <c r="E102" s="11">
        <v>320000000</v>
      </c>
      <c r="F102" s="10" t="s">
        <v>17</v>
      </c>
      <c r="G102" s="11" t="s">
        <v>18</v>
      </c>
      <c r="H102" s="11">
        <v>24916605</v>
      </c>
      <c r="I102" s="10" t="s">
        <v>17</v>
      </c>
      <c r="J102" s="11" t="s">
        <v>18</v>
      </c>
      <c r="K102" s="11">
        <v>108048199</v>
      </c>
      <c r="L102" s="10" t="s">
        <v>17</v>
      </c>
      <c r="M102" s="11" t="s">
        <v>18</v>
      </c>
      <c r="N102" s="13">
        <f t="shared" si="2"/>
        <v>428048199</v>
      </c>
      <c r="O102" s="12">
        <v>1</v>
      </c>
      <c r="P102" s="13">
        <f t="shared" si="3"/>
        <v>428048199</v>
      </c>
      <c r="Q102" s="12"/>
      <c r="R102" s="12" t="s">
        <v>560</v>
      </c>
      <c r="S102" s="32"/>
    </row>
    <row r="103" spans="1:19" x14ac:dyDescent="0.3">
      <c r="A103" t="s">
        <v>13</v>
      </c>
      <c r="B103" t="s">
        <v>14</v>
      </c>
      <c r="C103" s="10" t="s">
        <v>418</v>
      </c>
      <c r="D103" s="11" t="s">
        <v>419</v>
      </c>
      <c r="E103" s="11">
        <v>353037731</v>
      </c>
      <c r="F103" s="10" t="s">
        <v>17</v>
      </c>
      <c r="G103" s="11" t="s">
        <v>18</v>
      </c>
      <c r="H103" s="11">
        <v>60644012</v>
      </c>
      <c r="I103" s="10" t="s">
        <v>17</v>
      </c>
      <c r="J103" s="11" t="s">
        <v>18</v>
      </c>
      <c r="K103" s="11">
        <v>7593098</v>
      </c>
      <c r="L103" s="10" t="s">
        <v>17</v>
      </c>
      <c r="M103" s="11" t="s">
        <v>18</v>
      </c>
      <c r="N103" s="13">
        <f t="shared" si="2"/>
        <v>360630829</v>
      </c>
      <c r="O103" s="12">
        <v>1</v>
      </c>
      <c r="P103" s="13">
        <f t="shared" si="3"/>
        <v>360630829</v>
      </c>
      <c r="Q103" s="12" t="s">
        <v>502</v>
      </c>
      <c r="R103" s="12"/>
      <c r="S103" s="32"/>
    </row>
    <row r="104" spans="1:19" x14ac:dyDescent="0.3">
      <c r="A104" t="s">
        <v>13</v>
      </c>
      <c r="B104" t="s">
        <v>14</v>
      </c>
      <c r="C104" s="10" t="s">
        <v>202</v>
      </c>
      <c r="D104" s="11" t="s">
        <v>203</v>
      </c>
      <c r="E104" s="11">
        <v>300000000</v>
      </c>
      <c r="F104" s="10" t="s">
        <v>17</v>
      </c>
      <c r="G104" s="11" t="s">
        <v>18</v>
      </c>
      <c r="H104" s="11">
        <v>59216942</v>
      </c>
      <c r="I104" s="10" t="s">
        <v>17</v>
      </c>
      <c r="J104" s="11" t="s">
        <v>18</v>
      </c>
      <c r="K104" s="11">
        <v>328293130</v>
      </c>
      <c r="L104" s="10" t="s">
        <v>17</v>
      </c>
      <c r="M104" s="11" t="s">
        <v>18</v>
      </c>
      <c r="N104" s="13">
        <f t="shared" si="2"/>
        <v>628293130</v>
      </c>
      <c r="O104" s="12">
        <v>1</v>
      </c>
      <c r="P104" s="13">
        <f t="shared" si="3"/>
        <v>628293130</v>
      </c>
      <c r="Q104" s="12" t="s">
        <v>499</v>
      </c>
      <c r="R104" s="12"/>
      <c r="S104" s="32" t="s">
        <v>805</v>
      </c>
    </row>
    <row r="105" spans="1:19" x14ac:dyDescent="0.3">
      <c r="A105" t="s">
        <v>13</v>
      </c>
      <c r="B105" t="s">
        <v>14</v>
      </c>
      <c r="C105" s="10" t="s">
        <v>212</v>
      </c>
      <c r="D105" s="11" t="s">
        <v>213</v>
      </c>
      <c r="E105" s="11">
        <v>400000000</v>
      </c>
      <c r="F105" s="10" t="s">
        <v>17</v>
      </c>
      <c r="G105" s="11" t="s">
        <v>18</v>
      </c>
      <c r="H105" s="11">
        <v>72005364</v>
      </c>
      <c r="I105" s="10" t="s">
        <v>17</v>
      </c>
      <c r="J105" s="11" t="s">
        <v>18</v>
      </c>
      <c r="K105" s="11">
        <v>18743118</v>
      </c>
      <c r="L105" s="10" t="s">
        <v>17</v>
      </c>
      <c r="M105" s="11" t="s">
        <v>18</v>
      </c>
      <c r="N105" s="13">
        <f t="shared" si="2"/>
        <v>418743118</v>
      </c>
      <c r="O105" s="12">
        <v>1</v>
      </c>
      <c r="P105" s="13">
        <f t="shared" si="3"/>
        <v>418743118</v>
      </c>
      <c r="Q105" s="12"/>
      <c r="R105" s="12" t="s">
        <v>561</v>
      </c>
      <c r="S105" s="32" t="s">
        <v>804</v>
      </c>
    </row>
    <row r="106" spans="1:19" x14ac:dyDescent="0.3">
      <c r="A106" t="s">
        <v>13</v>
      </c>
      <c r="B106" t="s">
        <v>14</v>
      </c>
      <c r="C106" s="10" t="s">
        <v>139</v>
      </c>
      <c r="D106" s="11" t="s">
        <v>140</v>
      </c>
      <c r="E106" s="11">
        <v>432087893</v>
      </c>
      <c r="F106" s="10" t="s">
        <v>17</v>
      </c>
      <c r="G106" s="11" t="s">
        <v>18</v>
      </c>
      <c r="H106" s="11">
        <v>58081096</v>
      </c>
      <c r="I106" s="10" t="s">
        <v>17</v>
      </c>
      <c r="J106" s="11" t="s">
        <v>18</v>
      </c>
      <c r="K106" s="11">
        <v>272373378</v>
      </c>
      <c r="L106" s="10" t="s">
        <v>17</v>
      </c>
      <c r="M106" s="11" t="s">
        <v>18</v>
      </c>
      <c r="N106" s="13">
        <f t="shared" si="2"/>
        <v>704461271</v>
      </c>
      <c r="O106" s="12">
        <v>1</v>
      </c>
      <c r="P106" s="13">
        <f t="shared" si="3"/>
        <v>704461271</v>
      </c>
      <c r="Q106" s="12" t="s">
        <v>502</v>
      </c>
      <c r="R106" s="12"/>
      <c r="S106" s="32"/>
    </row>
    <row r="107" spans="1:19" x14ac:dyDescent="0.3">
      <c r="A107" t="s">
        <v>13</v>
      </c>
      <c r="B107" t="s">
        <v>14</v>
      </c>
      <c r="C107" s="10" t="s">
        <v>428</v>
      </c>
      <c r="D107" s="11" t="s">
        <v>429</v>
      </c>
      <c r="E107" s="11">
        <v>400000000</v>
      </c>
      <c r="F107" s="10" t="s">
        <v>17</v>
      </c>
      <c r="G107" s="11" t="s">
        <v>18</v>
      </c>
      <c r="H107" s="11">
        <v>57378042</v>
      </c>
      <c r="I107" s="10" t="s">
        <v>17</v>
      </c>
      <c r="J107" s="11" t="s">
        <v>18</v>
      </c>
      <c r="K107" s="11">
        <v>56345048</v>
      </c>
      <c r="L107" s="10" t="s">
        <v>17</v>
      </c>
      <c r="M107" s="11" t="s">
        <v>18</v>
      </c>
      <c r="N107" s="13">
        <f t="shared" si="2"/>
        <v>456345048</v>
      </c>
      <c r="O107" s="12">
        <v>1</v>
      </c>
      <c r="P107" s="13">
        <f t="shared" si="3"/>
        <v>456345048</v>
      </c>
      <c r="Q107" s="12" t="s">
        <v>502</v>
      </c>
      <c r="R107" s="12"/>
      <c r="S107" s="32"/>
    </row>
    <row r="108" spans="1:19" x14ac:dyDescent="0.3">
      <c r="A108" t="s">
        <v>13</v>
      </c>
      <c r="B108" t="s">
        <v>14</v>
      </c>
      <c r="C108" s="10" t="s">
        <v>46</v>
      </c>
      <c r="D108" s="11" t="s">
        <v>47</v>
      </c>
      <c r="E108" s="11">
        <v>400000000</v>
      </c>
      <c r="F108" s="10" t="s">
        <v>17</v>
      </c>
      <c r="G108" s="11" t="s">
        <v>18</v>
      </c>
      <c r="H108" s="11">
        <v>11504217</v>
      </c>
      <c r="I108" s="10" t="s">
        <v>17</v>
      </c>
      <c r="J108" s="11" t="s">
        <v>18</v>
      </c>
      <c r="K108" s="11">
        <v>3599974</v>
      </c>
      <c r="L108" s="10" t="s">
        <v>17</v>
      </c>
      <c r="M108" s="11" t="s">
        <v>18</v>
      </c>
      <c r="N108" s="13">
        <f t="shared" si="2"/>
        <v>403599974</v>
      </c>
      <c r="O108" s="12">
        <v>1</v>
      </c>
      <c r="P108" s="13">
        <f t="shared" si="3"/>
        <v>403599974</v>
      </c>
      <c r="Q108" s="12"/>
      <c r="R108" s="12" t="s">
        <v>562</v>
      </c>
      <c r="S108" s="32"/>
    </row>
    <row r="109" spans="1:19" x14ac:dyDescent="0.3">
      <c r="A109" t="s">
        <v>13</v>
      </c>
      <c r="B109" t="s">
        <v>14</v>
      </c>
      <c r="C109" s="10" t="s">
        <v>171</v>
      </c>
      <c r="D109" s="11" t="s">
        <v>172</v>
      </c>
      <c r="E109" s="11">
        <v>150000000</v>
      </c>
      <c r="F109" s="10" t="s">
        <v>17</v>
      </c>
      <c r="G109" s="11" t="s">
        <v>18</v>
      </c>
      <c r="H109" s="11">
        <v>54293805</v>
      </c>
      <c r="I109" s="10" t="s">
        <v>17</v>
      </c>
      <c r="J109" s="11" t="s">
        <v>18</v>
      </c>
      <c r="K109" s="11">
        <v>244694541</v>
      </c>
      <c r="L109" s="10" t="s">
        <v>17</v>
      </c>
      <c r="M109" s="11" t="s">
        <v>18</v>
      </c>
      <c r="N109" s="13">
        <f t="shared" si="2"/>
        <v>394694541</v>
      </c>
      <c r="O109" s="12">
        <v>1</v>
      </c>
      <c r="P109" s="13">
        <f t="shared" si="3"/>
        <v>394694541</v>
      </c>
      <c r="Q109" s="12"/>
      <c r="R109" s="12" t="s">
        <v>563</v>
      </c>
      <c r="S109" s="32" t="s">
        <v>803</v>
      </c>
    </row>
    <row r="110" spans="1:19" x14ac:dyDescent="0.3">
      <c r="A110" t="s">
        <v>13</v>
      </c>
      <c r="B110" t="s">
        <v>14</v>
      </c>
      <c r="C110" s="10" t="s">
        <v>165</v>
      </c>
      <c r="D110" s="11" t="s">
        <v>166</v>
      </c>
      <c r="E110" s="11">
        <v>350000000</v>
      </c>
      <c r="F110" s="10" t="s">
        <v>17</v>
      </c>
      <c r="G110" s="11" t="s">
        <v>18</v>
      </c>
      <c r="H110" s="11">
        <v>54897928</v>
      </c>
      <c r="I110" s="10" t="s">
        <v>17</v>
      </c>
      <c r="J110" s="11" t="s">
        <v>18</v>
      </c>
      <c r="K110" s="11">
        <v>37164082</v>
      </c>
      <c r="L110" s="10" t="s">
        <v>17</v>
      </c>
      <c r="M110" s="11" t="s">
        <v>18</v>
      </c>
      <c r="N110" s="13">
        <f t="shared" si="2"/>
        <v>387164082</v>
      </c>
      <c r="O110" s="12">
        <v>1</v>
      </c>
      <c r="P110" s="13">
        <f t="shared" si="3"/>
        <v>387164082</v>
      </c>
      <c r="Q110" s="12" t="s">
        <v>502</v>
      </c>
      <c r="R110" s="12"/>
      <c r="S110" s="32"/>
    </row>
    <row r="111" spans="1:19" x14ac:dyDescent="0.3">
      <c r="A111" t="s">
        <v>13</v>
      </c>
      <c r="B111" t="s">
        <v>14</v>
      </c>
      <c r="C111" s="10" t="s">
        <v>247</v>
      </c>
      <c r="D111" s="11" t="s">
        <v>248</v>
      </c>
      <c r="E111" s="11">
        <v>300000000</v>
      </c>
      <c r="F111" s="10" t="s">
        <v>17</v>
      </c>
      <c r="G111" s="11" t="s">
        <v>18</v>
      </c>
      <c r="H111" s="11">
        <v>26911859</v>
      </c>
      <c r="I111" s="10" t="s">
        <v>17</v>
      </c>
      <c r="J111" s="11" t="s">
        <v>18</v>
      </c>
      <c r="K111" s="11">
        <v>63643432</v>
      </c>
      <c r="L111" s="10" t="s">
        <v>17</v>
      </c>
      <c r="M111" s="11" t="s">
        <v>18</v>
      </c>
      <c r="N111" s="13">
        <f t="shared" si="2"/>
        <v>363643432</v>
      </c>
      <c r="O111" s="12">
        <v>1</v>
      </c>
      <c r="P111" s="13">
        <f t="shared" si="3"/>
        <v>363643432</v>
      </c>
      <c r="Q111" s="12"/>
      <c r="R111" s="12" t="s">
        <v>564</v>
      </c>
      <c r="S111" s="32"/>
    </row>
    <row r="112" spans="1:19" x14ac:dyDescent="0.3">
      <c r="A112" t="s">
        <v>13</v>
      </c>
      <c r="B112" t="s">
        <v>14</v>
      </c>
      <c r="C112" s="10" t="s">
        <v>291</v>
      </c>
      <c r="D112" s="11" t="s">
        <v>292</v>
      </c>
      <c r="E112" s="11">
        <v>360000000</v>
      </c>
      <c r="F112" s="10" t="s">
        <v>17</v>
      </c>
      <c r="G112" s="11" t="s">
        <v>18</v>
      </c>
      <c r="H112" s="11">
        <v>391300</v>
      </c>
      <c r="I112" s="10" t="s">
        <v>195</v>
      </c>
      <c r="J112" s="11" t="s">
        <v>18</v>
      </c>
      <c r="K112" s="11">
        <v>11800</v>
      </c>
      <c r="L112" s="10" t="s">
        <v>195</v>
      </c>
      <c r="M112" s="11" t="s">
        <v>18</v>
      </c>
      <c r="N112" s="13">
        <f t="shared" si="2"/>
        <v>360011800</v>
      </c>
      <c r="O112" s="12">
        <v>1</v>
      </c>
      <c r="P112" s="13">
        <f t="shared" si="3"/>
        <v>360011800</v>
      </c>
      <c r="Q112" s="12"/>
      <c r="R112" s="12" t="s">
        <v>560</v>
      </c>
      <c r="S112" s="32" t="s">
        <v>818</v>
      </c>
    </row>
    <row r="113" spans="1:19" x14ac:dyDescent="0.3">
      <c r="A113" t="s">
        <v>13</v>
      </c>
      <c r="B113" t="s">
        <v>14</v>
      </c>
      <c r="C113" s="10" t="s">
        <v>424</v>
      </c>
      <c r="D113" s="11" t="s">
        <v>425</v>
      </c>
      <c r="E113" s="11">
        <v>260302812</v>
      </c>
      <c r="F113" s="10" t="s">
        <v>17</v>
      </c>
      <c r="G113" s="11" t="s">
        <v>18</v>
      </c>
      <c r="H113" s="11">
        <v>127149510</v>
      </c>
      <c r="I113" s="10" t="s">
        <v>17</v>
      </c>
      <c r="J113" s="11" t="s">
        <v>18</v>
      </c>
      <c r="K113" s="11">
        <v>95790937</v>
      </c>
      <c r="L113" s="10" t="s">
        <v>17</v>
      </c>
      <c r="M113" s="11" t="s">
        <v>18</v>
      </c>
      <c r="N113" s="13">
        <f t="shared" si="2"/>
        <v>356093749</v>
      </c>
      <c r="O113" s="12">
        <v>1</v>
      </c>
      <c r="P113" s="13">
        <f t="shared" si="3"/>
        <v>356093749</v>
      </c>
      <c r="Q113" s="12"/>
      <c r="R113" s="12"/>
      <c r="S113" s="32" t="s">
        <v>814</v>
      </c>
    </row>
    <row r="114" spans="1:19" x14ac:dyDescent="0.3">
      <c r="A114" t="s">
        <v>13</v>
      </c>
      <c r="B114" t="s">
        <v>14</v>
      </c>
      <c r="C114" s="10" t="s">
        <v>466</v>
      </c>
      <c r="D114" s="11" t="s">
        <v>467</v>
      </c>
      <c r="E114" s="11">
        <v>760000000</v>
      </c>
      <c r="F114" s="10" t="s">
        <v>17</v>
      </c>
      <c r="G114" s="11" t="s">
        <v>18</v>
      </c>
      <c r="H114" s="11">
        <v>54207901</v>
      </c>
      <c r="I114" s="10" t="s">
        <v>17</v>
      </c>
      <c r="J114" s="11" t="s">
        <v>18</v>
      </c>
      <c r="K114" s="11">
        <v>114741688</v>
      </c>
      <c r="L114" s="10" t="s">
        <v>17</v>
      </c>
      <c r="M114" s="11" t="s">
        <v>18</v>
      </c>
      <c r="N114" s="13">
        <f t="shared" si="2"/>
        <v>874741688</v>
      </c>
      <c r="O114" s="12">
        <v>1</v>
      </c>
      <c r="P114" s="13">
        <f t="shared" si="3"/>
        <v>874741688</v>
      </c>
      <c r="Q114" s="12" t="s">
        <v>503</v>
      </c>
      <c r="R114" s="12" t="s">
        <v>565</v>
      </c>
      <c r="S114" s="32" t="s">
        <v>782</v>
      </c>
    </row>
    <row r="115" spans="1:19" x14ac:dyDescent="0.3">
      <c r="A115" t="s">
        <v>13</v>
      </c>
      <c r="B115" t="s">
        <v>14</v>
      </c>
      <c r="C115" s="10" t="s">
        <v>277</v>
      </c>
      <c r="D115" s="11" t="s">
        <v>278</v>
      </c>
      <c r="E115" s="11">
        <v>180000000</v>
      </c>
      <c r="F115" s="10" t="s">
        <v>17</v>
      </c>
      <c r="G115" s="11" t="s">
        <v>18</v>
      </c>
      <c r="H115" s="11">
        <v>3680908</v>
      </c>
      <c r="I115" s="10" t="s">
        <v>17</v>
      </c>
      <c r="J115" s="11" t="s">
        <v>18</v>
      </c>
      <c r="K115" s="11">
        <v>174790573</v>
      </c>
      <c r="L115" s="10" t="s">
        <v>17</v>
      </c>
      <c r="M115" s="11" t="s">
        <v>18</v>
      </c>
      <c r="N115" s="13">
        <f t="shared" si="2"/>
        <v>354790573</v>
      </c>
      <c r="O115" s="12">
        <v>1</v>
      </c>
      <c r="P115" s="13">
        <f t="shared" si="3"/>
        <v>354790573</v>
      </c>
      <c r="Q115" s="12" t="s">
        <v>503</v>
      </c>
      <c r="R115" s="12"/>
      <c r="S115" s="32"/>
    </row>
    <row r="116" spans="1:19" x14ac:dyDescent="0.3">
      <c r="A116" t="s">
        <v>13</v>
      </c>
      <c r="B116" t="s">
        <v>14</v>
      </c>
      <c r="C116" s="10" t="s">
        <v>454</v>
      </c>
      <c r="D116" s="11" t="s">
        <v>455</v>
      </c>
      <c r="E116" s="11">
        <v>153880828</v>
      </c>
      <c r="F116" s="10" t="s">
        <v>17</v>
      </c>
      <c r="G116" s="11" t="s">
        <v>18</v>
      </c>
      <c r="H116" s="11">
        <v>62814404</v>
      </c>
      <c r="I116" s="10" t="s">
        <v>17</v>
      </c>
      <c r="J116" s="11" t="s">
        <v>18</v>
      </c>
      <c r="K116" s="11">
        <v>192064376</v>
      </c>
      <c r="L116" s="10" t="s">
        <v>17</v>
      </c>
      <c r="M116" s="11" t="s">
        <v>18</v>
      </c>
      <c r="N116" s="13">
        <f t="shared" si="2"/>
        <v>345945204</v>
      </c>
      <c r="O116" s="12">
        <v>1</v>
      </c>
      <c r="P116" s="13">
        <f t="shared" si="3"/>
        <v>345945204</v>
      </c>
      <c r="Q116" s="12" t="s">
        <v>502</v>
      </c>
      <c r="R116" s="12"/>
      <c r="S116" s="32" t="s">
        <v>783</v>
      </c>
    </row>
    <row r="117" spans="1:19" x14ac:dyDescent="0.3">
      <c r="A117" t="s">
        <v>13</v>
      </c>
      <c r="B117" t="s">
        <v>14</v>
      </c>
      <c r="C117" s="10" t="s">
        <v>141</v>
      </c>
      <c r="D117" s="11" t="s">
        <v>142</v>
      </c>
      <c r="E117" s="11">
        <v>180000000</v>
      </c>
      <c r="F117" s="10" t="s">
        <v>17</v>
      </c>
      <c r="G117" s="11" t="s">
        <v>18</v>
      </c>
      <c r="H117" s="11">
        <v>50141922</v>
      </c>
      <c r="I117" s="10" t="s">
        <v>17</v>
      </c>
      <c r="J117" s="11" t="s">
        <v>18</v>
      </c>
      <c r="K117" s="11">
        <v>1676452996</v>
      </c>
      <c r="L117" s="10" t="s">
        <v>17</v>
      </c>
      <c r="M117" s="11" t="s">
        <v>18</v>
      </c>
      <c r="N117" s="13">
        <f t="shared" si="2"/>
        <v>1856452996</v>
      </c>
      <c r="O117" s="12">
        <v>1</v>
      </c>
      <c r="P117" s="13">
        <f t="shared" si="3"/>
        <v>1856452996</v>
      </c>
      <c r="Q117" s="12" t="s">
        <v>502</v>
      </c>
      <c r="R117" s="12"/>
      <c r="S117" s="32"/>
    </row>
    <row r="118" spans="1:19" x14ac:dyDescent="0.3">
      <c r="A118" t="s">
        <v>13</v>
      </c>
      <c r="B118" t="s">
        <v>14</v>
      </c>
      <c r="C118" s="10" t="s">
        <v>414</v>
      </c>
      <c r="D118" s="11" t="s">
        <v>415</v>
      </c>
      <c r="E118" s="11">
        <v>297402266</v>
      </c>
      <c r="F118" s="10" t="s">
        <v>17</v>
      </c>
      <c r="G118" s="11" t="s">
        <v>18</v>
      </c>
      <c r="H118" s="11">
        <v>67891395</v>
      </c>
      <c r="I118" s="10" t="s">
        <v>17</v>
      </c>
      <c r="J118" s="11" t="s">
        <v>18</v>
      </c>
      <c r="K118" s="11">
        <v>44050163</v>
      </c>
      <c r="L118" s="10" t="s">
        <v>17</v>
      </c>
      <c r="M118" s="11" t="s">
        <v>18</v>
      </c>
      <c r="N118" s="13">
        <f t="shared" si="2"/>
        <v>341452429</v>
      </c>
      <c r="O118" s="12">
        <v>1</v>
      </c>
      <c r="P118" s="13">
        <f t="shared" si="3"/>
        <v>341452429</v>
      </c>
      <c r="Q118" s="12" t="s">
        <v>502</v>
      </c>
      <c r="R118" s="12"/>
      <c r="S118" s="32"/>
    </row>
    <row r="119" spans="1:19" x14ac:dyDescent="0.3">
      <c r="A119" t="s">
        <v>13</v>
      </c>
      <c r="B119" t="s">
        <v>14</v>
      </c>
      <c r="C119" s="10" t="s">
        <v>143</v>
      </c>
      <c r="D119" s="11" t="s">
        <v>144</v>
      </c>
      <c r="E119" s="11">
        <v>16000000</v>
      </c>
      <c r="F119" s="10" t="s">
        <v>17</v>
      </c>
      <c r="G119" s="11" t="s">
        <v>18</v>
      </c>
      <c r="H119" s="11">
        <v>13274328</v>
      </c>
      <c r="I119" s="10" t="s">
        <v>17</v>
      </c>
      <c r="J119" s="11" t="s">
        <v>18</v>
      </c>
      <c r="K119" s="11">
        <v>325312049</v>
      </c>
      <c r="L119" s="10" t="s">
        <v>17</v>
      </c>
      <c r="M119" s="11" t="s">
        <v>18</v>
      </c>
      <c r="N119" s="13">
        <f t="shared" si="2"/>
        <v>341312049</v>
      </c>
      <c r="O119" s="12">
        <v>1</v>
      </c>
      <c r="P119" s="13">
        <f t="shared" si="3"/>
        <v>341312049</v>
      </c>
      <c r="Q119" s="12"/>
      <c r="R119" s="12" t="s">
        <v>508</v>
      </c>
      <c r="S119" s="32"/>
    </row>
    <row r="120" spans="1:19" x14ac:dyDescent="0.3">
      <c r="A120" t="s">
        <v>13</v>
      </c>
      <c r="B120" t="s">
        <v>14</v>
      </c>
      <c r="C120" s="10" t="s">
        <v>36</v>
      </c>
      <c r="D120" s="11" t="s">
        <v>37</v>
      </c>
      <c r="E120" s="11">
        <v>107070813</v>
      </c>
      <c r="F120" s="10" t="s">
        <v>17</v>
      </c>
      <c r="G120" s="11" t="s">
        <v>18</v>
      </c>
      <c r="H120" s="11">
        <v>47483887</v>
      </c>
      <c r="I120" s="10" t="s">
        <v>17</v>
      </c>
      <c r="J120" s="11" t="s">
        <v>18</v>
      </c>
      <c r="K120" s="11">
        <v>62192735</v>
      </c>
      <c r="L120" s="10" t="s">
        <v>17</v>
      </c>
      <c r="M120" s="11" t="s">
        <v>18</v>
      </c>
      <c r="N120" s="13">
        <f t="shared" si="2"/>
        <v>169263548</v>
      </c>
      <c r="O120" s="12">
        <v>1</v>
      </c>
      <c r="P120" s="13">
        <f t="shared" si="3"/>
        <v>169263548</v>
      </c>
      <c r="Q120" s="12" t="s">
        <v>502</v>
      </c>
      <c r="R120" s="12"/>
      <c r="S120" s="32"/>
    </row>
    <row r="121" spans="1:19" x14ac:dyDescent="0.3">
      <c r="A121" t="s">
        <v>13</v>
      </c>
      <c r="B121" t="s">
        <v>14</v>
      </c>
      <c r="C121" s="10" t="s">
        <v>309</v>
      </c>
      <c r="D121" s="11" t="s">
        <v>310</v>
      </c>
      <c r="E121" s="11">
        <v>800000000</v>
      </c>
      <c r="F121" s="10" t="s">
        <v>17</v>
      </c>
      <c r="G121" s="11" t="s">
        <v>18</v>
      </c>
      <c r="H121" s="11">
        <v>46759423</v>
      </c>
      <c r="I121" s="10" t="s">
        <v>17</v>
      </c>
      <c r="J121" s="11" t="s">
        <v>18</v>
      </c>
      <c r="K121" s="11">
        <v>42623847</v>
      </c>
      <c r="L121" s="10" t="s">
        <v>17</v>
      </c>
      <c r="M121" s="11" t="s">
        <v>18</v>
      </c>
      <c r="N121" s="13">
        <f t="shared" si="2"/>
        <v>842623847</v>
      </c>
      <c r="O121" s="12">
        <v>1</v>
      </c>
      <c r="P121" s="13">
        <f t="shared" si="3"/>
        <v>842623847</v>
      </c>
      <c r="Q121" s="12" t="s">
        <v>502</v>
      </c>
      <c r="R121" s="12"/>
      <c r="S121" s="32"/>
    </row>
    <row r="122" spans="1:19" x14ac:dyDescent="0.3">
      <c r="A122" t="s">
        <v>13</v>
      </c>
      <c r="B122" t="s">
        <v>14</v>
      </c>
      <c r="C122" s="10" t="s">
        <v>375</v>
      </c>
      <c r="D122" s="11" t="s">
        <v>376</v>
      </c>
      <c r="E122" s="11">
        <v>318581216</v>
      </c>
      <c r="F122" s="10" t="s">
        <v>17</v>
      </c>
      <c r="G122" s="11" t="s">
        <v>18</v>
      </c>
      <c r="H122" s="11">
        <v>46517854</v>
      </c>
      <c r="I122" s="10" t="s">
        <v>17</v>
      </c>
      <c r="J122" s="11" t="s">
        <v>18</v>
      </c>
      <c r="K122" s="11">
        <v>571206403</v>
      </c>
      <c r="L122" s="10" t="s">
        <v>17</v>
      </c>
      <c r="M122" s="11" t="s">
        <v>18</v>
      </c>
      <c r="N122" s="13">
        <f t="shared" si="2"/>
        <v>889787619</v>
      </c>
      <c r="O122" s="12">
        <v>1</v>
      </c>
      <c r="P122" s="13">
        <f t="shared" si="3"/>
        <v>889787619</v>
      </c>
      <c r="Q122" s="12" t="s">
        <v>499</v>
      </c>
      <c r="R122" s="12"/>
      <c r="S122" s="32"/>
    </row>
    <row r="123" spans="1:19" x14ac:dyDescent="0.3">
      <c r="A123" t="s">
        <v>13</v>
      </c>
      <c r="B123" t="s">
        <v>14</v>
      </c>
      <c r="C123" s="10" t="s">
        <v>434</v>
      </c>
      <c r="D123" s="11" t="s">
        <v>435</v>
      </c>
      <c r="E123" s="11">
        <v>320000000</v>
      </c>
      <c r="F123" s="10" t="s">
        <v>17</v>
      </c>
      <c r="G123" s="11" t="s">
        <v>18</v>
      </c>
      <c r="H123" s="11">
        <v>54313013</v>
      </c>
      <c r="I123" s="10" t="s">
        <v>17</v>
      </c>
      <c r="J123" s="11" t="s">
        <v>18</v>
      </c>
      <c r="K123" s="11">
        <v>10108795</v>
      </c>
      <c r="L123" s="10" t="s">
        <v>17</v>
      </c>
      <c r="M123" s="11" t="s">
        <v>18</v>
      </c>
      <c r="N123" s="13">
        <f t="shared" si="2"/>
        <v>330108795</v>
      </c>
      <c r="O123" s="12">
        <v>1</v>
      </c>
      <c r="P123" s="13">
        <f t="shared" si="3"/>
        <v>330108795</v>
      </c>
      <c r="Q123" s="12" t="s">
        <v>502</v>
      </c>
      <c r="R123" s="12" t="s">
        <v>566</v>
      </c>
      <c r="S123" s="32"/>
    </row>
    <row r="124" spans="1:19" x14ac:dyDescent="0.3">
      <c r="A124" t="s">
        <v>13</v>
      </c>
      <c r="B124" t="s">
        <v>14</v>
      </c>
      <c r="C124" s="10" t="s">
        <v>339</v>
      </c>
      <c r="D124" s="11" t="s">
        <v>340</v>
      </c>
      <c r="E124" s="11">
        <v>120000000</v>
      </c>
      <c r="F124" s="10" t="s">
        <v>17</v>
      </c>
      <c r="G124" s="11" t="s">
        <v>18</v>
      </c>
      <c r="H124" s="11">
        <v>7346355</v>
      </c>
      <c r="I124" s="10" t="s">
        <v>17</v>
      </c>
      <c r="J124" s="11" t="s">
        <v>18</v>
      </c>
      <c r="K124" s="11">
        <v>208424854</v>
      </c>
      <c r="L124" s="10" t="s">
        <v>17</v>
      </c>
      <c r="M124" s="11" t="s">
        <v>18</v>
      </c>
      <c r="N124" s="13">
        <f t="shared" si="2"/>
        <v>328424854</v>
      </c>
      <c r="O124" s="12">
        <v>1</v>
      </c>
      <c r="P124" s="13">
        <f t="shared" si="3"/>
        <v>328424854</v>
      </c>
      <c r="Q124" s="12"/>
      <c r="R124" s="12" t="s">
        <v>569</v>
      </c>
      <c r="S124" s="32"/>
    </row>
    <row r="125" spans="1:19" x14ac:dyDescent="0.3">
      <c r="A125" t="s">
        <v>13</v>
      </c>
      <c r="B125" t="s">
        <v>14</v>
      </c>
      <c r="C125" s="10" t="s">
        <v>452</v>
      </c>
      <c r="D125" s="11" t="s">
        <v>453</v>
      </c>
      <c r="E125" s="11">
        <v>263309734</v>
      </c>
      <c r="F125" s="10" t="s">
        <v>17</v>
      </c>
      <c r="G125" s="11" t="s">
        <v>18</v>
      </c>
      <c r="H125" s="11">
        <v>36721680</v>
      </c>
      <c r="I125" s="10" t="s">
        <v>17</v>
      </c>
      <c r="J125" s="11" t="s">
        <v>18</v>
      </c>
      <c r="K125" s="11">
        <v>56863231</v>
      </c>
      <c r="L125" s="10" t="s">
        <v>17</v>
      </c>
      <c r="M125" s="11" t="s">
        <v>18</v>
      </c>
      <c r="N125" s="13">
        <f t="shared" si="2"/>
        <v>320172965</v>
      </c>
      <c r="O125" s="12">
        <v>1</v>
      </c>
      <c r="P125" s="13">
        <f t="shared" si="3"/>
        <v>320172965</v>
      </c>
      <c r="Q125" s="12"/>
      <c r="R125" s="12" t="s">
        <v>535</v>
      </c>
      <c r="S125" s="32"/>
    </row>
    <row r="126" spans="1:19" x14ac:dyDescent="0.3">
      <c r="A126" t="s">
        <v>13</v>
      </c>
      <c r="B126" t="s">
        <v>14</v>
      </c>
      <c r="C126" s="10" t="s">
        <v>32</v>
      </c>
      <c r="D126" s="11" t="s">
        <v>33</v>
      </c>
      <c r="E126" s="11">
        <v>800000000</v>
      </c>
      <c r="F126" s="10" t="s">
        <v>17</v>
      </c>
      <c r="G126" s="11" t="s">
        <v>18</v>
      </c>
      <c r="H126" s="11">
        <v>43530320</v>
      </c>
      <c r="I126" s="10" t="s">
        <v>17</v>
      </c>
      <c r="J126" s="11" t="s">
        <v>18</v>
      </c>
      <c r="K126" s="11">
        <v>421413202</v>
      </c>
      <c r="L126" s="10" t="s">
        <v>17</v>
      </c>
      <c r="M126" s="11" t="s">
        <v>18</v>
      </c>
      <c r="N126" s="13">
        <f t="shared" si="2"/>
        <v>1221413202</v>
      </c>
      <c r="O126" s="12">
        <v>1</v>
      </c>
      <c r="P126" s="13">
        <f t="shared" si="3"/>
        <v>1221413202</v>
      </c>
      <c r="Q126" s="12" t="s">
        <v>502</v>
      </c>
      <c r="R126" s="12"/>
      <c r="S126" s="32"/>
    </row>
    <row r="127" spans="1:19" x14ac:dyDescent="0.3">
      <c r="A127" t="s">
        <v>13</v>
      </c>
      <c r="B127" t="s">
        <v>14</v>
      </c>
      <c r="C127" s="10" t="s">
        <v>487</v>
      </c>
      <c r="D127" s="11" t="s">
        <v>488</v>
      </c>
      <c r="E127" s="11">
        <v>293172101</v>
      </c>
      <c r="F127" s="10" t="s">
        <v>480</v>
      </c>
      <c r="G127" s="11" t="s">
        <v>18</v>
      </c>
      <c r="H127" s="11">
        <v>23600475</v>
      </c>
      <c r="I127" s="10" t="s">
        <v>480</v>
      </c>
      <c r="J127" s="11" t="s">
        <v>18</v>
      </c>
      <c r="K127" s="11">
        <v>25424100</v>
      </c>
      <c r="L127" s="10" t="s">
        <v>480</v>
      </c>
      <c r="M127" s="11" t="s">
        <v>18</v>
      </c>
      <c r="N127" s="13">
        <f t="shared" si="2"/>
        <v>318596201</v>
      </c>
      <c r="O127" s="12">
        <v>1</v>
      </c>
      <c r="P127" s="13">
        <f t="shared" si="3"/>
        <v>318596201</v>
      </c>
      <c r="Q127" s="12" t="s">
        <v>499</v>
      </c>
      <c r="R127" s="12"/>
      <c r="S127" s="32"/>
    </row>
    <row r="128" spans="1:19" x14ac:dyDescent="0.3">
      <c r="A128" t="s">
        <v>13</v>
      </c>
      <c r="B128" t="s">
        <v>14</v>
      </c>
      <c r="C128" s="10" t="s">
        <v>133</v>
      </c>
      <c r="D128" s="11" t="s">
        <v>134</v>
      </c>
      <c r="E128" s="11">
        <v>193285100</v>
      </c>
      <c r="F128" s="10" t="s">
        <v>17</v>
      </c>
      <c r="G128" s="11" t="s">
        <v>18</v>
      </c>
      <c r="H128" s="11">
        <v>12648035</v>
      </c>
      <c r="I128" s="10" t="s">
        <v>17</v>
      </c>
      <c r="J128" s="11" t="s">
        <v>18</v>
      </c>
      <c r="K128" s="11">
        <v>107371367</v>
      </c>
      <c r="L128" s="10" t="s">
        <v>17</v>
      </c>
      <c r="M128" s="11" t="s">
        <v>18</v>
      </c>
      <c r="N128" s="13">
        <f t="shared" si="2"/>
        <v>300656467</v>
      </c>
      <c r="O128" s="12">
        <v>1</v>
      </c>
      <c r="P128" s="13">
        <f t="shared" si="3"/>
        <v>300656467</v>
      </c>
      <c r="Q128" s="12" t="s">
        <v>499</v>
      </c>
      <c r="R128" s="12"/>
      <c r="S128" s="32"/>
    </row>
    <row r="129" spans="1:19" x14ac:dyDescent="0.3">
      <c r="A129" t="s">
        <v>13</v>
      </c>
      <c r="B129" t="s">
        <v>14</v>
      </c>
      <c r="C129" s="10" t="s">
        <v>269</v>
      </c>
      <c r="D129" s="11" t="s">
        <v>270</v>
      </c>
      <c r="E129" s="11">
        <v>57454184</v>
      </c>
      <c r="F129" s="10" t="s">
        <v>195</v>
      </c>
      <c r="G129" s="11" t="s">
        <v>18</v>
      </c>
      <c r="H129" s="11">
        <v>39895400</v>
      </c>
      <c r="I129" s="10" t="s">
        <v>195</v>
      </c>
      <c r="J129" s="11" t="s">
        <v>18</v>
      </c>
      <c r="K129" s="11">
        <v>46400800</v>
      </c>
      <c r="L129" s="10" t="s">
        <v>195</v>
      </c>
      <c r="M129" s="11" t="s">
        <v>18</v>
      </c>
      <c r="N129" s="13">
        <f t="shared" si="2"/>
        <v>103854984</v>
      </c>
      <c r="O129" s="12">
        <v>1</v>
      </c>
      <c r="P129" s="13">
        <f t="shared" si="3"/>
        <v>103854984</v>
      </c>
      <c r="Q129" s="12" t="s">
        <v>502</v>
      </c>
      <c r="R129" s="12"/>
      <c r="S129" s="32"/>
    </row>
    <row r="130" spans="1:19" x14ac:dyDescent="0.3">
      <c r="A130" t="s">
        <v>13</v>
      </c>
      <c r="B130" t="s">
        <v>14</v>
      </c>
      <c r="C130" s="10" t="s">
        <v>183</v>
      </c>
      <c r="D130" s="11" t="s">
        <v>184</v>
      </c>
      <c r="E130" s="11">
        <v>198790622</v>
      </c>
      <c r="F130" s="10" t="s">
        <v>17</v>
      </c>
      <c r="G130" s="11" t="s">
        <v>18</v>
      </c>
      <c r="H130" s="11">
        <v>20749514</v>
      </c>
      <c r="I130" s="10" t="s">
        <v>17</v>
      </c>
      <c r="J130" s="11" t="s">
        <v>18</v>
      </c>
      <c r="K130" s="11">
        <v>95258672</v>
      </c>
      <c r="L130" s="10" t="s">
        <v>17</v>
      </c>
      <c r="M130" s="11" t="s">
        <v>18</v>
      </c>
      <c r="N130" s="13">
        <f t="shared" si="2"/>
        <v>294049294</v>
      </c>
      <c r="O130" s="12">
        <v>1</v>
      </c>
      <c r="P130" s="13">
        <f t="shared" si="3"/>
        <v>294049294</v>
      </c>
      <c r="Q130" s="12" t="s">
        <v>502</v>
      </c>
      <c r="R130" s="12"/>
      <c r="S130" s="32"/>
    </row>
    <row r="131" spans="1:19" x14ac:dyDescent="0.3">
      <c r="A131" t="s">
        <v>13</v>
      </c>
      <c r="B131" t="s">
        <v>14</v>
      </c>
      <c r="C131" s="10" t="s">
        <v>42</v>
      </c>
      <c r="D131" s="11" t="s">
        <v>43</v>
      </c>
      <c r="E131" s="11">
        <v>78810997</v>
      </c>
      <c r="F131" s="10" t="s">
        <v>17</v>
      </c>
      <c r="G131" s="11" t="s">
        <v>18</v>
      </c>
      <c r="H131" s="11">
        <v>22710917</v>
      </c>
      <c r="I131" s="10" t="s">
        <v>17</v>
      </c>
      <c r="J131" s="11" t="s">
        <v>18</v>
      </c>
      <c r="K131" s="11">
        <v>181949134</v>
      </c>
      <c r="L131" s="10" t="s">
        <v>17</v>
      </c>
      <c r="M131" s="11" t="s">
        <v>18</v>
      </c>
      <c r="N131" s="13">
        <f t="shared" si="2"/>
        <v>260760131</v>
      </c>
      <c r="O131" s="12">
        <v>1</v>
      </c>
      <c r="P131" s="13">
        <f t="shared" si="3"/>
        <v>260760131</v>
      </c>
      <c r="Q131" s="12"/>
      <c r="R131" s="12" t="s">
        <v>632</v>
      </c>
      <c r="S131" s="32"/>
    </row>
    <row r="132" spans="1:19" x14ac:dyDescent="0.3">
      <c r="A132" t="s">
        <v>13</v>
      </c>
      <c r="B132" t="s">
        <v>14</v>
      </c>
      <c r="C132" s="10" t="s">
        <v>388</v>
      </c>
      <c r="D132" s="11" t="s">
        <v>389</v>
      </c>
      <c r="E132" s="11">
        <v>1500000000</v>
      </c>
      <c r="F132" s="10" t="s">
        <v>17</v>
      </c>
      <c r="G132" s="11" t="s">
        <v>387</v>
      </c>
      <c r="H132" s="11">
        <v>46813855</v>
      </c>
      <c r="I132" s="10" t="s">
        <v>17</v>
      </c>
      <c r="J132" s="11" t="s">
        <v>387</v>
      </c>
      <c r="K132" s="11">
        <v>707560794</v>
      </c>
      <c r="L132" s="10" t="s">
        <v>17</v>
      </c>
      <c r="M132" s="11" t="s">
        <v>387</v>
      </c>
      <c r="N132" s="13">
        <f t="shared" si="2"/>
        <v>2207560794</v>
      </c>
      <c r="O132" s="12">
        <v>0.79</v>
      </c>
      <c r="P132" s="13">
        <f t="shared" si="3"/>
        <v>1743973027.26</v>
      </c>
      <c r="Q132" s="12" t="s">
        <v>499</v>
      </c>
      <c r="R132" s="12"/>
      <c r="S132" s="32" t="s">
        <v>807</v>
      </c>
    </row>
    <row r="133" spans="1:19" x14ac:dyDescent="0.3">
      <c r="A133" t="s">
        <v>13</v>
      </c>
      <c r="B133" t="s">
        <v>14</v>
      </c>
      <c r="C133" s="10" t="s">
        <v>151</v>
      </c>
      <c r="D133" s="11" t="s">
        <v>152</v>
      </c>
      <c r="E133" s="11">
        <v>180000000</v>
      </c>
      <c r="F133" s="10" t="s">
        <v>17</v>
      </c>
      <c r="G133" s="11" t="s">
        <v>18</v>
      </c>
      <c r="H133" s="11">
        <v>24716356</v>
      </c>
      <c r="I133" s="10" t="s">
        <v>17</v>
      </c>
      <c r="J133" s="11" t="s">
        <v>18</v>
      </c>
      <c r="K133" s="11">
        <v>74320177</v>
      </c>
      <c r="L133" s="10" t="s">
        <v>17</v>
      </c>
      <c r="M133" s="11" t="s">
        <v>18</v>
      </c>
      <c r="N133" s="13">
        <f t="shared" ref="N133:N196" si="4">IF(ISNUMBER(E133), E133, 0)+IF(ISNUMBER(K133), K133, 0)</f>
        <v>254320177</v>
      </c>
      <c r="O133" s="12">
        <v>1</v>
      </c>
      <c r="P133" s="13">
        <f t="shared" ref="P133:P196" si="5">N133*O133</f>
        <v>254320177</v>
      </c>
      <c r="Q133" s="12" t="s">
        <v>499</v>
      </c>
      <c r="R133" s="12"/>
      <c r="S133" s="32"/>
    </row>
    <row r="134" spans="1:19" x14ac:dyDescent="0.3">
      <c r="A134" t="s">
        <v>13</v>
      </c>
      <c r="B134" t="s">
        <v>14</v>
      </c>
      <c r="C134" s="10" t="s">
        <v>175</v>
      </c>
      <c r="D134" s="11" t="s">
        <v>176</v>
      </c>
      <c r="E134" s="11">
        <v>200000000</v>
      </c>
      <c r="F134" s="10" t="s">
        <v>17</v>
      </c>
      <c r="G134" s="11" t="s">
        <v>18</v>
      </c>
      <c r="H134" s="11">
        <v>71759904</v>
      </c>
      <c r="I134" s="10" t="s">
        <v>17</v>
      </c>
      <c r="J134" s="11" t="s">
        <v>18</v>
      </c>
      <c r="K134" s="11">
        <v>32327254</v>
      </c>
      <c r="L134" s="10" t="s">
        <v>17</v>
      </c>
      <c r="M134" s="11" t="s">
        <v>18</v>
      </c>
      <c r="N134" s="13">
        <f t="shared" si="4"/>
        <v>232327254</v>
      </c>
      <c r="O134" s="12">
        <v>1</v>
      </c>
      <c r="P134" s="13">
        <f t="shared" si="5"/>
        <v>232327254</v>
      </c>
      <c r="Q134" s="12"/>
      <c r="R134" s="12" t="s">
        <v>634</v>
      </c>
      <c r="S134" s="32"/>
    </row>
    <row r="135" spans="1:19" x14ac:dyDescent="0.3">
      <c r="A135" t="s">
        <v>13</v>
      </c>
      <c r="B135" t="s">
        <v>14</v>
      </c>
      <c r="C135" s="10" t="s">
        <v>108</v>
      </c>
      <c r="D135" s="11" t="s">
        <v>109</v>
      </c>
      <c r="E135" s="11">
        <v>200000000</v>
      </c>
      <c r="F135" s="10" t="s">
        <v>17</v>
      </c>
      <c r="G135" s="11" t="s">
        <v>18</v>
      </c>
      <c r="H135" s="11">
        <v>28048950</v>
      </c>
      <c r="I135" s="10" t="s">
        <v>17</v>
      </c>
      <c r="J135" s="11" t="s">
        <v>18</v>
      </c>
      <c r="K135" s="11">
        <v>20492024</v>
      </c>
      <c r="L135" s="10" t="s">
        <v>17</v>
      </c>
      <c r="M135" s="11" t="s">
        <v>18</v>
      </c>
      <c r="N135" s="13">
        <f t="shared" si="4"/>
        <v>220492024</v>
      </c>
      <c r="O135" s="12">
        <v>1</v>
      </c>
      <c r="P135" s="13">
        <f t="shared" si="5"/>
        <v>220492024</v>
      </c>
      <c r="Q135" s="12" t="s">
        <v>499</v>
      </c>
      <c r="R135" s="12"/>
      <c r="S135" s="32" t="s">
        <v>816</v>
      </c>
    </row>
    <row r="136" spans="1:19" x14ac:dyDescent="0.3">
      <c r="A136" t="s">
        <v>13</v>
      </c>
      <c r="B136" t="s">
        <v>14</v>
      </c>
      <c r="C136" s="10" t="s">
        <v>273</v>
      </c>
      <c r="D136" s="11" t="s">
        <v>274</v>
      </c>
      <c r="E136" s="11">
        <v>72000000</v>
      </c>
      <c r="F136" s="10" t="s">
        <v>17</v>
      </c>
      <c r="G136" s="11" t="s">
        <v>18</v>
      </c>
      <c r="H136" s="11">
        <v>33810229</v>
      </c>
      <c r="I136" s="10" t="s">
        <v>17</v>
      </c>
      <c r="J136" s="11" t="s">
        <v>18</v>
      </c>
      <c r="K136" s="11">
        <v>46468583</v>
      </c>
      <c r="L136" s="10" t="s">
        <v>17</v>
      </c>
      <c r="M136" s="11" t="s">
        <v>18</v>
      </c>
      <c r="N136" s="13">
        <f t="shared" si="4"/>
        <v>118468583</v>
      </c>
      <c r="O136" s="12">
        <v>1</v>
      </c>
      <c r="P136" s="13">
        <f t="shared" si="5"/>
        <v>118468583</v>
      </c>
      <c r="Q136" s="12" t="s">
        <v>502</v>
      </c>
      <c r="R136" s="12"/>
      <c r="S136" s="32"/>
    </row>
    <row r="137" spans="1:19" x14ac:dyDescent="0.3">
      <c r="A137" t="s">
        <v>13</v>
      </c>
      <c r="B137" t="s">
        <v>14</v>
      </c>
      <c r="C137" s="10" t="s">
        <v>153</v>
      </c>
      <c r="D137" s="11" t="s">
        <v>154</v>
      </c>
      <c r="E137" s="11">
        <v>207255345</v>
      </c>
      <c r="F137" s="10" t="s">
        <v>29</v>
      </c>
      <c r="G137" s="11" t="s">
        <v>18</v>
      </c>
      <c r="H137" s="11">
        <v>34526100</v>
      </c>
      <c r="I137" s="10" t="s">
        <v>29</v>
      </c>
      <c r="J137" s="11" t="s">
        <v>18</v>
      </c>
      <c r="K137" s="11">
        <v>10549900</v>
      </c>
      <c r="L137" s="10" t="s">
        <v>29</v>
      </c>
      <c r="M137" s="11" t="s">
        <v>18</v>
      </c>
      <c r="N137" s="13">
        <f t="shared" si="4"/>
        <v>217805245</v>
      </c>
      <c r="O137" s="12">
        <v>1</v>
      </c>
      <c r="P137" s="13">
        <f t="shared" si="5"/>
        <v>217805245</v>
      </c>
      <c r="Q137" s="12" t="s">
        <v>499</v>
      </c>
      <c r="R137" s="12"/>
      <c r="S137" s="32"/>
    </row>
    <row r="138" spans="1:19" x14ac:dyDescent="0.3">
      <c r="A138" t="s">
        <v>13</v>
      </c>
      <c r="B138" t="s">
        <v>14</v>
      </c>
      <c r="C138" s="10" t="s">
        <v>187</v>
      </c>
      <c r="D138" s="11" t="s">
        <v>188</v>
      </c>
      <c r="E138" s="11">
        <v>212934579</v>
      </c>
      <c r="F138" s="10" t="s">
        <v>116</v>
      </c>
      <c r="G138" s="11" t="s">
        <v>18</v>
      </c>
      <c r="H138" s="11">
        <v>32256900</v>
      </c>
      <c r="I138" s="10" t="s">
        <v>116</v>
      </c>
      <c r="J138" s="11" t="s">
        <v>18</v>
      </c>
      <c r="K138" s="11">
        <v>98997300</v>
      </c>
      <c r="L138" s="10" t="s">
        <v>116</v>
      </c>
      <c r="M138" s="11" t="s">
        <v>18</v>
      </c>
      <c r="N138" s="13">
        <f t="shared" si="4"/>
        <v>311931879</v>
      </c>
      <c r="O138" s="12">
        <v>1</v>
      </c>
      <c r="P138" s="13">
        <f t="shared" si="5"/>
        <v>311931879</v>
      </c>
      <c r="Q138" s="12" t="s">
        <v>502</v>
      </c>
      <c r="R138" s="12"/>
      <c r="S138" s="32"/>
    </row>
    <row r="139" spans="1:19" x14ac:dyDescent="0.3">
      <c r="A139" t="s">
        <v>13</v>
      </c>
      <c r="B139" t="s">
        <v>14</v>
      </c>
      <c r="C139" s="10" t="s">
        <v>255</v>
      </c>
      <c r="D139" s="11" t="s">
        <v>256</v>
      </c>
      <c r="E139" s="11">
        <v>200000000</v>
      </c>
      <c r="F139" s="10" t="s">
        <v>17</v>
      </c>
      <c r="G139" s="11" t="s">
        <v>18</v>
      </c>
      <c r="H139" s="11">
        <v>3811927</v>
      </c>
      <c r="I139" s="10" t="s">
        <v>17</v>
      </c>
      <c r="J139" s="11" t="s">
        <v>18</v>
      </c>
      <c r="K139" s="11">
        <v>17761503</v>
      </c>
      <c r="L139" s="10" t="s">
        <v>17</v>
      </c>
      <c r="M139" s="11" t="s">
        <v>18</v>
      </c>
      <c r="N139" s="13">
        <f t="shared" si="4"/>
        <v>217761503</v>
      </c>
      <c r="O139" s="12">
        <v>1</v>
      </c>
      <c r="P139" s="13">
        <f t="shared" si="5"/>
        <v>217761503</v>
      </c>
      <c r="Q139" s="12" t="s">
        <v>502</v>
      </c>
      <c r="R139" s="12"/>
      <c r="S139" s="32"/>
    </row>
    <row r="140" spans="1:19" x14ac:dyDescent="0.3">
      <c r="A140" t="s">
        <v>13</v>
      </c>
      <c r="B140" t="s">
        <v>14</v>
      </c>
      <c r="C140" s="10" t="s">
        <v>127</v>
      </c>
      <c r="D140" s="11" t="s">
        <v>128</v>
      </c>
      <c r="E140" s="11">
        <v>120000000</v>
      </c>
      <c r="F140" s="10" t="s">
        <v>17</v>
      </c>
      <c r="G140" s="11" t="s">
        <v>18</v>
      </c>
      <c r="H140" s="11">
        <v>2687438</v>
      </c>
      <c r="I140" s="10" t="s">
        <v>17</v>
      </c>
      <c r="J140" s="11" t="s">
        <v>18</v>
      </c>
      <c r="K140" s="11">
        <v>93130407</v>
      </c>
      <c r="L140" s="10" t="s">
        <v>17</v>
      </c>
      <c r="M140" s="11" t="s">
        <v>18</v>
      </c>
      <c r="N140" s="13">
        <f t="shared" si="4"/>
        <v>213130407</v>
      </c>
      <c r="O140" s="12">
        <v>1</v>
      </c>
      <c r="P140" s="13">
        <f t="shared" si="5"/>
        <v>213130407</v>
      </c>
      <c r="Q140" s="12"/>
      <c r="R140" s="12" t="s">
        <v>637</v>
      </c>
      <c r="S140" s="32"/>
    </row>
    <row r="141" spans="1:19" x14ac:dyDescent="0.3">
      <c r="A141" t="s">
        <v>13</v>
      </c>
      <c r="B141" t="s">
        <v>14</v>
      </c>
      <c r="C141" s="10" t="s">
        <v>159</v>
      </c>
      <c r="D141" s="11" t="s">
        <v>160</v>
      </c>
      <c r="E141" s="11">
        <v>700000</v>
      </c>
      <c r="F141" s="10" t="s">
        <v>17</v>
      </c>
      <c r="G141" s="11" t="s">
        <v>18</v>
      </c>
      <c r="H141" s="11">
        <v>19335588</v>
      </c>
      <c r="I141" s="10" t="s">
        <v>17</v>
      </c>
      <c r="J141" s="11" t="s">
        <v>18</v>
      </c>
      <c r="K141" s="11">
        <v>211547473</v>
      </c>
      <c r="L141" s="10" t="s">
        <v>17</v>
      </c>
      <c r="M141" s="11" t="s">
        <v>18</v>
      </c>
      <c r="N141" s="13">
        <f t="shared" si="4"/>
        <v>212247473</v>
      </c>
      <c r="O141" s="12">
        <v>1</v>
      </c>
      <c r="P141" s="13">
        <f t="shared" si="5"/>
        <v>212247473</v>
      </c>
      <c r="Q141" s="12"/>
      <c r="R141" s="12" t="s">
        <v>635</v>
      </c>
      <c r="S141" s="32"/>
    </row>
    <row r="142" spans="1:19" x14ac:dyDescent="0.3">
      <c r="A142" t="s">
        <v>13</v>
      </c>
      <c r="B142" t="s">
        <v>14</v>
      </c>
      <c r="C142" s="10" t="s">
        <v>456</v>
      </c>
      <c r="D142" s="11" t="s">
        <v>457</v>
      </c>
      <c r="E142" s="11">
        <v>150000000</v>
      </c>
      <c r="F142" s="10" t="s">
        <v>17</v>
      </c>
      <c r="G142" s="11" t="s">
        <v>18</v>
      </c>
      <c r="H142" s="11">
        <v>15373849</v>
      </c>
      <c r="I142" s="10" t="s">
        <v>17</v>
      </c>
      <c r="J142" s="11" t="s">
        <v>18</v>
      </c>
      <c r="K142" s="11">
        <v>60079972</v>
      </c>
      <c r="L142" s="10" t="s">
        <v>17</v>
      </c>
      <c r="M142" s="11" t="s">
        <v>18</v>
      </c>
      <c r="N142" s="13">
        <f t="shared" si="4"/>
        <v>210079972</v>
      </c>
      <c r="O142" s="12">
        <v>1</v>
      </c>
      <c r="P142" s="13">
        <f t="shared" si="5"/>
        <v>210079972</v>
      </c>
      <c r="Q142" s="12"/>
      <c r="R142" s="12" t="s">
        <v>567</v>
      </c>
      <c r="S142" s="32"/>
    </row>
    <row r="143" spans="1:19" x14ac:dyDescent="0.3">
      <c r="A143" t="s">
        <v>13</v>
      </c>
      <c r="B143" t="s">
        <v>14</v>
      </c>
      <c r="C143" s="10" t="s">
        <v>354</v>
      </c>
      <c r="D143" s="11" t="s">
        <v>355</v>
      </c>
      <c r="E143" s="11">
        <v>159143633</v>
      </c>
      <c r="F143" s="10" t="s">
        <v>17</v>
      </c>
      <c r="G143" s="11" t="s">
        <v>18</v>
      </c>
      <c r="H143" s="11">
        <v>42270510</v>
      </c>
      <c r="I143" s="10" t="s">
        <v>17</v>
      </c>
      <c r="J143" s="11" t="s">
        <v>18</v>
      </c>
      <c r="K143" s="11">
        <v>47441902</v>
      </c>
      <c r="L143" s="10" t="s">
        <v>17</v>
      </c>
      <c r="M143" s="11" t="s">
        <v>18</v>
      </c>
      <c r="N143" s="13">
        <f t="shared" si="4"/>
        <v>206585535</v>
      </c>
      <c r="O143" s="12">
        <v>1</v>
      </c>
      <c r="P143" s="13">
        <f t="shared" si="5"/>
        <v>206585535</v>
      </c>
      <c r="Q143" s="12" t="s">
        <v>502</v>
      </c>
      <c r="R143" s="12"/>
      <c r="S143" s="32"/>
    </row>
    <row r="144" spans="1:19" x14ac:dyDescent="0.3">
      <c r="A144" t="s">
        <v>13</v>
      </c>
      <c r="B144" t="s">
        <v>14</v>
      </c>
      <c r="C144" s="10" t="s">
        <v>56</v>
      </c>
      <c r="D144" s="11" t="s">
        <v>57</v>
      </c>
      <c r="E144" s="11">
        <v>200000000</v>
      </c>
      <c r="F144" s="10" t="s">
        <v>17</v>
      </c>
      <c r="G144" s="11" t="s">
        <v>18</v>
      </c>
      <c r="H144" s="11">
        <v>35003761</v>
      </c>
      <c r="I144" s="10" t="s">
        <v>17</v>
      </c>
      <c r="J144" s="11" t="s">
        <v>18</v>
      </c>
      <c r="K144" s="11">
        <v>750976</v>
      </c>
      <c r="L144" s="10" t="s">
        <v>17</v>
      </c>
      <c r="M144" s="11" t="s">
        <v>18</v>
      </c>
      <c r="N144" s="13">
        <f t="shared" si="4"/>
        <v>200750976</v>
      </c>
      <c r="O144" s="12">
        <v>1</v>
      </c>
      <c r="P144" s="13">
        <f t="shared" si="5"/>
        <v>200750976</v>
      </c>
      <c r="Q144" s="12"/>
      <c r="R144" s="12"/>
      <c r="S144" s="32"/>
    </row>
    <row r="145" spans="1:19" x14ac:dyDescent="0.3">
      <c r="A145" t="s">
        <v>13</v>
      </c>
      <c r="B145" t="s">
        <v>14</v>
      </c>
      <c r="C145" s="10" t="s">
        <v>210</v>
      </c>
      <c r="D145" s="11" t="s">
        <v>211</v>
      </c>
      <c r="E145" s="11">
        <v>150661497</v>
      </c>
      <c r="F145" s="10" t="s">
        <v>17</v>
      </c>
      <c r="G145" s="11" t="s">
        <v>18</v>
      </c>
      <c r="H145" s="11">
        <v>44861343</v>
      </c>
      <c r="I145" s="10" t="s">
        <v>17</v>
      </c>
      <c r="J145" s="11" t="s">
        <v>18</v>
      </c>
      <c r="K145" s="11">
        <v>48610008</v>
      </c>
      <c r="L145" s="10" t="s">
        <v>17</v>
      </c>
      <c r="M145" s="11" t="s">
        <v>18</v>
      </c>
      <c r="N145" s="13">
        <f t="shared" si="4"/>
        <v>199271505</v>
      </c>
      <c r="O145" s="12">
        <v>1</v>
      </c>
      <c r="P145" s="13">
        <f t="shared" si="5"/>
        <v>199271505</v>
      </c>
      <c r="Q145" s="12"/>
      <c r="R145" s="12"/>
      <c r="S145" s="32"/>
    </row>
    <row r="146" spans="1:19" x14ac:dyDescent="0.3">
      <c r="A146" t="s">
        <v>13</v>
      </c>
      <c r="B146" t="s">
        <v>14</v>
      </c>
      <c r="C146" s="10" t="s">
        <v>235</v>
      </c>
      <c r="D146" s="11" t="s">
        <v>236</v>
      </c>
      <c r="E146" s="11">
        <v>165897415</v>
      </c>
      <c r="F146" s="10" t="s">
        <v>232</v>
      </c>
      <c r="G146" s="11" t="s">
        <v>18</v>
      </c>
      <c r="H146" s="11">
        <v>61213300</v>
      </c>
      <c r="I146" s="10" t="s">
        <v>232</v>
      </c>
      <c r="J146" s="11" t="s">
        <v>18</v>
      </c>
      <c r="K146" s="11">
        <v>31329600</v>
      </c>
      <c r="L146" s="10" t="s">
        <v>232</v>
      </c>
      <c r="M146" s="11" t="s">
        <v>18</v>
      </c>
      <c r="N146" s="13">
        <f t="shared" si="4"/>
        <v>197227015</v>
      </c>
      <c r="O146" s="12">
        <v>1</v>
      </c>
      <c r="P146" s="13">
        <f t="shared" si="5"/>
        <v>197227015</v>
      </c>
      <c r="Q146" s="12"/>
      <c r="R146" s="12"/>
      <c r="S146" s="32"/>
    </row>
    <row r="147" spans="1:19" x14ac:dyDescent="0.3">
      <c r="A147" t="s">
        <v>13</v>
      </c>
      <c r="B147" t="s">
        <v>14</v>
      </c>
      <c r="C147" s="10" t="s">
        <v>406</v>
      </c>
      <c r="D147" s="11" t="s">
        <v>407</v>
      </c>
      <c r="E147" s="11">
        <v>160000000</v>
      </c>
      <c r="F147" s="10" t="s">
        <v>17</v>
      </c>
      <c r="G147" s="11" t="s">
        <v>18</v>
      </c>
      <c r="H147" s="11">
        <v>9378995</v>
      </c>
      <c r="I147" s="10" t="s">
        <v>17</v>
      </c>
      <c r="J147" s="11" t="s">
        <v>18</v>
      </c>
      <c r="K147" s="11">
        <v>36797192</v>
      </c>
      <c r="L147" s="10" t="s">
        <v>17</v>
      </c>
      <c r="M147" s="11" t="s">
        <v>18</v>
      </c>
      <c r="N147" s="13">
        <f t="shared" si="4"/>
        <v>196797192</v>
      </c>
      <c r="O147" s="12">
        <v>1</v>
      </c>
      <c r="P147" s="13">
        <f t="shared" si="5"/>
        <v>196797192</v>
      </c>
      <c r="Q147" s="12"/>
      <c r="R147" s="12" t="s">
        <v>568</v>
      </c>
      <c r="S147" s="32"/>
    </row>
    <row r="148" spans="1:19" x14ac:dyDescent="0.3">
      <c r="A148" t="s">
        <v>13</v>
      </c>
      <c r="B148" t="s">
        <v>14</v>
      </c>
      <c r="C148" s="10" t="s">
        <v>373</v>
      </c>
      <c r="D148" s="11" t="s">
        <v>374</v>
      </c>
      <c r="E148" s="11">
        <v>123233199</v>
      </c>
      <c r="F148" s="10" t="s">
        <v>17</v>
      </c>
      <c r="G148" s="11" t="s">
        <v>18</v>
      </c>
      <c r="H148" s="11">
        <v>10591366</v>
      </c>
      <c r="I148" s="10" t="s">
        <v>17</v>
      </c>
      <c r="J148" s="11" t="s">
        <v>18</v>
      </c>
      <c r="K148" s="11">
        <v>71601101</v>
      </c>
      <c r="L148" s="10" t="s">
        <v>17</v>
      </c>
      <c r="M148" s="11" t="s">
        <v>18</v>
      </c>
      <c r="N148" s="13">
        <f t="shared" si="4"/>
        <v>194834300</v>
      </c>
      <c r="O148" s="12">
        <v>1</v>
      </c>
      <c r="P148" s="13">
        <f t="shared" si="5"/>
        <v>194834300</v>
      </c>
      <c r="Q148" s="12"/>
      <c r="R148" s="12"/>
      <c r="S148" s="32"/>
    </row>
    <row r="149" spans="1:19" x14ac:dyDescent="0.3">
      <c r="A149" t="s">
        <v>13</v>
      </c>
      <c r="B149" t="s">
        <v>14</v>
      </c>
      <c r="C149" s="10" t="s">
        <v>442</v>
      </c>
      <c r="D149" s="11" t="s">
        <v>443</v>
      </c>
      <c r="E149" s="11">
        <v>180000000</v>
      </c>
      <c r="F149" s="10" t="s">
        <v>17</v>
      </c>
      <c r="G149" s="11" t="s">
        <v>18</v>
      </c>
      <c r="H149" s="11">
        <v>21928574</v>
      </c>
      <c r="I149" s="10" t="s">
        <v>17</v>
      </c>
      <c r="J149" s="11" t="s">
        <v>18</v>
      </c>
      <c r="K149" s="11">
        <v>8808599</v>
      </c>
      <c r="L149" s="10" t="s">
        <v>17</v>
      </c>
      <c r="M149" s="11" t="s">
        <v>18</v>
      </c>
      <c r="N149" s="13">
        <f t="shared" si="4"/>
        <v>188808599</v>
      </c>
      <c r="O149" s="12">
        <v>1</v>
      </c>
      <c r="P149" s="13">
        <f t="shared" si="5"/>
        <v>188808599</v>
      </c>
      <c r="Q149" s="12"/>
      <c r="R149" s="12"/>
      <c r="S149" s="32"/>
    </row>
    <row r="150" spans="1:19" x14ac:dyDescent="0.3">
      <c r="A150" t="s">
        <v>13</v>
      </c>
      <c r="B150" t="s">
        <v>14</v>
      </c>
      <c r="C150" s="10" t="s">
        <v>293</v>
      </c>
      <c r="D150" s="11" t="s">
        <v>294</v>
      </c>
      <c r="E150" s="11">
        <v>178911620</v>
      </c>
      <c r="F150" s="10" t="s">
        <v>17</v>
      </c>
      <c r="G150" s="11" t="s">
        <v>18</v>
      </c>
      <c r="H150" s="11">
        <v>49951300</v>
      </c>
      <c r="I150" s="10" t="s">
        <v>195</v>
      </c>
      <c r="J150" s="11" t="s">
        <v>18</v>
      </c>
      <c r="K150" s="11">
        <v>9857800</v>
      </c>
      <c r="L150" s="10" t="s">
        <v>195</v>
      </c>
      <c r="M150" s="11" t="s">
        <v>18</v>
      </c>
      <c r="N150" s="13">
        <f t="shared" si="4"/>
        <v>188769420</v>
      </c>
      <c r="O150" s="12">
        <v>1</v>
      </c>
      <c r="P150" s="13">
        <f t="shared" si="5"/>
        <v>188769420</v>
      </c>
      <c r="Q150" s="12"/>
      <c r="R150" s="12"/>
      <c r="S150" s="32"/>
    </row>
    <row r="151" spans="1:19" x14ac:dyDescent="0.3">
      <c r="A151" t="s">
        <v>13</v>
      </c>
      <c r="B151" t="s">
        <v>14</v>
      </c>
      <c r="C151" s="10" t="s">
        <v>313</v>
      </c>
      <c r="D151" s="11" t="s">
        <v>314</v>
      </c>
      <c r="E151" s="11">
        <v>82720305</v>
      </c>
      <c r="F151" s="10" t="s">
        <v>17</v>
      </c>
      <c r="G151" s="11" t="s">
        <v>18</v>
      </c>
      <c r="H151" s="11">
        <v>76019182</v>
      </c>
      <c r="I151" s="10" t="s">
        <v>17</v>
      </c>
      <c r="J151" s="11" t="s">
        <v>18</v>
      </c>
      <c r="K151" s="11">
        <v>86888111</v>
      </c>
      <c r="L151" s="10" t="s">
        <v>17</v>
      </c>
      <c r="M151" s="11" t="s">
        <v>18</v>
      </c>
      <c r="N151" s="13">
        <f t="shared" si="4"/>
        <v>169608416</v>
      </c>
      <c r="O151" s="12">
        <v>1</v>
      </c>
      <c r="P151" s="13">
        <f t="shared" si="5"/>
        <v>169608416</v>
      </c>
      <c r="Q151" s="12"/>
      <c r="R151" s="12"/>
      <c r="S151" s="32"/>
    </row>
    <row r="152" spans="1:19" x14ac:dyDescent="0.3">
      <c r="A152" t="s">
        <v>13</v>
      </c>
      <c r="B152" t="s">
        <v>14</v>
      </c>
      <c r="C152" s="10" t="s">
        <v>169</v>
      </c>
      <c r="D152" s="11" t="s">
        <v>170</v>
      </c>
      <c r="E152" s="11">
        <v>150000000</v>
      </c>
      <c r="F152" s="10" t="s">
        <v>17</v>
      </c>
      <c r="G152" s="11" t="s">
        <v>18</v>
      </c>
      <c r="H152" s="11">
        <v>7714545</v>
      </c>
      <c r="I152" s="10" t="s">
        <v>17</v>
      </c>
      <c r="J152" s="11" t="s">
        <v>18</v>
      </c>
      <c r="K152" s="11">
        <v>18893398</v>
      </c>
      <c r="L152" s="10" t="s">
        <v>17</v>
      </c>
      <c r="M152" s="11" t="s">
        <v>18</v>
      </c>
      <c r="N152" s="13">
        <f t="shared" si="4"/>
        <v>168893398</v>
      </c>
      <c r="O152" s="12">
        <v>1</v>
      </c>
      <c r="P152" s="13">
        <f t="shared" si="5"/>
        <v>168893398</v>
      </c>
      <c r="Q152" s="12"/>
      <c r="R152" s="12"/>
      <c r="S152" s="32"/>
    </row>
    <row r="153" spans="1:19" x14ac:dyDescent="0.3">
      <c r="A153" t="s">
        <v>13</v>
      </c>
      <c r="B153" t="s">
        <v>14</v>
      </c>
      <c r="C153" s="10" t="s">
        <v>135</v>
      </c>
      <c r="D153" s="11" t="s">
        <v>136</v>
      </c>
      <c r="E153" s="11">
        <v>102290489</v>
      </c>
      <c r="F153" s="10" t="s">
        <v>17</v>
      </c>
      <c r="G153" s="11" t="s">
        <v>18</v>
      </c>
      <c r="H153" s="11">
        <v>4554820</v>
      </c>
      <c r="I153" s="10" t="s">
        <v>17</v>
      </c>
      <c r="J153" s="11" t="s">
        <v>18</v>
      </c>
      <c r="K153" s="11">
        <v>66430565</v>
      </c>
      <c r="L153" s="10" t="s">
        <v>17</v>
      </c>
      <c r="M153" s="11" t="s">
        <v>18</v>
      </c>
      <c r="N153" s="13">
        <f t="shared" si="4"/>
        <v>168721054</v>
      </c>
      <c r="O153" s="12">
        <v>1</v>
      </c>
      <c r="P153" s="13">
        <f t="shared" si="5"/>
        <v>168721054</v>
      </c>
      <c r="Q153" s="12"/>
      <c r="R153" s="12"/>
      <c r="S153" s="32"/>
    </row>
    <row r="154" spans="1:19" x14ac:dyDescent="0.3">
      <c r="A154" t="s">
        <v>13</v>
      </c>
      <c r="B154" t="s">
        <v>14</v>
      </c>
      <c r="C154" s="10" t="s">
        <v>74</v>
      </c>
      <c r="D154" s="11" t="s">
        <v>75</v>
      </c>
      <c r="E154" s="11">
        <v>132687216</v>
      </c>
      <c r="F154" s="10" t="s">
        <v>17</v>
      </c>
      <c r="G154" s="11" t="s">
        <v>18</v>
      </c>
      <c r="H154" s="11">
        <v>58751441</v>
      </c>
      <c r="I154" s="10" t="s">
        <v>17</v>
      </c>
      <c r="J154" s="11" t="s">
        <v>18</v>
      </c>
      <c r="K154" s="11">
        <v>15893013</v>
      </c>
      <c r="L154" s="10" t="s">
        <v>17</v>
      </c>
      <c r="M154" s="11" t="s">
        <v>18</v>
      </c>
      <c r="N154" s="13">
        <f t="shared" si="4"/>
        <v>148580229</v>
      </c>
      <c r="O154" s="12">
        <v>1</v>
      </c>
      <c r="P154" s="13">
        <f t="shared" si="5"/>
        <v>148580229</v>
      </c>
      <c r="Q154" s="12"/>
      <c r="R154" s="12"/>
      <c r="S154" s="32"/>
    </row>
    <row r="155" spans="1:19" x14ac:dyDescent="0.3">
      <c r="A155" t="s">
        <v>13</v>
      </c>
      <c r="B155" t="s">
        <v>14</v>
      </c>
      <c r="C155" s="10" t="s">
        <v>485</v>
      </c>
      <c r="D155" s="11" t="s">
        <v>486</v>
      </c>
      <c r="E155" s="11">
        <v>140000000</v>
      </c>
      <c r="F155" s="10" t="s">
        <v>17</v>
      </c>
      <c r="G155" s="11" t="s">
        <v>18</v>
      </c>
      <c r="H155" s="11">
        <v>5738615</v>
      </c>
      <c r="I155" s="10" t="s">
        <v>17</v>
      </c>
      <c r="J155" s="11" t="s">
        <v>18</v>
      </c>
      <c r="K155" s="11">
        <v>6538914</v>
      </c>
      <c r="L155" s="10" t="s">
        <v>17</v>
      </c>
      <c r="M155" s="11" t="s">
        <v>18</v>
      </c>
      <c r="N155" s="13">
        <f t="shared" si="4"/>
        <v>146538914</v>
      </c>
      <c r="O155" s="12">
        <v>1</v>
      </c>
      <c r="P155" s="13">
        <f t="shared" si="5"/>
        <v>146538914</v>
      </c>
      <c r="Q155" s="12"/>
      <c r="R155" s="12"/>
      <c r="S155" s="32"/>
    </row>
    <row r="156" spans="1:19" x14ac:dyDescent="0.3">
      <c r="A156" t="s">
        <v>13</v>
      </c>
      <c r="B156" t="s">
        <v>14</v>
      </c>
      <c r="C156" s="10" t="s">
        <v>489</v>
      </c>
      <c r="D156" s="11" t="s">
        <v>490</v>
      </c>
      <c r="E156" s="11">
        <v>120000000</v>
      </c>
      <c r="F156" s="10" t="s">
        <v>17</v>
      </c>
      <c r="G156" s="11" t="s">
        <v>18</v>
      </c>
      <c r="H156" s="11">
        <v>21611546</v>
      </c>
      <c r="I156" s="10" t="s">
        <v>17</v>
      </c>
      <c r="J156" s="11" t="s">
        <v>18</v>
      </c>
      <c r="K156" s="11">
        <v>23332447</v>
      </c>
      <c r="L156" s="10" t="s">
        <v>17</v>
      </c>
      <c r="M156" s="11" t="s">
        <v>18</v>
      </c>
      <c r="N156" s="13">
        <f t="shared" si="4"/>
        <v>143332447</v>
      </c>
      <c r="O156" s="12">
        <v>1</v>
      </c>
      <c r="P156" s="13">
        <f t="shared" si="5"/>
        <v>143332447</v>
      </c>
      <c r="Q156" s="12"/>
      <c r="R156" s="12"/>
      <c r="S156" s="32"/>
    </row>
    <row r="157" spans="1:19" x14ac:dyDescent="0.3">
      <c r="A157" t="s">
        <v>13</v>
      </c>
      <c r="B157" t="s">
        <v>14</v>
      </c>
      <c r="C157" s="10" t="s">
        <v>173</v>
      </c>
      <c r="D157" s="11" t="s">
        <v>174</v>
      </c>
      <c r="E157" s="11">
        <v>132300000</v>
      </c>
      <c r="F157" s="10" t="s">
        <v>17</v>
      </c>
      <c r="G157" s="11" t="s">
        <v>18</v>
      </c>
      <c r="H157" s="11">
        <v>5968496</v>
      </c>
      <c r="I157" s="10" t="s">
        <v>17</v>
      </c>
      <c r="J157" s="11" t="s">
        <v>18</v>
      </c>
      <c r="K157" s="11">
        <v>6324956</v>
      </c>
      <c r="L157" s="10" t="s">
        <v>17</v>
      </c>
      <c r="M157" s="11" t="s">
        <v>18</v>
      </c>
      <c r="N157" s="13">
        <f t="shared" si="4"/>
        <v>138624956</v>
      </c>
      <c r="O157" s="12">
        <v>1</v>
      </c>
      <c r="P157" s="13">
        <f t="shared" si="5"/>
        <v>138624956</v>
      </c>
      <c r="Q157" s="12"/>
      <c r="R157" s="12"/>
      <c r="S157" s="32"/>
    </row>
    <row r="158" spans="1:19" x14ac:dyDescent="0.3">
      <c r="A158" t="s">
        <v>13</v>
      </c>
      <c r="B158" t="s">
        <v>14</v>
      </c>
      <c r="C158" s="10" t="s">
        <v>54</v>
      </c>
      <c r="D158" s="11" t="s">
        <v>55</v>
      </c>
      <c r="E158" s="11">
        <v>515000000</v>
      </c>
      <c r="F158" s="10" t="s">
        <v>17</v>
      </c>
      <c r="G158" s="11" t="s">
        <v>18</v>
      </c>
      <c r="H158" s="11">
        <v>20646489</v>
      </c>
      <c r="I158" s="10" t="s">
        <v>17</v>
      </c>
      <c r="J158" s="11" t="s">
        <v>18</v>
      </c>
      <c r="K158" s="11">
        <v>20366336</v>
      </c>
      <c r="L158" s="10" t="s">
        <v>17</v>
      </c>
      <c r="M158" s="11" t="s">
        <v>18</v>
      </c>
      <c r="N158" s="13">
        <f t="shared" si="4"/>
        <v>535366336</v>
      </c>
      <c r="O158" s="12">
        <v>1</v>
      </c>
      <c r="P158" s="13">
        <f t="shared" si="5"/>
        <v>535366336</v>
      </c>
      <c r="Q158" s="12" t="s">
        <v>502</v>
      </c>
      <c r="R158" s="12"/>
      <c r="S158" s="32"/>
    </row>
    <row r="159" spans="1:19" x14ac:dyDescent="0.3">
      <c r="A159" t="s">
        <v>13</v>
      </c>
      <c r="B159" t="s">
        <v>14</v>
      </c>
      <c r="C159" s="10" t="s">
        <v>181</v>
      </c>
      <c r="D159" s="11" t="s">
        <v>182</v>
      </c>
      <c r="E159" s="11">
        <v>122928865</v>
      </c>
      <c r="F159" s="10" t="s">
        <v>17</v>
      </c>
      <c r="G159" s="11" t="s">
        <v>18</v>
      </c>
      <c r="H159" s="11">
        <v>2378138</v>
      </c>
      <c r="I159" s="10" t="s">
        <v>17</v>
      </c>
      <c r="J159" s="11" t="s">
        <v>18</v>
      </c>
      <c r="K159" s="11">
        <v>10477763</v>
      </c>
      <c r="L159" s="10" t="s">
        <v>17</v>
      </c>
      <c r="M159" s="11" t="s">
        <v>18</v>
      </c>
      <c r="N159" s="13">
        <f t="shared" si="4"/>
        <v>133406628</v>
      </c>
      <c r="O159" s="12">
        <v>1</v>
      </c>
      <c r="P159" s="13">
        <f t="shared" si="5"/>
        <v>133406628</v>
      </c>
      <c r="Q159" s="12"/>
      <c r="R159" s="12"/>
      <c r="S159" s="32"/>
    </row>
    <row r="160" spans="1:19" x14ac:dyDescent="0.3">
      <c r="A160" t="s">
        <v>13</v>
      </c>
      <c r="B160" t="s">
        <v>14</v>
      </c>
      <c r="C160" s="10" t="s">
        <v>86</v>
      </c>
      <c r="D160" s="11" t="s">
        <v>87</v>
      </c>
      <c r="E160" s="11">
        <v>112742460</v>
      </c>
      <c r="F160" s="10" t="s">
        <v>17</v>
      </c>
      <c r="G160" s="11" t="s">
        <v>18</v>
      </c>
      <c r="H160" s="11">
        <v>67511614</v>
      </c>
      <c r="I160" s="10" t="s">
        <v>17</v>
      </c>
      <c r="J160" s="11" t="s">
        <v>18</v>
      </c>
      <c r="K160" s="11">
        <v>20343427</v>
      </c>
      <c r="L160" s="10" t="s">
        <v>17</v>
      </c>
      <c r="M160" s="11" t="s">
        <v>18</v>
      </c>
      <c r="N160" s="13">
        <f t="shared" si="4"/>
        <v>133085887</v>
      </c>
      <c r="O160" s="12">
        <v>1</v>
      </c>
      <c r="P160" s="13">
        <f t="shared" si="5"/>
        <v>133085887</v>
      </c>
      <c r="Q160" s="12"/>
      <c r="R160" s="12"/>
      <c r="S160" s="32"/>
    </row>
    <row r="161" spans="1:19" x14ac:dyDescent="0.3">
      <c r="A161" t="s">
        <v>13</v>
      </c>
      <c r="B161" t="s">
        <v>14</v>
      </c>
      <c r="C161" s="10" t="s">
        <v>112</v>
      </c>
      <c r="D161" s="11" t="s">
        <v>113</v>
      </c>
      <c r="E161" s="11">
        <v>100000000</v>
      </c>
      <c r="F161" s="10" t="s">
        <v>17</v>
      </c>
      <c r="G161" s="11" t="s">
        <v>18</v>
      </c>
      <c r="H161" s="11">
        <v>241469</v>
      </c>
      <c r="I161" s="10" t="s">
        <v>17</v>
      </c>
      <c r="J161" s="11" t="s">
        <v>18</v>
      </c>
      <c r="K161" s="11">
        <v>31921018</v>
      </c>
      <c r="L161" s="10" t="s">
        <v>17</v>
      </c>
      <c r="M161" s="11" t="s">
        <v>18</v>
      </c>
      <c r="N161" s="13">
        <f t="shared" si="4"/>
        <v>131921018</v>
      </c>
      <c r="O161" s="12">
        <v>1</v>
      </c>
      <c r="P161" s="13">
        <f t="shared" si="5"/>
        <v>131921018</v>
      </c>
      <c r="Q161" s="12"/>
      <c r="R161" s="12"/>
      <c r="S161" s="32"/>
    </row>
    <row r="162" spans="1:19" x14ac:dyDescent="0.3">
      <c r="A162" t="s">
        <v>13</v>
      </c>
      <c r="B162" t="s">
        <v>14</v>
      </c>
      <c r="C162" s="10" t="s">
        <v>369</v>
      </c>
      <c r="D162" s="11" t="s">
        <v>370</v>
      </c>
      <c r="E162" s="11">
        <v>119514495</v>
      </c>
      <c r="F162" s="10" t="s">
        <v>17</v>
      </c>
      <c r="G162" s="11" t="s">
        <v>18</v>
      </c>
      <c r="H162" s="11">
        <v>23332590</v>
      </c>
      <c r="I162" s="10" t="s">
        <v>17</v>
      </c>
      <c r="J162" s="11" t="s">
        <v>18</v>
      </c>
      <c r="K162" s="11">
        <v>9009341</v>
      </c>
      <c r="L162" s="10" t="s">
        <v>17</v>
      </c>
      <c r="M162" s="11" t="s">
        <v>18</v>
      </c>
      <c r="N162" s="13">
        <f t="shared" si="4"/>
        <v>128523836</v>
      </c>
      <c r="O162" s="12">
        <v>1</v>
      </c>
      <c r="P162" s="13">
        <f t="shared" si="5"/>
        <v>128523836</v>
      </c>
      <c r="Q162" s="12"/>
      <c r="R162" s="12"/>
      <c r="S162" s="32"/>
    </row>
    <row r="163" spans="1:19" x14ac:dyDescent="0.3">
      <c r="A163" t="s">
        <v>13</v>
      </c>
      <c r="B163" t="s">
        <v>14</v>
      </c>
      <c r="C163" s="10" t="s">
        <v>137</v>
      </c>
      <c r="D163" s="11" t="s">
        <v>138</v>
      </c>
      <c r="E163" s="11">
        <v>123038110</v>
      </c>
      <c r="F163" s="10" t="s">
        <v>17</v>
      </c>
      <c r="G163" s="11" t="s">
        <v>18</v>
      </c>
      <c r="H163" s="11">
        <v>39590439</v>
      </c>
      <c r="I163" s="10" t="s">
        <v>17</v>
      </c>
      <c r="J163" s="11" t="s">
        <v>18</v>
      </c>
      <c r="K163" s="11">
        <v>1845019</v>
      </c>
      <c r="L163" s="10" t="s">
        <v>17</v>
      </c>
      <c r="M163" s="11" t="s">
        <v>18</v>
      </c>
      <c r="N163" s="13">
        <f t="shared" si="4"/>
        <v>124883129</v>
      </c>
      <c r="O163" s="12">
        <v>1</v>
      </c>
      <c r="P163" s="13">
        <f t="shared" si="5"/>
        <v>124883129</v>
      </c>
      <c r="Q163" s="12"/>
      <c r="R163" s="12"/>
      <c r="S163" s="32"/>
    </row>
    <row r="164" spans="1:19" x14ac:dyDescent="0.3">
      <c r="A164" t="s">
        <v>13</v>
      </c>
      <c r="B164" t="s">
        <v>14</v>
      </c>
      <c r="C164" s="10" t="s">
        <v>72</v>
      </c>
      <c r="D164" s="11" t="s">
        <v>73</v>
      </c>
      <c r="E164" s="11">
        <v>119748902</v>
      </c>
      <c r="F164" s="10" t="s">
        <v>17</v>
      </c>
      <c r="G164" s="11" t="s">
        <v>18</v>
      </c>
      <c r="H164" s="11">
        <v>17064798</v>
      </c>
      <c r="I164" s="10" t="s">
        <v>17</v>
      </c>
      <c r="J164" s="11" t="s">
        <v>18</v>
      </c>
      <c r="K164" s="11">
        <v>4380079</v>
      </c>
      <c r="L164" s="10" t="s">
        <v>17</v>
      </c>
      <c r="M164" s="11" t="s">
        <v>18</v>
      </c>
      <c r="N164" s="13">
        <f t="shared" si="4"/>
        <v>124128981</v>
      </c>
      <c r="O164" s="12">
        <v>1</v>
      </c>
      <c r="P164" s="13">
        <f t="shared" si="5"/>
        <v>124128981</v>
      </c>
      <c r="Q164" s="12"/>
      <c r="R164" s="12"/>
      <c r="S164" s="32"/>
    </row>
    <row r="165" spans="1:19" x14ac:dyDescent="0.3">
      <c r="A165" t="s">
        <v>13</v>
      </c>
      <c r="B165" t="s">
        <v>14</v>
      </c>
      <c r="C165" s="10" t="s">
        <v>228</v>
      </c>
      <c r="D165" s="11" t="s">
        <v>229</v>
      </c>
      <c r="E165" s="11">
        <v>120000000</v>
      </c>
      <c r="F165" s="10" t="s">
        <v>17</v>
      </c>
      <c r="G165" s="11" t="s">
        <v>18</v>
      </c>
      <c r="H165" s="11">
        <v>61541113</v>
      </c>
      <c r="I165" s="10" t="s">
        <v>17</v>
      </c>
      <c r="J165" s="11" t="s">
        <v>18</v>
      </c>
      <c r="K165" s="11">
        <v>3898058</v>
      </c>
      <c r="L165" s="10" t="s">
        <v>17</v>
      </c>
      <c r="M165" s="11" t="s">
        <v>18</v>
      </c>
      <c r="N165" s="13">
        <f t="shared" si="4"/>
        <v>123898058</v>
      </c>
      <c r="O165" s="12">
        <v>1</v>
      </c>
      <c r="P165" s="13">
        <f t="shared" si="5"/>
        <v>123898058</v>
      </c>
      <c r="Q165" s="12"/>
      <c r="R165" s="12"/>
      <c r="S165" s="32"/>
    </row>
    <row r="166" spans="1:19" x14ac:dyDescent="0.3">
      <c r="A166" t="s">
        <v>13</v>
      </c>
      <c r="B166" t="s">
        <v>14</v>
      </c>
      <c r="C166" s="10" t="s">
        <v>76</v>
      </c>
      <c r="D166" s="11" t="s">
        <v>77</v>
      </c>
      <c r="E166" s="11">
        <v>100545055</v>
      </c>
      <c r="F166" s="10" t="s">
        <v>17</v>
      </c>
      <c r="G166" s="11" t="s">
        <v>18</v>
      </c>
      <c r="H166" s="11">
        <v>50904510</v>
      </c>
      <c r="I166" s="10" t="s">
        <v>17</v>
      </c>
      <c r="J166" s="11" t="s">
        <v>18</v>
      </c>
      <c r="K166" s="11">
        <v>16420728</v>
      </c>
      <c r="L166" s="10" t="s">
        <v>17</v>
      </c>
      <c r="M166" s="11" t="s">
        <v>18</v>
      </c>
      <c r="N166" s="13">
        <f t="shared" si="4"/>
        <v>116965783</v>
      </c>
      <c r="O166" s="12">
        <v>1</v>
      </c>
      <c r="P166" s="13">
        <f t="shared" si="5"/>
        <v>116965783</v>
      </c>
      <c r="Q166" s="12"/>
      <c r="R166" s="12"/>
      <c r="S166" s="32"/>
    </row>
    <row r="167" spans="1:19" x14ac:dyDescent="0.3">
      <c r="A167" t="s">
        <v>13</v>
      </c>
      <c r="B167" t="s">
        <v>14</v>
      </c>
      <c r="C167" s="10" t="s">
        <v>331</v>
      </c>
      <c r="D167" s="11" t="s">
        <v>332</v>
      </c>
      <c r="E167" s="11">
        <v>78163759</v>
      </c>
      <c r="F167" s="10" t="s">
        <v>17</v>
      </c>
      <c r="G167" s="11" t="s">
        <v>18</v>
      </c>
      <c r="H167" s="11">
        <v>46224751</v>
      </c>
      <c r="I167" s="10" t="s">
        <v>17</v>
      </c>
      <c r="J167" s="11" t="s">
        <v>18</v>
      </c>
      <c r="K167" s="11">
        <v>36776216</v>
      </c>
      <c r="L167" s="10" t="s">
        <v>17</v>
      </c>
      <c r="M167" s="11" t="s">
        <v>18</v>
      </c>
      <c r="N167" s="13">
        <f t="shared" si="4"/>
        <v>114939975</v>
      </c>
      <c r="O167" s="12">
        <v>1</v>
      </c>
      <c r="P167" s="13">
        <f t="shared" si="5"/>
        <v>114939975</v>
      </c>
      <c r="Q167" s="12"/>
      <c r="R167" s="12"/>
      <c r="S167" s="32"/>
    </row>
    <row r="168" spans="1:19" x14ac:dyDescent="0.3">
      <c r="A168" t="s">
        <v>13</v>
      </c>
      <c r="B168" t="s">
        <v>14</v>
      </c>
      <c r="C168" s="10" t="s">
        <v>208</v>
      </c>
      <c r="D168" s="11" t="s">
        <v>209</v>
      </c>
      <c r="E168" s="11">
        <v>100000000</v>
      </c>
      <c r="F168" s="10" t="s">
        <v>17</v>
      </c>
      <c r="G168" s="11" t="s">
        <v>18</v>
      </c>
      <c r="H168" s="11">
        <v>18627286</v>
      </c>
      <c r="I168" s="10" t="s">
        <v>17</v>
      </c>
      <c r="J168" s="11" t="s">
        <v>18</v>
      </c>
      <c r="K168" s="11">
        <v>13512566</v>
      </c>
      <c r="L168" s="10" t="s">
        <v>17</v>
      </c>
      <c r="M168" s="11" t="s">
        <v>18</v>
      </c>
      <c r="N168" s="13">
        <f t="shared" si="4"/>
        <v>113512566</v>
      </c>
      <c r="O168" s="12">
        <v>1</v>
      </c>
      <c r="P168" s="13">
        <f t="shared" si="5"/>
        <v>113512566</v>
      </c>
      <c r="Q168" s="12"/>
      <c r="R168" s="12"/>
      <c r="S168" s="32"/>
    </row>
    <row r="169" spans="1:19" x14ac:dyDescent="0.3">
      <c r="A169" t="s">
        <v>13</v>
      </c>
      <c r="B169" t="s">
        <v>14</v>
      </c>
      <c r="C169" s="10" t="s">
        <v>216</v>
      </c>
      <c r="D169" s="11" t="s">
        <v>217</v>
      </c>
      <c r="E169" s="11">
        <v>90000000</v>
      </c>
      <c r="F169" s="10" t="s">
        <v>17</v>
      </c>
      <c r="G169" s="11" t="s">
        <v>18</v>
      </c>
      <c r="H169" s="11">
        <v>31346405</v>
      </c>
      <c r="I169" s="10" t="s">
        <v>17</v>
      </c>
      <c r="J169" s="11" t="s">
        <v>18</v>
      </c>
      <c r="K169" s="11">
        <v>15737494</v>
      </c>
      <c r="L169" s="10" t="s">
        <v>17</v>
      </c>
      <c r="M169" s="11" t="s">
        <v>18</v>
      </c>
      <c r="N169" s="13">
        <f t="shared" si="4"/>
        <v>105737494</v>
      </c>
      <c r="O169" s="12">
        <v>1</v>
      </c>
      <c r="P169" s="13">
        <f t="shared" si="5"/>
        <v>105737494</v>
      </c>
      <c r="Q169" s="12"/>
      <c r="R169" s="12"/>
      <c r="S169" s="32"/>
    </row>
    <row r="170" spans="1:19" x14ac:dyDescent="0.3">
      <c r="A170" t="s">
        <v>13</v>
      </c>
      <c r="B170" t="s">
        <v>14</v>
      </c>
      <c r="C170" s="10" t="s">
        <v>58</v>
      </c>
      <c r="D170" s="11" t="s">
        <v>59</v>
      </c>
      <c r="E170" s="11">
        <v>100000000</v>
      </c>
      <c r="F170" s="10" t="s">
        <v>17</v>
      </c>
      <c r="G170" s="11" t="s">
        <v>18</v>
      </c>
      <c r="H170" s="11">
        <v>65279285</v>
      </c>
      <c r="I170" s="10" t="s">
        <v>17</v>
      </c>
      <c r="J170" s="11" t="s">
        <v>18</v>
      </c>
      <c r="K170" s="11">
        <v>4844466</v>
      </c>
      <c r="L170" s="10" t="s">
        <v>17</v>
      </c>
      <c r="M170" s="11" t="s">
        <v>18</v>
      </c>
      <c r="N170" s="13">
        <f t="shared" si="4"/>
        <v>104844466</v>
      </c>
      <c r="O170" s="12">
        <v>1</v>
      </c>
      <c r="P170" s="13">
        <f t="shared" si="5"/>
        <v>104844466</v>
      </c>
      <c r="Q170" s="12"/>
      <c r="R170" s="12"/>
      <c r="S170" s="32"/>
    </row>
    <row r="171" spans="1:19" x14ac:dyDescent="0.3">
      <c r="A171" t="s">
        <v>13</v>
      </c>
      <c r="B171" t="s">
        <v>14</v>
      </c>
      <c r="C171" s="10" t="s">
        <v>305</v>
      </c>
      <c r="D171" s="11" t="s">
        <v>306</v>
      </c>
      <c r="E171" s="11">
        <v>104034435</v>
      </c>
      <c r="F171" s="10" t="s">
        <v>17</v>
      </c>
      <c r="G171" s="11" t="s">
        <v>18</v>
      </c>
      <c r="H171" s="11">
        <v>10270062</v>
      </c>
      <c r="I171" s="10" t="s">
        <v>17</v>
      </c>
      <c r="J171" s="11" t="s">
        <v>18</v>
      </c>
      <c r="K171" s="11">
        <v>806569</v>
      </c>
      <c r="L171" s="10" t="s">
        <v>17</v>
      </c>
      <c r="M171" s="11" t="s">
        <v>18</v>
      </c>
      <c r="N171" s="13">
        <f t="shared" si="4"/>
        <v>104841004</v>
      </c>
      <c r="O171" s="12">
        <v>1</v>
      </c>
      <c r="P171" s="13">
        <f t="shared" si="5"/>
        <v>104841004</v>
      </c>
      <c r="Q171" s="12"/>
      <c r="R171" s="12"/>
      <c r="S171" s="32"/>
    </row>
    <row r="172" spans="1:19" x14ac:dyDescent="0.3">
      <c r="A172" t="s">
        <v>13</v>
      </c>
      <c r="B172" t="s">
        <v>14</v>
      </c>
      <c r="C172" s="10" t="s">
        <v>283</v>
      </c>
      <c r="D172" s="11" t="s">
        <v>284</v>
      </c>
      <c r="E172" s="11">
        <v>55431141</v>
      </c>
      <c r="F172" s="10" t="s">
        <v>17</v>
      </c>
      <c r="G172" s="11" t="s">
        <v>18</v>
      </c>
      <c r="H172" s="11">
        <v>9827075</v>
      </c>
      <c r="I172" s="10" t="s">
        <v>17</v>
      </c>
      <c r="J172" s="11" t="s">
        <v>18</v>
      </c>
      <c r="K172" s="11">
        <v>44877048</v>
      </c>
      <c r="L172" s="10" t="s">
        <v>17</v>
      </c>
      <c r="M172" s="11" t="s">
        <v>18</v>
      </c>
      <c r="N172" s="13">
        <f t="shared" si="4"/>
        <v>100308189</v>
      </c>
      <c r="O172" s="12">
        <v>1</v>
      </c>
      <c r="P172" s="13">
        <f t="shared" si="5"/>
        <v>100308189</v>
      </c>
      <c r="Q172" s="12"/>
      <c r="R172" s="12"/>
      <c r="S172" s="32"/>
    </row>
    <row r="173" spans="1:19" x14ac:dyDescent="0.3">
      <c r="A173" t="s">
        <v>13</v>
      </c>
      <c r="B173" t="s">
        <v>14</v>
      </c>
      <c r="C173" s="10" t="s">
        <v>230</v>
      </c>
      <c r="D173" s="11" t="s">
        <v>231</v>
      </c>
      <c r="E173" s="11">
        <v>64244606</v>
      </c>
      <c r="F173" s="10" t="s">
        <v>232</v>
      </c>
      <c r="G173" s="11" t="s">
        <v>18</v>
      </c>
      <c r="H173" s="11">
        <v>17632100</v>
      </c>
      <c r="I173" s="10" t="s">
        <v>232</v>
      </c>
      <c r="J173" s="11" t="s">
        <v>18</v>
      </c>
      <c r="K173" s="11">
        <v>35202400</v>
      </c>
      <c r="L173" s="10" t="s">
        <v>232</v>
      </c>
      <c r="M173" s="11" t="s">
        <v>18</v>
      </c>
      <c r="N173" s="13">
        <f t="shared" si="4"/>
        <v>99447006</v>
      </c>
      <c r="O173" s="12">
        <v>1</v>
      </c>
      <c r="P173" s="13">
        <f t="shared" si="5"/>
        <v>99447006</v>
      </c>
      <c r="Q173" s="12"/>
      <c r="R173" s="12"/>
      <c r="S173" s="32"/>
    </row>
    <row r="174" spans="1:19" x14ac:dyDescent="0.3">
      <c r="A174" t="s">
        <v>13</v>
      </c>
      <c r="B174" t="s">
        <v>14</v>
      </c>
      <c r="C174" s="10" t="s">
        <v>30</v>
      </c>
      <c r="D174" s="11" t="s">
        <v>31</v>
      </c>
      <c r="E174" s="11">
        <v>70000000</v>
      </c>
      <c r="F174" s="10" t="s">
        <v>29</v>
      </c>
      <c r="G174" s="11" t="s">
        <v>18</v>
      </c>
      <c r="H174" s="11">
        <v>2623900</v>
      </c>
      <c r="I174" s="10" t="s">
        <v>29</v>
      </c>
      <c r="J174" s="11" t="s">
        <v>18</v>
      </c>
      <c r="K174" s="11">
        <v>29385900</v>
      </c>
      <c r="L174" s="10" t="s">
        <v>29</v>
      </c>
      <c r="M174" s="11" t="s">
        <v>18</v>
      </c>
      <c r="N174" s="13">
        <f t="shared" si="4"/>
        <v>99385900</v>
      </c>
      <c r="O174" s="12">
        <v>1</v>
      </c>
      <c r="P174" s="13">
        <f t="shared" si="5"/>
        <v>99385900</v>
      </c>
      <c r="Q174" s="12"/>
      <c r="R174" s="12"/>
      <c r="S174" s="32"/>
    </row>
    <row r="175" spans="1:19" x14ac:dyDescent="0.3">
      <c r="A175" t="s">
        <v>13</v>
      </c>
      <c r="B175" t="s">
        <v>14</v>
      </c>
      <c r="C175" s="10" t="s">
        <v>78</v>
      </c>
      <c r="D175" s="11" t="s">
        <v>79</v>
      </c>
      <c r="E175" s="11">
        <v>90000000</v>
      </c>
      <c r="F175" s="10" t="s">
        <v>17</v>
      </c>
      <c r="G175" s="11" t="s">
        <v>18</v>
      </c>
      <c r="H175" s="11">
        <v>4284439</v>
      </c>
      <c r="I175" s="10" t="s">
        <v>17</v>
      </c>
      <c r="J175" s="11" t="s">
        <v>18</v>
      </c>
      <c r="K175" s="11">
        <v>8663275</v>
      </c>
      <c r="L175" s="10" t="s">
        <v>17</v>
      </c>
      <c r="M175" s="11" t="s">
        <v>18</v>
      </c>
      <c r="N175" s="13">
        <f t="shared" si="4"/>
        <v>98663275</v>
      </c>
      <c r="O175" s="12">
        <v>1</v>
      </c>
      <c r="P175" s="13">
        <f t="shared" si="5"/>
        <v>98663275</v>
      </c>
      <c r="Q175" s="12"/>
      <c r="R175" s="12"/>
      <c r="S175" s="32"/>
    </row>
    <row r="176" spans="1:19" x14ac:dyDescent="0.3">
      <c r="A176" t="s">
        <v>13</v>
      </c>
      <c r="B176" t="s">
        <v>14</v>
      </c>
      <c r="C176" s="10" t="s">
        <v>420</v>
      </c>
      <c r="D176" s="11" t="s">
        <v>421</v>
      </c>
      <c r="E176" s="11">
        <v>54000000</v>
      </c>
      <c r="F176" s="10" t="s">
        <v>17</v>
      </c>
      <c r="G176" s="11" t="s">
        <v>18</v>
      </c>
      <c r="H176" s="11">
        <v>25598302</v>
      </c>
      <c r="I176" s="10" t="s">
        <v>17</v>
      </c>
      <c r="J176" s="11" t="s">
        <v>18</v>
      </c>
      <c r="K176" s="11">
        <v>41528399</v>
      </c>
      <c r="L176" s="10" t="s">
        <v>17</v>
      </c>
      <c r="M176" s="11" t="s">
        <v>18</v>
      </c>
      <c r="N176" s="13">
        <f t="shared" si="4"/>
        <v>95528399</v>
      </c>
      <c r="O176" s="12">
        <v>1</v>
      </c>
      <c r="P176" s="13">
        <f t="shared" si="5"/>
        <v>95528399</v>
      </c>
      <c r="Q176" s="12"/>
      <c r="R176" s="12"/>
      <c r="S176" s="32"/>
    </row>
    <row r="177" spans="1:19" x14ac:dyDescent="0.3">
      <c r="A177" t="s">
        <v>13</v>
      </c>
      <c r="B177" t="s">
        <v>14</v>
      </c>
      <c r="C177" s="10" t="s">
        <v>191</v>
      </c>
      <c r="D177" s="11" t="s">
        <v>192</v>
      </c>
      <c r="E177" s="11">
        <v>40600392</v>
      </c>
      <c r="F177" s="10" t="s">
        <v>17</v>
      </c>
      <c r="G177" s="11" t="s">
        <v>18</v>
      </c>
      <c r="H177" s="11">
        <v>4284682</v>
      </c>
      <c r="I177" s="10" t="s">
        <v>17</v>
      </c>
      <c r="J177" s="11" t="s">
        <v>18</v>
      </c>
      <c r="K177" s="11">
        <v>52863525</v>
      </c>
      <c r="L177" s="10" t="s">
        <v>17</v>
      </c>
      <c r="M177" s="11" t="s">
        <v>18</v>
      </c>
      <c r="N177" s="13">
        <f t="shared" si="4"/>
        <v>93463917</v>
      </c>
      <c r="O177" s="12">
        <v>1</v>
      </c>
      <c r="P177" s="13">
        <f t="shared" si="5"/>
        <v>93463917</v>
      </c>
      <c r="Q177" s="12"/>
      <c r="R177" s="12"/>
      <c r="S177" s="32"/>
    </row>
    <row r="178" spans="1:19" x14ac:dyDescent="0.3">
      <c r="A178" t="s">
        <v>13</v>
      </c>
      <c r="B178" t="s">
        <v>14</v>
      </c>
      <c r="C178" s="10" t="s">
        <v>214</v>
      </c>
      <c r="D178" s="11" t="s">
        <v>215</v>
      </c>
      <c r="E178" s="11">
        <v>81000000</v>
      </c>
      <c r="F178" s="10" t="s">
        <v>17</v>
      </c>
      <c r="G178" s="11" t="s">
        <v>18</v>
      </c>
      <c r="H178" s="11">
        <v>45480776</v>
      </c>
      <c r="I178" s="10" t="s">
        <v>17</v>
      </c>
      <c r="J178" s="11" t="s">
        <v>18</v>
      </c>
      <c r="K178" s="11">
        <v>11951037</v>
      </c>
      <c r="L178" s="10" t="s">
        <v>17</v>
      </c>
      <c r="M178" s="11" t="s">
        <v>18</v>
      </c>
      <c r="N178" s="13">
        <f t="shared" si="4"/>
        <v>92951037</v>
      </c>
      <c r="O178" s="12">
        <v>1</v>
      </c>
      <c r="P178" s="13">
        <f t="shared" si="5"/>
        <v>92951037</v>
      </c>
      <c r="Q178" s="12"/>
      <c r="R178" s="12"/>
      <c r="S178" s="32"/>
    </row>
    <row r="179" spans="1:19" x14ac:dyDescent="0.3">
      <c r="A179" t="s">
        <v>13</v>
      </c>
      <c r="B179" t="s">
        <v>14</v>
      </c>
      <c r="C179" s="10" t="s">
        <v>96</v>
      </c>
      <c r="D179" s="11" t="s">
        <v>97</v>
      </c>
      <c r="E179" s="11">
        <v>64835730</v>
      </c>
      <c r="F179" s="10" t="s">
        <v>17</v>
      </c>
      <c r="G179" s="11" t="s">
        <v>18</v>
      </c>
      <c r="H179" s="11">
        <v>153792754</v>
      </c>
      <c r="I179" s="10" t="s">
        <v>17</v>
      </c>
      <c r="J179" s="11" t="s">
        <v>18</v>
      </c>
      <c r="K179" s="11">
        <v>25351008</v>
      </c>
      <c r="L179" s="10" t="s">
        <v>17</v>
      </c>
      <c r="M179" s="11" t="s">
        <v>18</v>
      </c>
      <c r="N179" s="13">
        <f t="shared" si="4"/>
        <v>90186738</v>
      </c>
      <c r="O179" s="12">
        <v>1</v>
      </c>
      <c r="P179" s="13">
        <f t="shared" si="5"/>
        <v>90186738</v>
      </c>
      <c r="Q179" s="12"/>
      <c r="R179" s="12" t="s">
        <v>505</v>
      </c>
      <c r="S179" s="32" t="s">
        <v>810</v>
      </c>
    </row>
    <row r="180" spans="1:19" x14ac:dyDescent="0.3">
      <c r="A180" t="s">
        <v>13</v>
      </c>
      <c r="B180" t="s">
        <v>14</v>
      </c>
      <c r="C180" s="10" t="s">
        <v>226</v>
      </c>
      <c r="D180" s="11" t="s">
        <v>227</v>
      </c>
      <c r="E180" s="11">
        <v>60000000</v>
      </c>
      <c r="F180" s="10" t="s">
        <v>17</v>
      </c>
      <c r="G180" s="11" t="s">
        <v>18</v>
      </c>
      <c r="H180" s="11">
        <v>8813953</v>
      </c>
      <c r="I180" s="10" t="s">
        <v>17</v>
      </c>
      <c r="J180" s="11" t="s">
        <v>18</v>
      </c>
      <c r="K180" s="11">
        <v>27839612</v>
      </c>
      <c r="L180" s="10" t="s">
        <v>17</v>
      </c>
      <c r="M180" s="11" t="s">
        <v>18</v>
      </c>
      <c r="N180" s="13">
        <f t="shared" si="4"/>
        <v>87839612</v>
      </c>
      <c r="O180" s="12">
        <v>1</v>
      </c>
      <c r="P180" s="13">
        <f t="shared" si="5"/>
        <v>87839612</v>
      </c>
      <c r="Q180" s="12"/>
      <c r="R180" s="12"/>
      <c r="S180" s="32"/>
    </row>
    <row r="181" spans="1:19" x14ac:dyDescent="0.3">
      <c r="A181" t="s">
        <v>13</v>
      </c>
      <c r="B181" t="s">
        <v>14</v>
      </c>
      <c r="C181" s="10" t="s">
        <v>70</v>
      </c>
      <c r="D181" s="11" t="s">
        <v>71</v>
      </c>
      <c r="E181" s="11">
        <v>82929315</v>
      </c>
      <c r="F181" s="10" t="s">
        <v>17</v>
      </c>
      <c r="G181" s="11" t="s">
        <v>18</v>
      </c>
      <c r="H181" s="11">
        <v>54208449</v>
      </c>
      <c r="I181" s="10" t="s">
        <v>17</v>
      </c>
      <c r="J181" s="11" t="s">
        <v>18</v>
      </c>
      <c r="K181" s="11">
        <v>2139448</v>
      </c>
      <c r="L181" s="10" t="s">
        <v>17</v>
      </c>
      <c r="M181" s="11" t="s">
        <v>18</v>
      </c>
      <c r="N181" s="13">
        <f t="shared" si="4"/>
        <v>85068763</v>
      </c>
      <c r="O181" s="12">
        <v>1</v>
      </c>
      <c r="P181" s="13">
        <f t="shared" si="5"/>
        <v>85068763</v>
      </c>
      <c r="Q181" s="12"/>
      <c r="R181" s="12"/>
      <c r="S181" s="32"/>
    </row>
    <row r="182" spans="1:19" x14ac:dyDescent="0.3">
      <c r="A182" t="s">
        <v>13</v>
      </c>
      <c r="B182" t="s">
        <v>14</v>
      </c>
      <c r="C182" s="10" t="s">
        <v>224</v>
      </c>
      <c r="D182" s="11" t="s">
        <v>225</v>
      </c>
      <c r="E182" s="11">
        <v>36000000</v>
      </c>
      <c r="F182" s="10" t="s">
        <v>17</v>
      </c>
      <c r="G182" s="11" t="s">
        <v>18</v>
      </c>
      <c r="H182" s="11">
        <v>56124816</v>
      </c>
      <c r="I182" s="10" t="s">
        <v>17</v>
      </c>
      <c r="J182" s="11" t="s">
        <v>18</v>
      </c>
      <c r="K182" s="11">
        <v>46126696</v>
      </c>
      <c r="L182" s="10" t="s">
        <v>17</v>
      </c>
      <c r="M182" s="11" t="s">
        <v>18</v>
      </c>
      <c r="N182" s="13">
        <f t="shared" si="4"/>
        <v>82126696</v>
      </c>
      <c r="O182" s="12">
        <v>1</v>
      </c>
      <c r="P182" s="13">
        <f t="shared" si="5"/>
        <v>82126696</v>
      </c>
      <c r="Q182" s="12"/>
      <c r="R182" s="12"/>
      <c r="S182" s="32"/>
    </row>
    <row r="183" spans="1:19" x14ac:dyDescent="0.3">
      <c r="A183" t="s">
        <v>13</v>
      </c>
      <c r="B183" t="s">
        <v>14</v>
      </c>
      <c r="C183" s="10" t="s">
        <v>491</v>
      </c>
      <c r="D183" s="11" t="s">
        <v>492</v>
      </c>
      <c r="E183" s="11">
        <v>40000000</v>
      </c>
      <c r="F183" s="10" t="s">
        <v>17</v>
      </c>
      <c r="G183" s="11" t="s">
        <v>18</v>
      </c>
      <c r="H183" s="11">
        <v>25391110</v>
      </c>
      <c r="I183" s="10" t="s">
        <v>17</v>
      </c>
      <c r="J183" s="11" t="s">
        <v>18</v>
      </c>
      <c r="K183" s="11">
        <v>42097993</v>
      </c>
      <c r="L183" s="10" t="s">
        <v>17</v>
      </c>
      <c r="M183" s="11" t="s">
        <v>18</v>
      </c>
      <c r="N183" s="13">
        <f t="shared" si="4"/>
        <v>82097993</v>
      </c>
      <c r="O183" s="12">
        <v>1</v>
      </c>
      <c r="P183" s="13">
        <f t="shared" si="5"/>
        <v>82097993</v>
      </c>
      <c r="Q183" s="12"/>
      <c r="R183" s="12"/>
      <c r="S183" s="32"/>
    </row>
    <row r="184" spans="1:19" x14ac:dyDescent="0.3">
      <c r="A184" t="s">
        <v>13</v>
      </c>
      <c r="B184" t="s">
        <v>14</v>
      </c>
      <c r="C184" s="10" t="s">
        <v>60</v>
      </c>
      <c r="D184" s="11" t="s">
        <v>61</v>
      </c>
      <c r="E184" s="11">
        <v>80000000</v>
      </c>
      <c r="F184" s="10" t="s">
        <v>17</v>
      </c>
      <c r="G184" s="11" t="s">
        <v>18</v>
      </c>
      <c r="H184" s="11">
        <v>14929082</v>
      </c>
      <c r="I184" s="10" t="s">
        <v>17</v>
      </c>
      <c r="J184" s="11" t="s">
        <v>18</v>
      </c>
      <c r="K184" s="11">
        <v>251493</v>
      </c>
      <c r="L184" s="10" t="s">
        <v>17</v>
      </c>
      <c r="M184" s="11" t="s">
        <v>18</v>
      </c>
      <c r="N184" s="13">
        <f t="shared" si="4"/>
        <v>80251493</v>
      </c>
      <c r="O184" s="12">
        <v>1</v>
      </c>
      <c r="P184" s="13">
        <f t="shared" si="5"/>
        <v>80251493</v>
      </c>
      <c r="Q184" s="12"/>
      <c r="R184" s="12"/>
      <c r="S184" s="32"/>
    </row>
    <row r="185" spans="1:19" x14ac:dyDescent="0.3">
      <c r="A185" t="s">
        <v>13</v>
      </c>
      <c r="B185" t="s">
        <v>14</v>
      </c>
      <c r="C185" s="10" t="s">
        <v>80</v>
      </c>
      <c r="D185" s="11" t="s">
        <v>81</v>
      </c>
      <c r="E185" s="11">
        <v>16000000</v>
      </c>
      <c r="F185" s="10" t="s">
        <v>17</v>
      </c>
      <c r="G185" s="11" t="s">
        <v>18</v>
      </c>
      <c r="H185" s="11">
        <v>7187902</v>
      </c>
      <c r="I185" s="10" t="s">
        <v>17</v>
      </c>
      <c r="J185" s="11" t="s">
        <v>18</v>
      </c>
      <c r="K185" s="11">
        <v>63238081</v>
      </c>
      <c r="L185" s="10" t="s">
        <v>17</v>
      </c>
      <c r="M185" s="11" t="s">
        <v>18</v>
      </c>
      <c r="N185" s="13">
        <f t="shared" si="4"/>
        <v>79238081</v>
      </c>
      <c r="O185" s="12">
        <v>1</v>
      </c>
      <c r="P185" s="13">
        <f t="shared" si="5"/>
        <v>79238081</v>
      </c>
      <c r="Q185" s="12"/>
      <c r="R185" s="12"/>
      <c r="S185" s="32"/>
    </row>
    <row r="186" spans="1:19" x14ac:dyDescent="0.3">
      <c r="A186" t="s">
        <v>13</v>
      </c>
      <c r="B186" t="s">
        <v>14</v>
      </c>
      <c r="C186" s="10" t="s">
        <v>222</v>
      </c>
      <c r="D186" s="11" t="s">
        <v>223</v>
      </c>
      <c r="E186" s="11">
        <v>60000000</v>
      </c>
      <c r="F186" s="10" t="s">
        <v>17</v>
      </c>
      <c r="G186" s="11" t="s">
        <v>18</v>
      </c>
      <c r="H186" s="11">
        <v>70814656</v>
      </c>
      <c r="I186" s="10" t="s">
        <v>17</v>
      </c>
      <c r="J186" s="11" t="s">
        <v>18</v>
      </c>
      <c r="K186" s="11">
        <v>18818214</v>
      </c>
      <c r="L186" s="10" t="s">
        <v>17</v>
      </c>
      <c r="M186" s="11" t="s">
        <v>18</v>
      </c>
      <c r="N186" s="13">
        <f t="shared" si="4"/>
        <v>78818214</v>
      </c>
      <c r="O186" s="12">
        <v>1</v>
      </c>
      <c r="P186" s="13">
        <f t="shared" si="5"/>
        <v>78818214</v>
      </c>
      <c r="Q186" s="12"/>
      <c r="R186" s="12"/>
      <c r="S186" s="32"/>
    </row>
    <row r="187" spans="1:19" x14ac:dyDescent="0.3">
      <c r="A187" t="s">
        <v>13</v>
      </c>
      <c r="B187" t="s">
        <v>14</v>
      </c>
      <c r="C187" s="10" t="s">
        <v>319</v>
      </c>
      <c r="D187" s="11" t="s">
        <v>320</v>
      </c>
      <c r="E187" s="11">
        <v>54000000</v>
      </c>
      <c r="F187" s="10" t="s">
        <v>17</v>
      </c>
      <c r="G187" s="11" t="s">
        <v>18</v>
      </c>
      <c r="H187" s="11">
        <v>11775000</v>
      </c>
      <c r="I187" s="10" t="s">
        <v>195</v>
      </c>
      <c r="J187" s="11" t="s">
        <v>18</v>
      </c>
      <c r="K187" s="11">
        <v>21199600</v>
      </c>
      <c r="L187" s="10" t="s">
        <v>195</v>
      </c>
      <c r="M187" s="11" t="s">
        <v>18</v>
      </c>
      <c r="N187" s="13">
        <f t="shared" si="4"/>
        <v>75199600</v>
      </c>
      <c r="O187" s="12">
        <v>1</v>
      </c>
      <c r="P187" s="13">
        <f t="shared" si="5"/>
        <v>75199600</v>
      </c>
      <c r="Q187" s="12"/>
      <c r="R187" s="12"/>
      <c r="S187" s="32"/>
    </row>
    <row r="188" spans="1:19" x14ac:dyDescent="0.3">
      <c r="A188" t="s">
        <v>13</v>
      </c>
      <c r="B188" t="s">
        <v>14</v>
      </c>
      <c r="C188" s="10" t="s">
        <v>161</v>
      </c>
      <c r="D188" s="11" t="s">
        <v>162</v>
      </c>
      <c r="E188" s="11">
        <v>46028104</v>
      </c>
      <c r="F188" s="10" t="s">
        <v>17</v>
      </c>
      <c r="G188" s="11" t="s">
        <v>18</v>
      </c>
      <c r="H188" s="11">
        <v>16470259</v>
      </c>
      <c r="I188" s="10" t="s">
        <v>17</v>
      </c>
      <c r="J188" s="11" t="s">
        <v>18</v>
      </c>
      <c r="K188" s="11">
        <v>25086318</v>
      </c>
      <c r="L188" s="10" t="s">
        <v>17</v>
      </c>
      <c r="M188" s="11" t="s">
        <v>18</v>
      </c>
      <c r="N188" s="13">
        <f t="shared" si="4"/>
        <v>71114422</v>
      </c>
      <c r="O188" s="12">
        <v>1</v>
      </c>
      <c r="P188" s="13">
        <f t="shared" si="5"/>
        <v>71114422</v>
      </c>
      <c r="Q188" s="12"/>
      <c r="R188" s="12"/>
      <c r="S188" s="32"/>
    </row>
    <row r="189" spans="1:19" x14ac:dyDescent="0.3">
      <c r="A189" t="s">
        <v>13</v>
      </c>
      <c r="B189" t="s">
        <v>14</v>
      </c>
      <c r="C189" s="10" t="s">
        <v>367</v>
      </c>
      <c r="D189" s="11" t="s">
        <v>368</v>
      </c>
      <c r="E189" s="11">
        <v>400000000</v>
      </c>
      <c r="F189" s="10" t="s">
        <v>17</v>
      </c>
      <c r="G189" s="11" t="s">
        <v>18</v>
      </c>
      <c r="H189" s="11">
        <v>7503711</v>
      </c>
      <c r="I189" s="10" t="s">
        <v>17</v>
      </c>
      <c r="J189" s="11" t="s">
        <v>18</v>
      </c>
      <c r="K189" s="11">
        <v>166962450</v>
      </c>
      <c r="L189" s="10" t="s">
        <v>17</v>
      </c>
      <c r="M189" s="11" t="s">
        <v>18</v>
      </c>
      <c r="N189" s="13">
        <f t="shared" si="4"/>
        <v>566962450</v>
      </c>
      <c r="O189" s="12">
        <v>1</v>
      </c>
      <c r="P189" s="13">
        <f t="shared" si="5"/>
        <v>566962450</v>
      </c>
      <c r="Q189" s="12" t="s">
        <v>499</v>
      </c>
      <c r="R189" s="12"/>
      <c r="S189" s="32"/>
    </row>
    <row r="190" spans="1:19" x14ac:dyDescent="0.3">
      <c r="A190" t="s">
        <v>13</v>
      </c>
      <c r="B190" t="s">
        <v>14</v>
      </c>
      <c r="C190" s="10" t="s">
        <v>245</v>
      </c>
      <c r="D190" s="11" t="s">
        <v>246</v>
      </c>
      <c r="E190" s="11">
        <v>18000000</v>
      </c>
      <c r="F190" s="10" t="s">
        <v>17</v>
      </c>
      <c r="G190" s="11" t="s">
        <v>18</v>
      </c>
      <c r="H190" s="11">
        <v>22058840</v>
      </c>
      <c r="I190" s="10" t="s">
        <v>17</v>
      </c>
      <c r="J190" s="11" t="s">
        <v>18</v>
      </c>
      <c r="K190" s="11">
        <v>45634402</v>
      </c>
      <c r="L190" s="10" t="s">
        <v>17</v>
      </c>
      <c r="M190" s="11" t="s">
        <v>18</v>
      </c>
      <c r="N190" s="13">
        <f t="shared" si="4"/>
        <v>63634402</v>
      </c>
      <c r="O190" s="12">
        <v>1</v>
      </c>
      <c r="P190" s="13">
        <f t="shared" si="5"/>
        <v>63634402</v>
      </c>
      <c r="Q190" s="12"/>
      <c r="R190" s="12"/>
      <c r="S190" s="32"/>
    </row>
    <row r="191" spans="1:19" x14ac:dyDescent="0.3">
      <c r="A191" t="s">
        <v>13</v>
      </c>
      <c r="B191" t="s">
        <v>14</v>
      </c>
      <c r="C191" s="10" t="s">
        <v>321</v>
      </c>
      <c r="D191" s="11" t="s">
        <v>322</v>
      </c>
      <c r="E191" s="11">
        <v>40000000</v>
      </c>
      <c r="F191" s="10" t="s">
        <v>17</v>
      </c>
      <c r="G191" s="11" t="s">
        <v>18</v>
      </c>
      <c r="H191" s="11">
        <v>15472835</v>
      </c>
      <c r="I191" s="10" t="s">
        <v>17</v>
      </c>
      <c r="J191" s="11" t="s">
        <v>18</v>
      </c>
      <c r="K191" s="11">
        <v>22608467</v>
      </c>
      <c r="L191" s="10" t="s">
        <v>17</v>
      </c>
      <c r="M191" s="11" t="s">
        <v>18</v>
      </c>
      <c r="N191" s="13">
        <f t="shared" si="4"/>
        <v>62608467</v>
      </c>
      <c r="O191" s="12">
        <v>1</v>
      </c>
      <c r="P191" s="13">
        <f t="shared" si="5"/>
        <v>62608467</v>
      </c>
      <c r="Q191" s="12"/>
      <c r="R191" s="12"/>
      <c r="S191" s="32"/>
    </row>
    <row r="192" spans="1:19" x14ac:dyDescent="0.3">
      <c r="A192" t="s">
        <v>13</v>
      </c>
      <c r="B192" t="s">
        <v>14</v>
      </c>
      <c r="C192" s="10" t="s">
        <v>121</v>
      </c>
      <c r="D192" s="11" t="s">
        <v>122</v>
      </c>
      <c r="E192" s="11">
        <v>40000000</v>
      </c>
      <c r="F192" s="10" t="s">
        <v>17</v>
      </c>
      <c r="G192" s="11" t="s">
        <v>18</v>
      </c>
      <c r="H192" s="11">
        <v>21577628</v>
      </c>
      <c r="I192" s="10" t="s">
        <v>17</v>
      </c>
      <c r="J192" s="11" t="s">
        <v>18</v>
      </c>
      <c r="K192" s="11">
        <v>17541079</v>
      </c>
      <c r="L192" s="10" t="s">
        <v>17</v>
      </c>
      <c r="M192" s="11" t="s">
        <v>18</v>
      </c>
      <c r="N192" s="13">
        <f t="shared" si="4"/>
        <v>57541079</v>
      </c>
      <c r="O192" s="12">
        <v>1</v>
      </c>
      <c r="P192" s="13">
        <f t="shared" si="5"/>
        <v>57541079</v>
      </c>
      <c r="Q192" s="12"/>
      <c r="R192" s="12"/>
      <c r="S192" s="32"/>
    </row>
    <row r="193" spans="1:19" x14ac:dyDescent="0.3">
      <c r="A193" t="s">
        <v>13</v>
      </c>
      <c r="B193" t="s">
        <v>14</v>
      </c>
      <c r="C193" s="10" t="s">
        <v>381</v>
      </c>
      <c r="D193" s="11" t="s">
        <v>382</v>
      </c>
      <c r="E193" s="11">
        <v>200000000</v>
      </c>
      <c r="F193" s="10" t="s">
        <v>17</v>
      </c>
      <c r="G193" s="11" t="s">
        <v>18</v>
      </c>
      <c r="H193" s="11">
        <v>6422447</v>
      </c>
      <c r="I193" s="10" t="s">
        <v>17</v>
      </c>
      <c r="J193" s="11" t="s">
        <v>18</v>
      </c>
      <c r="K193" s="11">
        <v>5979086</v>
      </c>
      <c r="L193" s="10" t="s">
        <v>17</v>
      </c>
      <c r="M193" s="11" t="s">
        <v>18</v>
      </c>
      <c r="N193" s="13">
        <f t="shared" si="4"/>
        <v>205979086</v>
      </c>
      <c r="O193" s="12">
        <v>1</v>
      </c>
      <c r="P193" s="13">
        <f t="shared" si="5"/>
        <v>205979086</v>
      </c>
      <c r="Q193" s="12" t="s">
        <v>502</v>
      </c>
      <c r="R193" s="12"/>
      <c r="S193" s="32"/>
    </row>
    <row r="194" spans="1:19" x14ac:dyDescent="0.3">
      <c r="A194" t="s">
        <v>13</v>
      </c>
      <c r="B194" t="s">
        <v>14</v>
      </c>
      <c r="C194" s="10" t="s">
        <v>345</v>
      </c>
      <c r="D194" s="11" t="s">
        <v>346</v>
      </c>
      <c r="E194" s="11">
        <v>40000000</v>
      </c>
      <c r="F194" s="10" t="s">
        <v>347</v>
      </c>
      <c r="G194" s="11" t="s">
        <v>18</v>
      </c>
      <c r="H194" s="11">
        <v>21889848</v>
      </c>
      <c r="I194" s="10" t="s">
        <v>347</v>
      </c>
      <c r="J194" s="11" t="s">
        <v>18</v>
      </c>
      <c r="K194" s="11">
        <v>14047153</v>
      </c>
      <c r="L194" s="10" t="s">
        <v>347</v>
      </c>
      <c r="M194" s="11" t="s">
        <v>18</v>
      </c>
      <c r="N194" s="13">
        <f t="shared" si="4"/>
        <v>54047153</v>
      </c>
      <c r="O194" s="12">
        <v>1</v>
      </c>
      <c r="P194" s="13">
        <f t="shared" si="5"/>
        <v>54047153</v>
      </c>
      <c r="Q194" s="12"/>
      <c r="R194" s="12"/>
      <c r="S194" s="32"/>
    </row>
    <row r="195" spans="1:19" x14ac:dyDescent="0.3">
      <c r="A195" t="s">
        <v>13</v>
      </c>
      <c r="B195" t="s">
        <v>14</v>
      </c>
      <c r="C195" s="10" t="s">
        <v>123</v>
      </c>
      <c r="D195" s="11" t="s">
        <v>124</v>
      </c>
      <c r="E195" s="11">
        <v>32000000</v>
      </c>
      <c r="F195" s="10" t="s">
        <v>17</v>
      </c>
      <c r="G195" s="11" t="s">
        <v>18</v>
      </c>
      <c r="H195" s="11">
        <v>18272001</v>
      </c>
      <c r="I195" s="10" t="s">
        <v>17</v>
      </c>
      <c r="J195" s="11" t="s">
        <v>18</v>
      </c>
      <c r="K195" s="11">
        <v>18415447</v>
      </c>
      <c r="L195" s="10" t="s">
        <v>17</v>
      </c>
      <c r="M195" s="11" t="s">
        <v>18</v>
      </c>
      <c r="N195" s="13">
        <f t="shared" si="4"/>
        <v>50415447</v>
      </c>
      <c r="O195" s="12">
        <v>1</v>
      </c>
      <c r="P195" s="13">
        <f t="shared" si="5"/>
        <v>50415447</v>
      </c>
      <c r="Q195" s="12"/>
      <c r="R195" s="12"/>
      <c r="S195" s="32"/>
    </row>
    <row r="196" spans="1:19" x14ac:dyDescent="0.3">
      <c r="A196" t="s">
        <v>13</v>
      </c>
      <c r="B196" t="s">
        <v>14</v>
      </c>
      <c r="C196" s="10" t="s">
        <v>337</v>
      </c>
      <c r="D196" s="11" t="s">
        <v>338</v>
      </c>
      <c r="E196" s="11">
        <v>40000000</v>
      </c>
      <c r="F196" s="10" t="s">
        <v>17</v>
      </c>
      <c r="G196" s="11" t="s">
        <v>18</v>
      </c>
      <c r="H196" s="11">
        <v>7845464</v>
      </c>
      <c r="I196" s="10" t="s">
        <v>17</v>
      </c>
      <c r="J196" s="11" t="s">
        <v>18</v>
      </c>
      <c r="K196" s="11">
        <v>9403670</v>
      </c>
      <c r="L196" s="10" t="s">
        <v>17</v>
      </c>
      <c r="M196" s="11" t="s">
        <v>18</v>
      </c>
      <c r="N196" s="13">
        <f t="shared" si="4"/>
        <v>49403670</v>
      </c>
      <c r="O196" s="12">
        <v>1</v>
      </c>
      <c r="P196" s="13">
        <f t="shared" si="5"/>
        <v>49403670</v>
      </c>
      <c r="Q196" s="12"/>
      <c r="R196" s="12"/>
      <c r="S196" s="32"/>
    </row>
    <row r="197" spans="1:19" x14ac:dyDescent="0.3">
      <c r="A197" t="s">
        <v>13</v>
      </c>
      <c r="B197" t="s">
        <v>14</v>
      </c>
      <c r="C197" s="10" t="s">
        <v>359</v>
      </c>
      <c r="D197" s="11" t="s">
        <v>360</v>
      </c>
      <c r="E197" s="11">
        <v>525270417</v>
      </c>
      <c r="F197" s="10" t="s">
        <v>17</v>
      </c>
      <c r="G197" s="11" t="s">
        <v>18</v>
      </c>
      <c r="H197" s="11">
        <v>5890649</v>
      </c>
      <c r="I197" s="10" t="s">
        <v>17</v>
      </c>
      <c r="J197" s="11" t="s">
        <v>18</v>
      </c>
      <c r="K197" s="11">
        <v>2602218</v>
      </c>
      <c r="L197" s="10" t="s">
        <v>17</v>
      </c>
      <c r="M197" s="11" t="s">
        <v>18</v>
      </c>
      <c r="N197" s="13">
        <f t="shared" ref="N197:N239" si="6">IF(ISNUMBER(E197), E197, 0)+IF(ISNUMBER(K197), K197, 0)</f>
        <v>527872635</v>
      </c>
      <c r="O197" s="12">
        <v>1</v>
      </c>
      <c r="P197" s="13">
        <f t="shared" ref="P197:P239" si="7">N197*O197</f>
        <v>527872635</v>
      </c>
      <c r="Q197" s="12" t="s">
        <v>502</v>
      </c>
      <c r="R197" s="12"/>
      <c r="S197" s="32"/>
    </row>
    <row r="198" spans="1:19" x14ac:dyDescent="0.3">
      <c r="A198" t="s">
        <v>13</v>
      </c>
      <c r="B198" t="s">
        <v>14</v>
      </c>
      <c r="C198" s="10" t="s">
        <v>271</v>
      </c>
      <c r="D198" s="11" t="s">
        <v>272</v>
      </c>
      <c r="E198" s="11">
        <v>20847691</v>
      </c>
      <c r="F198" s="10" t="s">
        <v>17</v>
      </c>
      <c r="G198" s="11" t="s">
        <v>18</v>
      </c>
      <c r="H198" s="11">
        <v>15760794</v>
      </c>
      <c r="I198" s="10" t="s">
        <v>17</v>
      </c>
      <c r="J198" s="11" t="s">
        <v>18</v>
      </c>
      <c r="K198" s="11">
        <v>24025594</v>
      </c>
      <c r="L198" s="10" t="s">
        <v>17</v>
      </c>
      <c r="M198" s="11" t="s">
        <v>18</v>
      </c>
      <c r="N198" s="13">
        <f t="shared" si="6"/>
        <v>44873285</v>
      </c>
      <c r="O198" s="12">
        <v>1</v>
      </c>
      <c r="P198" s="13">
        <f t="shared" si="7"/>
        <v>44873285</v>
      </c>
      <c r="Q198" s="12"/>
      <c r="R198" s="12"/>
      <c r="S198" s="32"/>
    </row>
    <row r="199" spans="1:19" x14ac:dyDescent="0.3">
      <c r="A199" t="s">
        <v>13</v>
      </c>
      <c r="B199" t="s">
        <v>14</v>
      </c>
      <c r="C199" s="10" t="s">
        <v>102</v>
      </c>
      <c r="D199" s="11" t="s">
        <v>103</v>
      </c>
      <c r="E199" s="11">
        <v>20000000</v>
      </c>
      <c r="F199" s="10" t="s">
        <v>17</v>
      </c>
      <c r="G199" s="11" t="s">
        <v>18</v>
      </c>
      <c r="H199" s="11">
        <v>17693647</v>
      </c>
      <c r="I199" s="10" t="s">
        <v>17</v>
      </c>
      <c r="J199" s="11" t="s">
        <v>18</v>
      </c>
      <c r="K199" s="11">
        <v>23127277</v>
      </c>
      <c r="L199" s="10" t="s">
        <v>17</v>
      </c>
      <c r="M199" s="11" t="s">
        <v>18</v>
      </c>
      <c r="N199" s="13">
        <f t="shared" si="6"/>
        <v>43127277</v>
      </c>
      <c r="O199" s="12">
        <v>1</v>
      </c>
      <c r="P199" s="13">
        <f t="shared" si="7"/>
        <v>43127277</v>
      </c>
      <c r="Q199" s="12"/>
      <c r="R199" s="12"/>
      <c r="S199" s="32"/>
    </row>
    <row r="200" spans="1:19" x14ac:dyDescent="0.3">
      <c r="A200" t="s">
        <v>13</v>
      </c>
      <c r="B200" t="s">
        <v>14</v>
      </c>
      <c r="C200" s="10" t="s">
        <v>66</v>
      </c>
      <c r="D200" s="11" t="s">
        <v>67</v>
      </c>
      <c r="E200" s="11">
        <v>40000000</v>
      </c>
      <c r="F200" s="10" t="s">
        <v>17</v>
      </c>
      <c r="G200" s="11" t="s">
        <v>18</v>
      </c>
      <c r="H200" s="11">
        <v>30944147</v>
      </c>
      <c r="I200" s="10" t="s">
        <v>17</v>
      </c>
      <c r="J200" s="11" t="s">
        <v>18</v>
      </c>
      <c r="K200" s="11">
        <v>2217831</v>
      </c>
      <c r="L200" s="10" t="s">
        <v>17</v>
      </c>
      <c r="M200" s="11" t="s">
        <v>18</v>
      </c>
      <c r="N200" s="13">
        <f t="shared" si="6"/>
        <v>42217831</v>
      </c>
      <c r="O200" s="12">
        <v>1</v>
      </c>
      <c r="P200" s="13">
        <f t="shared" si="7"/>
        <v>42217831</v>
      </c>
      <c r="Q200" s="12"/>
      <c r="R200" s="12"/>
      <c r="S200" s="32"/>
    </row>
    <row r="201" spans="1:19" x14ac:dyDescent="0.3">
      <c r="A201" t="s">
        <v>13</v>
      </c>
      <c r="B201" t="s">
        <v>14</v>
      </c>
      <c r="C201" s="10" t="s">
        <v>315</v>
      </c>
      <c r="D201" s="11" t="s">
        <v>316</v>
      </c>
      <c r="E201" s="11">
        <v>8000000</v>
      </c>
      <c r="F201" s="10" t="s">
        <v>17</v>
      </c>
      <c r="G201" s="11" t="s">
        <v>18</v>
      </c>
      <c r="H201" s="11">
        <v>2047038</v>
      </c>
      <c r="I201" s="10" t="s">
        <v>17</v>
      </c>
      <c r="J201" s="11" t="s">
        <v>18</v>
      </c>
      <c r="K201" s="11">
        <v>32785512</v>
      </c>
      <c r="L201" s="10" t="s">
        <v>17</v>
      </c>
      <c r="M201" s="11" t="s">
        <v>18</v>
      </c>
      <c r="N201" s="13">
        <f t="shared" si="6"/>
        <v>40785512</v>
      </c>
      <c r="O201" s="12">
        <v>1</v>
      </c>
      <c r="P201" s="13">
        <f t="shared" si="7"/>
        <v>40785512</v>
      </c>
      <c r="Q201" s="12"/>
      <c r="R201" s="12"/>
      <c r="S201" s="32"/>
    </row>
    <row r="202" spans="1:19" x14ac:dyDescent="0.3">
      <c r="A202" t="s">
        <v>13</v>
      </c>
      <c r="B202" t="s">
        <v>14</v>
      </c>
      <c r="C202" s="10" t="s">
        <v>317</v>
      </c>
      <c r="D202" s="11" t="s">
        <v>318</v>
      </c>
      <c r="E202" s="11">
        <v>29126424</v>
      </c>
      <c r="F202" s="10" t="s">
        <v>17</v>
      </c>
      <c r="G202" s="11" t="s">
        <v>18</v>
      </c>
      <c r="H202" s="11">
        <v>6290424</v>
      </c>
      <c r="I202" s="10" t="s">
        <v>17</v>
      </c>
      <c r="J202" s="11" t="s">
        <v>18</v>
      </c>
      <c r="K202" s="11">
        <v>11520889</v>
      </c>
      <c r="L202" s="10" t="s">
        <v>17</v>
      </c>
      <c r="M202" s="11" t="s">
        <v>18</v>
      </c>
      <c r="N202" s="13">
        <f t="shared" si="6"/>
        <v>40647313</v>
      </c>
      <c r="O202" s="12">
        <v>1</v>
      </c>
      <c r="P202" s="13">
        <f t="shared" si="7"/>
        <v>40647313</v>
      </c>
      <c r="Q202" s="12"/>
      <c r="R202" s="12"/>
      <c r="S202" s="32"/>
    </row>
    <row r="203" spans="1:19" x14ac:dyDescent="0.3">
      <c r="A203" t="s">
        <v>13</v>
      </c>
      <c r="B203" t="s">
        <v>14</v>
      </c>
      <c r="C203" s="10" t="s">
        <v>481</v>
      </c>
      <c r="D203" s="11" t="s">
        <v>482</v>
      </c>
      <c r="E203" s="11">
        <v>22000000</v>
      </c>
      <c r="F203" s="10" t="s">
        <v>17</v>
      </c>
      <c r="G203" s="11" t="s">
        <v>18</v>
      </c>
      <c r="H203" s="11">
        <v>62415618</v>
      </c>
      <c r="I203" s="10" t="s">
        <v>17</v>
      </c>
      <c r="J203" s="11" t="s">
        <v>18</v>
      </c>
      <c r="K203" s="11">
        <v>18619435</v>
      </c>
      <c r="L203" s="10" t="s">
        <v>17</v>
      </c>
      <c r="M203" s="11" t="s">
        <v>18</v>
      </c>
      <c r="N203" s="13">
        <f t="shared" si="6"/>
        <v>40619435</v>
      </c>
      <c r="O203" s="12">
        <v>1</v>
      </c>
      <c r="P203" s="13">
        <f t="shared" si="7"/>
        <v>40619435</v>
      </c>
      <c r="Q203" s="12"/>
      <c r="R203" s="12"/>
      <c r="S203" s="32"/>
    </row>
    <row r="204" spans="1:19" x14ac:dyDescent="0.3">
      <c r="A204" t="s">
        <v>13</v>
      </c>
      <c r="B204" t="s">
        <v>14</v>
      </c>
      <c r="C204" s="10" t="s">
        <v>335</v>
      </c>
      <c r="D204" s="11" t="s">
        <v>336</v>
      </c>
      <c r="E204" s="11">
        <v>39788308</v>
      </c>
      <c r="F204" s="10" t="s">
        <v>17</v>
      </c>
      <c r="G204" s="11" t="s">
        <v>18</v>
      </c>
      <c r="H204" s="11">
        <v>569987</v>
      </c>
      <c r="I204" s="10" t="s">
        <v>17</v>
      </c>
      <c r="J204" s="11" t="s">
        <v>18</v>
      </c>
      <c r="K204" s="11">
        <v>613957</v>
      </c>
      <c r="L204" s="10" t="s">
        <v>17</v>
      </c>
      <c r="M204" s="11" t="s">
        <v>18</v>
      </c>
      <c r="N204" s="13">
        <f t="shared" si="6"/>
        <v>40402265</v>
      </c>
      <c r="O204" s="12">
        <v>1</v>
      </c>
      <c r="P204" s="13">
        <f t="shared" si="7"/>
        <v>40402265</v>
      </c>
      <c r="Q204" s="12"/>
      <c r="R204" s="12"/>
      <c r="S204" s="32"/>
    </row>
    <row r="205" spans="1:19" x14ac:dyDescent="0.3">
      <c r="A205" t="s">
        <v>13</v>
      </c>
      <c r="B205" t="s">
        <v>14</v>
      </c>
      <c r="C205" s="10" t="s">
        <v>243</v>
      </c>
      <c r="D205" s="11" t="s">
        <v>244</v>
      </c>
      <c r="E205" s="11">
        <v>30000000</v>
      </c>
      <c r="F205" s="10" t="s">
        <v>17</v>
      </c>
      <c r="G205" s="11" t="s">
        <v>18</v>
      </c>
      <c r="H205" s="11">
        <v>4599562</v>
      </c>
      <c r="I205" s="10" t="s">
        <v>17</v>
      </c>
      <c r="J205" s="11" t="s">
        <v>18</v>
      </c>
      <c r="K205" s="11">
        <v>6110669</v>
      </c>
      <c r="L205" s="10" t="s">
        <v>17</v>
      </c>
      <c r="M205" s="11" t="s">
        <v>18</v>
      </c>
      <c r="N205" s="13">
        <f t="shared" si="6"/>
        <v>36110669</v>
      </c>
      <c r="O205" s="12">
        <v>1</v>
      </c>
      <c r="P205" s="13">
        <f t="shared" si="7"/>
        <v>36110669</v>
      </c>
      <c r="Q205" s="12"/>
      <c r="R205" s="12"/>
      <c r="S205" s="32"/>
    </row>
    <row r="206" spans="1:19" x14ac:dyDescent="0.3">
      <c r="A206" t="s">
        <v>13</v>
      </c>
      <c r="B206" t="s">
        <v>14</v>
      </c>
      <c r="C206" s="10" t="s">
        <v>348</v>
      </c>
      <c r="D206" s="11" t="s">
        <v>349</v>
      </c>
      <c r="E206" s="11">
        <v>21000000</v>
      </c>
      <c r="F206" s="10" t="s">
        <v>17</v>
      </c>
      <c r="G206" s="11" t="s">
        <v>18</v>
      </c>
      <c r="H206" s="11">
        <v>12903754</v>
      </c>
      <c r="I206" s="10" t="s">
        <v>17</v>
      </c>
      <c r="J206" s="11" t="s">
        <v>18</v>
      </c>
      <c r="K206" s="11">
        <v>11714276</v>
      </c>
      <c r="L206" s="10" t="s">
        <v>17</v>
      </c>
      <c r="M206" s="11" t="s">
        <v>18</v>
      </c>
      <c r="N206" s="13">
        <f t="shared" si="6"/>
        <v>32714276</v>
      </c>
      <c r="O206" s="12">
        <v>1</v>
      </c>
      <c r="P206" s="13">
        <f t="shared" si="7"/>
        <v>32714276</v>
      </c>
      <c r="Q206" s="12"/>
      <c r="R206" s="12"/>
      <c r="S206" s="32"/>
    </row>
    <row r="207" spans="1:19" x14ac:dyDescent="0.3">
      <c r="A207" t="s">
        <v>13</v>
      </c>
      <c r="B207" t="s">
        <v>14</v>
      </c>
      <c r="C207" s="10" t="s">
        <v>193</v>
      </c>
      <c r="D207" s="11" t="s">
        <v>194</v>
      </c>
      <c r="E207" s="11">
        <v>21000000</v>
      </c>
      <c r="F207" s="10" t="s">
        <v>17</v>
      </c>
      <c r="G207" s="11" t="s">
        <v>18</v>
      </c>
      <c r="H207" s="11">
        <v>32811200</v>
      </c>
      <c r="I207" s="10" t="s">
        <v>195</v>
      </c>
      <c r="J207" s="11" t="s">
        <v>18</v>
      </c>
      <c r="K207" s="11">
        <v>9963100</v>
      </c>
      <c r="L207" s="10" t="s">
        <v>195</v>
      </c>
      <c r="M207" s="11" t="s">
        <v>18</v>
      </c>
      <c r="N207" s="13">
        <f t="shared" si="6"/>
        <v>30963100</v>
      </c>
      <c r="O207" s="12">
        <v>1</v>
      </c>
      <c r="P207" s="13">
        <f t="shared" si="7"/>
        <v>30963100</v>
      </c>
      <c r="Q207" s="12"/>
      <c r="R207" s="12"/>
      <c r="S207" s="32"/>
    </row>
    <row r="208" spans="1:19" x14ac:dyDescent="0.3">
      <c r="A208" t="s">
        <v>13</v>
      </c>
      <c r="B208" t="s">
        <v>14</v>
      </c>
      <c r="C208" s="10" t="s">
        <v>297</v>
      </c>
      <c r="D208" s="11" t="s">
        <v>298</v>
      </c>
      <c r="E208" s="11">
        <v>30000000</v>
      </c>
      <c r="F208" s="10" t="s">
        <v>195</v>
      </c>
      <c r="G208" s="11" t="s">
        <v>18</v>
      </c>
      <c r="H208" s="11">
        <v>3428300</v>
      </c>
      <c r="I208" s="10" t="s">
        <v>195</v>
      </c>
      <c r="J208" s="11" t="s">
        <v>18</v>
      </c>
      <c r="K208" s="11">
        <v>184700</v>
      </c>
      <c r="L208" s="10" t="s">
        <v>195</v>
      </c>
      <c r="M208" s="11" t="s">
        <v>18</v>
      </c>
      <c r="N208" s="13">
        <f t="shared" si="6"/>
        <v>30184700</v>
      </c>
      <c r="O208" s="12">
        <v>1</v>
      </c>
      <c r="P208" s="13">
        <f t="shared" si="7"/>
        <v>30184700</v>
      </c>
      <c r="Q208" s="12"/>
      <c r="R208" s="12"/>
      <c r="S208" s="32"/>
    </row>
    <row r="209" spans="1:19" x14ac:dyDescent="0.3">
      <c r="A209" t="s">
        <v>13</v>
      </c>
      <c r="B209" t="s">
        <v>14</v>
      </c>
      <c r="C209" s="10" t="s">
        <v>275</v>
      </c>
      <c r="D209" s="11" t="s">
        <v>276</v>
      </c>
      <c r="E209" s="11">
        <v>8000000</v>
      </c>
      <c r="F209" s="10" t="s">
        <v>17</v>
      </c>
      <c r="G209" s="11" t="s">
        <v>18</v>
      </c>
      <c r="H209" s="11">
        <v>4128632</v>
      </c>
      <c r="I209" s="10" t="s">
        <v>17</v>
      </c>
      <c r="J209" s="11" t="s">
        <v>18</v>
      </c>
      <c r="K209" s="11">
        <v>5976450</v>
      </c>
      <c r="L209" s="10" t="s">
        <v>17</v>
      </c>
      <c r="M209" s="11" t="s">
        <v>18</v>
      </c>
      <c r="N209" s="13">
        <f t="shared" si="6"/>
        <v>13976450</v>
      </c>
      <c r="O209" s="12">
        <v>1</v>
      </c>
      <c r="P209" s="13">
        <f t="shared" si="7"/>
        <v>13976450</v>
      </c>
      <c r="Q209" s="12" t="s">
        <v>502</v>
      </c>
      <c r="R209" s="12"/>
      <c r="S209" s="32"/>
    </row>
    <row r="210" spans="1:19" x14ac:dyDescent="0.3">
      <c r="A210" t="s">
        <v>13</v>
      </c>
      <c r="B210" t="s">
        <v>14</v>
      </c>
      <c r="C210" s="10" t="s">
        <v>177</v>
      </c>
      <c r="D210" s="11" t="s">
        <v>178</v>
      </c>
      <c r="E210" s="11">
        <v>25000000</v>
      </c>
      <c r="F210" s="10" t="s">
        <v>17</v>
      </c>
      <c r="G210" s="11" t="s">
        <v>18</v>
      </c>
      <c r="H210" s="11">
        <v>15459712</v>
      </c>
      <c r="I210" s="10" t="s">
        <v>17</v>
      </c>
      <c r="J210" s="11" t="s">
        <v>18</v>
      </c>
      <c r="K210" s="11">
        <v>4281209</v>
      </c>
      <c r="L210" s="10" t="s">
        <v>17</v>
      </c>
      <c r="M210" s="11" t="s">
        <v>18</v>
      </c>
      <c r="N210" s="13">
        <f t="shared" si="6"/>
        <v>29281209</v>
      </c>
      <c r="O210" s="12">
        <v>1</v>
      </c>
      <c r="P210" s="13">
        <f t="shared" si="7"/>
        <v>29281209</v>
      </c>
      <c r="Q210" s="12"/>
      <c r="R210" s="12"/>
      <c r="S210" s="32"/>
    </row>
    <row r="211" spans="1:19" x14ac:dyDescent="0.3">
      <c r="A211" t="s">
        <v>13</v>
      </c>
      <c r="B211" t="s">
        <v>14</v>
      </c>
      <c r="C211" s="10" t="s">
        <v>325</v>
      </c>
      <c r="D211" s="11" t="s">
        <v>326</v>
      </c>
      <c r="E211" s="11">
        <v>20000000</v>
      </c>
      <c r="F211" s="10" t="s">
        <v>17</v>
      </c>
      <c r="G211" s="11" t="s">
        <v>18</v>
      </c>
      <c r="H211" s="11">
        <v>39382800</v>
      </c>
      <c r="I211" s="10" t="s">
        <v>195</v>
      </c>
      <c r="J211" s="11" t="s">
        <v>18</v>
      </c>
      <c r="K211" s="11">
        <v>9205900</v>
      </c>
      <c r="L211" s="10" t="s">
        <v>195</v>
      </c>
      <c r="M211" s="11" t="s">
        <v>18</v>
      </c>
      <c r="N211" s="13">
        <f t="shared" si="6"/>
        <v>29205900</v>
      </c>
      <c r="O211" s="12">
        <v>1</v>
      </c>
      <c r="P211" s="13">
        <f t="shared" si="7"/>
        <v>29205900</v>
      </c>
      <c r="Q211" s="12"/>
      <c r="R211" s="12"/>
      <c r="S211" s="32"/>
    </row>
    <row r="212" spans="1:19" x14ac:dyDescent="0.3">
      <c r="A212" t="s">
        <v>13</v>
      </c>
      <c r="B212" t="s">
        <v>14</v>
      </c>
      <c r="C212" s="10" t="s">
        <v>129</v>
      </c>
      <c r="D212" s="11" t="s">
        <v>130</v>
      </c>
      <c r="E212" s="11">
        <v>15000000</v>
      </c>
      <c r="F212" s="10" t="s">
        <v>17</v>
      </c>
      <c r="G212" s="11" t="s">
        <v>18</v>
      </c>
      <c r="H212" s="11">
        <v>22478985</v>
      </c>
      <c r="I212" s="10" t="s">
        <v>17</v>
      </c>
      <c r="J212" s="11" t="s">
        <v>18</v>
      </c>
      <c r="K212" s="11">
        <v>13936677</v>
      </c>
      <c r="L212" s="10" t="s">
        <v>17</v>
      </c>
      <c r="M212" s="11" t="s">
        <v>18</v>
      </c>
      <c r="N212" s="13">
        <f t="shared" si="6"/>
        <v>28936677</v>
      </c>
      <c r="O212" s="12">
        <v>1</v>
      </c>
      <c r="P212" s="13">
        <f t="shared" si="7"/>
        <v>28936677</v>
      </c>
      <c r="Q212" s="12"/>
      <c r="R212" s="12"/>
      <c r="S212" s="32"/>
    </row>
    <row r="213" spans="1:19" x14ac:dyDescent="0.3">
      <c r="A213" t="s">
        <v>13</v>
      </c>
      <c r="B213" t="s">
        <v>14</v>
      </c>
      <c r="C213" s="10" t="s">
        <v>82</v>
      </c>
      <c r="D213" s="11" t="s">
        <v>83</v>
      </c>
      <c r="E213" s="11">
        <v>21000000</v>
      </c>
      <c r="F213" s="10" t="s">
        <v>17</v>
      </c>
      <c r="G213" s="11" t="s">
        <v>18</v>
      </c>
      <c r="H213" s="11">
        <v>8175028</v>
      </c>
      <c r="I213" s="10" t="s">
        <v>17</v>
      </c>
      <c r="J213" s="11" t="s">
        <v>18</v>
      </c>
      <c r="K213" s="11">
        <v>7889916</v>
      </c>
      <c r="L213" s="10" t="s">
        <v>17</v>
      </c>
      <c r="M213" s="11" t="s">
        <v>18</v>
      </c>
      <c r="N213" s="13">
        <f t="shared" si="6"/>
        <v>28889916</v>
      </c>
      <c r="O213" s="12">
        <v>1</v>
      </c>
      <c r="P213" s="13">
        <f t="shared" si="7"/>
        <v>28889916</v>
      </c>
      <c r="Q213" s="12"/>
      <c r="R213" s="12"/>
      <c r="S213" s="32"/>
    </row>
    <row r="214" spans="1:19" x14ac:dyDescent="0.3">
      <c r="A214" t="s">
        <v>13</v>
      </c>
      <c r="B214" t="s">
        <v>14</v>
      </c>
      <c r="C214" s="10" t="s">
        <v>295</v>
      </c>
      <c r="D214" s="11" t="s">
        <v>296</v>
      </c>
      <c r="E214" s="11">
        <v>18000000</v>
      </c>
      <c r="F214" s="10" t="s">
        <v>17</v>
      </c>
      <c r="G214" s="11" t="s">
        <v>18</v>
      </c>
      <c r="H214" s="11">
        <v>13020910</v>
      </c>
      <c r="I214" s="10" t="s">
        <v>17</v>
      </c>
      <c r="J214" s="11" t="s">
        <v>18</v>
      </c>
      <c r="K214" s="11">
        <v>9468130</v>
      </c>
      <c r="L214" s="10" t="s">
        <v>17</v>
      </c>
      <c r="M214" s="11" t="s">
        <v>18</v>
      </c>
      <c r="N214" s="13">
        <f t="shared" si="6"/>
        <v>27468130</v>
      </c>
      <c r="O214" s="12">
        <v>1</v>
      </c>
      <c r="P214" s="13">
        <f t="shared" si="7"/>
        <v>27468130</v>
      </c>
      <c r="Q214" s="12"/>
      <c r="R214" s="12"/>
      <c r="S214" s="32"/>
    </row>
    <row r="215" spans="1:19" x14ac:dyDescent="0.3">
      <c r="A215" t="s">
        <v>13</v>
      </c>
      <c r="B215" t="s">
        <v>14</v>
      </c>
      <c r="C215" s="10" t="s">
        <v>149</v>
      </c>
      <c r="D215" s="11" t="s">
        <v>150</v>
      </c>
      <c r="E215" s="11">
        <v>9933246</v>
      </c>
      <c r="F215" s="10" t="s">
        <v>29</v>
      </c>
      <c r="G215" s="11" t="s">
        <v>18</v>
      </c>
      <c r="H215" s="11">
        <v>6060500</v>
      </c>
      <c r="I215" s="10" t="s">
        <v>29</v>
      </c>
      <c r="J215" s="11" t="s">
        <v>18</v>
      </c>
      <c r="K215" s="11">
        <v>17526300</v>
      </c>
      <c r="L215" s="10" t="s">
        <v>29</v>
      </c>
      <c r="M215" s="11" t="s">
        <v>18</v>
      </c>
      <c r="N215" s="13">
        <f t="shared" si="6"/>
        <v>27459546</v>
      </c>
      <c r="O215" s="12">
        <v>1</v>
      </c>
      <c r="P215" s="13">
        <f t="shared" si="7"/>
        <v>27459546</v>
      </c>
      <c r="Q215" s="12"/>
      <c r="R215" s="12"/>
      <c r="S215" s="32"/>
    </row>
    <row r="216" spans="1:19" x14ac:dyDescent="0.3">
      <c r="A216" t="s">
        <v>13</v>
      </c>
      <c r="B216" t="s">
        <v>14</v>
      </c>
      <c r="C216" s="10" t="s">
        <v>289</v>
      </c>
      <c r="D216" s="11" t="s">
        <v>290</v>
      </c>
      <c r="E216" s="11">
        <v>20000000</v>
      </c>
      <c r="F216" s="10" t="s">
        <v>17</v>
      </c>
      <c r="G216" s="11" t="s">
        <v>18</v>
      </c>
      <c r="H216" s="11">
        <v>5397644</v>
      </c>
      <c r="I216" s="10" t="s">
        <v>17</v>
      </c>
      <c r="J216" s="11" t="s">
        <v>18</v>
      </c>
      <c r="K216" s="11">
        <v>5759625</v>
      </c>
      <c r="L216" s="10" t="s">
        <v>17</v>
      </c>
      <c r="M216" s="11" t="s">
        <v>18</v>
      </c>
      <c r="N216" s="13">
        <f t="shared" si="6"/>
        <v>25759625</v>
      </c>
      <c r="O216" s="12">
        <v>1</v>
      </c>
      <c r="P216" s="13">
        <f t="shared" si="7"/>
        <v>25759625</v>
      </c>
      <c r="Q216" s="12"/>
      <c r="R216" s="12"/>
      <c r="S216" s="32"/>
    </row>
    <row r="217" spans="1:19" x14ac:dyDescent="0.3">
      <c r="A217" t="s">
        <v>13</v>
      </c>
      <c r="B217" t="s">
        <v>14</v>
      </c>
      <c r="C217" s="10" t="s">
        <v>62</v>
      </c>
      <c r="D217" s="11" t="s">
        <v>63</v>
      </c>
      <c r="E217" s="11">
        <v>24929000</v>
      </c>
      <c r="F217" s="10" t="s">
        <v>17</v>
      </c>
      <c r="G217" s="11" t="s">
        <v>18</v>
      </c>
      <c r="H217" s="11">
        <v>935146</v>
      </c>
      <c r="I217" s="10" t="s">
        <v>17</v>
      </c>
      <c r="J217" s="11" t="s">
        <v>18</v>
      </c>
      <c r="K217" s="11">
        <v>166</v>
      </c>
      <c r="L217" s="10" t="s">
        <v>17</v>
      </c>
      <c r="M217" s="11" t="s">
        <v>18</v>
      </c>
      <c r="N217" s="13">
        <f t="shared" si="6"/>
        <v>24929166</v>
      </c>
      <c r="O217" s="12">
        <v>1</v>
      </c>
      <c r="P217" s="13">
        <f t="shared" si="7"/>
        <v>24929166</v>
      </c>
      <c r="Q217" s="12"/>
      <c r="R217" s="12"/>
      <c r="S217" s="32"/>
    </row>
    <row r="218" spans="1:19" x14ac:dyDescent="0.3">
      <c r="A218" t="s">
        <v>13</v>
      </c>
      <c r="B218" t="s">
        <v>14</v>
      </c>
      <c r="C218" s="10" t="s">
        <v>220</v>
      </c>
      <c r="D218" s="11" t="s">
        <v>221</v>
      </c>
      <c r="E218" s="11">
        <v>7509380</v>
      </c>
      <c r="F218" s="10" t="s">
        <v>17</v>
      </c>
      <c r="G218" s="11" t="s">
        <v>18</v>
      </c>
      <c r="H218" s="11">
        <v>2808279</v>
      </c>
      <c r="I218" s="10" t="s">
        <v>17</v>
      </c>
      <c r="J218" s="11" t="s">
        <v>18</v>
      </c>
      <c r="K218" s="11">
        <v>12414589</v>
      </c>
      <c r="L218" s="10" t="s">
        <v>17</v>
      </c>
      <c r="M218" s="11" t="s">
        <v>18</v>
      </c>
      <c r="N218" s="13">
        <f t="shared" si="6"/>
        <v>19923969</v>
      </c>
      <c r="O218" s="12">
        <v>1</v>
      </c>
      <c r="P218" s="13">
        <f t="shared" si="7"/>
        <v>19923969</v>
      </c>
      <c r="Q218" s="12"/>
      <c r="R218" s="12"/>
      <c r="S218" s="32"/>
    </row>
    <row r="219" spans="1:19" x14ac:dyDescent="0.3">
      <c r="A219" t="s">
        <v>13</v>
      </c>
      <c r="B219" t="s">
        <v>14</v>
      </c>
      <c r="C219" s="10" t="s">
        <v>253</v>
      </c>
      <c r="D219" s="11" t="s">
        <v>254</v>
      </c>
      <c r="E219" s="11">
        <v>1617377</v>
      </c>
      <c r="F219" s="10" t="s">
        <v>17</v>
      </c>
      <c r="G219" s="11" t="s">
        <v>18</v>
      </c>
      <c r="H219" s="11">
        <v>1599013</v>
      </c>
      <c r="I219" s="10" t="s">
        <v>17</v>
      </c>
      <c r="J219" s="11" t="s">
        <v>18</v>
      </c>
      <c r="K219" s="11">
        <v>17829747</v>
      </c>
      <c r="L219" s="10" t="s">
        <v>17</v>
      </c>
      <c r="M219" s="11" t="s">
        <v>18</v>
      </c>
      <c r="N219" s="13">
        <f t="shared" si="6"/>
        <v>19447124</v>
      </c>
      <c r="O219" s="12">
        <v>1</v>
      </c>
      <c r="P219" s="13">
        <f t="shared" si="7"/>
        <v>19447124</v>
      </c>
      <c r="Q219" s="12"/>
      <c r="R219" s="12"/>
      <c r="S219" s="32"/>
    </row>
    <row r="220" spans="1:19" x14ac:dyDescent="0.3">
      <c r="A220" t="s">
        <v>13</v>
      </c>
      <c r="B220" t="s">
        <v>14</v>
      </c>
      <c r="C220" s="10" t="s">
        <v>249</v>
      </c>
      <c r="D220" s="11" t="s">
        <v>250</v>
      </c>
      <c r="E220" s="11">
        <v>10000000</v>
      </c>
      <c r="F220" s="10" t="s">
        <v>17</v>
      </c>
      <c r="G220" s="11" t="s">
        <v>18</v>
      </c>
      <c r="H220" s="11">
        <v>4056555</v>
      </c>
      <c r="I220" s="10" t="s">
        <v>17</v>
      </c>
      <c r="J220" s="11" t="s">
        <v>18</v>
      </c>
      <c r="K220" s="11">
        <v>9191384</v>
      </c>
      <c r="L220" s="10" t="s">
        <v>17</v>
      </c>
      <c r="M220" s="11" t="s">
        <v>18</v>
      </c>
      <c r="N220" s="13">
        <f t="shared" si="6"/>
        <v>19191384</v>
      </c>
      <c r="O220" s="12">
        <v>1</v>
      </c>
      <c r="P220" s="13">
        <f t="shared" si="7"/>
        <v>19191384</v>
      </c>
      <c r="Q220" s="12"/>
      <c r="R220" s="12"/>
      <c r="S220" s="32"/>
    </row>
    <row r="221" spans="1:19" x14ac:dyDescent="0.3">
      <c r="A221" t="s">
        <v>13</v>
      </c>
      <c r="B221" t="s">
        <v>14</v>
      </c>
      <c r="C221" s="10" t="s">
        <v>259</v>
      </c>
      <c r="D221" s="11" t="s">
        <v>260</v>
      </c>
      <c r="E221" s="11">
        <v>9955207</v>
      </c>
      <c r="F221" s="10" t="s">
        <v>17</v>
      </c>
      <c r="G221" s="11" t="s">
        <v>18</v>
      </c>
      <c r="H221" s="11">
        <v>7584185</v>
      </c>
      <c r="I221" s="10" t="s">
        <v>17</v>
      </c>
      <c r="J221" s="11" t="s">
        <v>18</v>
      </c>
      <c r="K221" s="11">
        <v>9021283</v>
      </c>
      <c r="L221" s="10" t="s">
        <v>17</v>
      </c>
      <c r="M221" s="11" t="s">
        <v>18</v>
      </c>
      <c r="N221" s="13">
        <f t="shared" si="6"/>
        <v>18976490</v>
      </c>
      <c r="O221" s="12">
        <v>1</v>
      </c>
      <c r="P221" s="13">
        <f t="shared" si="7"/>
        <v>18976490</v>
      </c>
      <c r="Q221" s="12"/>
      <c r="R221" s="12"/>
      <c r="S221" s="32"/>
    </row>
    <row r="222" spans="1:19" x14ac:dyDescent="0.3">
      <c r="A222" t="s">
        <v>13</v>
      </c>
      <c r="B222" t="s">
        <v>14</v>
      </c>
      <c r="C222" s="10" t="s">
        <v>299</v>
      </c>
      <c r="D222" s="11" t="s">
        <v>300</v>
      </c>
      <c r="E222" s="11">
        <v>6120626</v>
      </c>
      <c r="F222" s="10" t="s">
        <v>17</v>
      </c>
      <c r="G222" s="11" t="s">
        <v>18</v>
      </c>
      <c r="H222" s="11">
        <v>5594872</v>
      </c>
      <c r="I222" s="10" t="s">
        <v>17</v>
      </c>
      <c r="J222" s="11" t="s">
        <v>18</v>
      </c>
      <c r="K222" s="11">
        <v>11591830</v>
      </c>
      <c r="L222" s="10" t="s">
        <v>17</v>
      </c>
      <c r="M222" s="11" t="s">
        <v>18</v>
      </c>
      <c r="N222" s="13">
        <f t="shared" si="6"/>
        <v>17712456</v>
      </c>
      <c r="O222" s="12">
        <v>1</v>
      </c>
      <c r="P222" s="13">
        <f t="shared" si="7"/>
        <v>17712456</v>
      </c>
      <c r="Q222" s="12"/>
      <c r="R222" s="12"/>
      <c r="S222" s="32"/>
    </row>
    <row r="223" spans="1:19" x14ac:dyDescent="0.3">
      <c r="A223" t="s">
        <v>13</v>
      </c>
      <c r="B223" t="s">
        <v>14</v>
      </c>
      <c r="C223" s="10" t="s">
        <v>131</v>
      </c>
      <c r="D223" s="11" t="s">
        <v>132</v>
      </c>
      <c r="E223" s="11">
        <v>8000000</v>
      </c>
      <c r="F223" s="10" t="s">
        <v>17</v>
      </c>
      <c r="G223" s="11" t="s">
        <v>18</v>
      </c>
      <c r="H223" s="11">
        <v>2511735</v>
      </c>
      <c r="I223" s="10" t="s">
        <v>17</v>
      </c>
      <c r="J223" s="11" t="s">
        <v>18</v>
      </c>
      <c r="K223" s="11">
        <v>5681479</v>
      </c>
      <c r="L223" s="10" t="s">
        <v>17</v>
      </c>
      <c r="M223" s="11" t="s">
        <v>18</v>
      </c>
      <c r="N223" s="13">
        <f t="shared" si="6"/>
        <v>13681479</v>
      </c>
      <c r="O223" s="12">
        <v>1</v>
      </c>
      <c r="P223" s="13">
        <f t="shared" si="7"/>
        <v>13681479</v>
      </c>
      <c r="Q223" s="12"/>
      <c r="R223" s="12"/>
      <c r="S223" s="32"/>
    </row>
    <row r="224" spans="1:19" x14ac:dyDescent="0.3">
      <c r="A224" t="s">
        <v>13</v>
      </c>
      <c r="B224" t="s">
        <v>14</v>
      </c>
      <c r="C224" s="10" t="s">
        <v>358</v>
      </c>
      <c r="D224" s="11" t="s">
        <v>357</v>
      </c>
      <c r="E224" s="11">
        <v>12000000</v>
      </c>
      <c r="F224" s="10" t="s">
        <v>17</v>
      </c>
      <c r="G224" s="11" t="s">
        <v>18</v>
      </c>
      <c r="H224" s="11">
        <v>4146079</v>
      </c>
      <c r="I224" s="10" t="s">
        <v>17</v>
      </c>
      <c r="J224" s="11" t="s">
        <v>18</v>
      </c>
      <c r="K224" s="11">
        <v>1390710</v>
      </c>
      <c r="L224" s="10" t="s">
        <v>17</v>
      </c>
      <c r="M224" s="11" t="s">
        <v>18</v>
      </c>
      <c r="N224" s="13">
        <f t="shared" si="6"/>
        <v>13390710</v>
      </c>
      <c r="O224" s="12">
        <v>1</v>
      </c>
      <c r="P224" s="13">
        <f t="shared" si="7"/>
        <v>13390710</v>
      </c>
      <c r="Q224" s="12"/>
      <c r="R224" s="12"/>
      <c r="S224" s="32"/>
    </row>
    <row r="225" spans="1:19" x14ac:dyDescent="0.3">
      <c r="A225" t="s">
        <v>13</v>
      </c>
      <c r="B225" t="s">
        <v>14</v>
      </c>
      <c r="C225" s="10" t="s">
        <v>361</v>
      </c>
      <c r="D225" s="11" t="s">
        <v>362</v>
      </c>
      <c r="E225" s="11">
        <v>12323534</v>
      </c>
      <c r="F225" s="10" t="s">
        <v>17</v>
      </c>
      <c r="G225" s="11" t="s">
        <v>18</v>
      </c>
      <c r="H225" s="11">
        <v>4020496</v>
      </c>
      <c r="I225" s="10" t="s">
        <v>17</v>
      </c>
      <c r="J225" s="11" t="s">
        <v>18</v>
      </c>
      <c r="K225" s="11">
        <v>825474</v>
      </c>
      <c r="L225" s="10" t="s">
        <v>17</v>
      </c>
      <c r="M225" s="11" t="s">
        <v>18</v>
      </c>
      <c r="N225" s="13">
        <f t="shared" si="6"/>
        <v>13149008</v>
      </c>
      <c r="O225" s="12">
        <v>1</v>
      </c>
      <c r="P225" s="13">
        <f t="shared" si="7"/>
        <v>13149008</v>
      </c>
      <c r="Q225" s="12"/>
      <c r="R225" s="12"/>
      <c r="S225" s="32"/>
    </row>
    <row r="226" spans="1:19" x14ac:dyDescent="0.3">
      <c r="A226" t="s">
        <v>13</v>
      </c>
      <c r="B226" t="s">
        <v>14</v>
      </c>
      <c r="C226" s="10" t="s">
        <v>356</v>
      </c>
      <c r="D226" s="11" t="s">
        <v>357</v>
      </c>
      <c r="E226" s="11">
        <v>12000000</v>
      </c>
      <c r="F226" s="10" t="s">
        <v>347</v>
      </c>
      <c r="G226" s="11" t="s">
        <v>18</v>
      </c>
      <c r="H226" s="11">
        <v>3989413</v>
      </c>
      <c r="I226" s="10" t="s">
        <v>347</v>
      </c>
      <c r="J226" s="11" t="s">
        <v>18</v>
      </c>
      <c r="K226" s="11">
        <v>1004879</v>
      </c>
      <c r="L226" s="10" t="s">
        <v>347</v>
      </c>
      <c r="M226" s="11" t="s">
        <v>18</v>
      </c>
      <c r="N226" s="13">
        <f t="shared" si="6"/>
        <v>13004879</v>
      </c>
      <c r="O226" s="12">
        <v>1</v>
      </c>
      <c r="P226" s="13">
        <f t="shared" si="7"/>
        <v>13004879</v>
      </c>
      <c r="Q226" s="12"/>
      <c r="R226" s="12"/>
      <c r="S226" s="32"/>
    </row>
    <row r="227" spans="1:19" x14ac:dyDescent="0.3">
      <c r="A227" t="s">
        <v>13</v>
      </c>
      <c r="B227" t="s">
        <v>14</v>
      </c>
      <c r="C227" s="10" t="s">
        <v>301</v>
      </c>
      <c r="D227" s="11" t="s">
        <v>302</v>
      </c>
      <c r="E227" s="11">
        <v>6070204</v>
      </c>
      <c r="F227" s="10" t="s">
        <v>195</v>
      </c>
      <c r="G227" s="11" t="s">
        <v>18</v>
      </c>
      <c r="H227" s="11">
        <v>1606700</v>
      </c>
      <c r="I227" s="10" t="s">
        <v>195</v>
      </c>
      <c r="J227" s="11" t="s">
        <v>18</v>
      </c>
      <c r="K227" s="11">
        <v>6155100</v>
      </c>
      <c r="L227" s="10" t="s">
        <v>195</v>
      </c>
      <c r="M227" s="11" t="s">
        <v>18</v>
      </c>
      <c r="N227" s="13">
        <f t="shared" si="6"/>
        <v>12225304</v>
      </c>
      <c r="O227" s="12">
        <v>1</v>
      </c>
      <c r="P227" s="13">
        <f t="shared" si="7"/>
        <v>12225304</v>
      </c>
      <c r="Q227" s="12"/>
      <c r="R227" s="12"/>
      <c r="S227" s="32"/>
    </row>
    <row r="228" spans="1:19" x14ac:dyDescent="0.3">
      <c r="A228" t="s">
        <v>13</v>
      </c>
      <c r="B228" t="s">
        <v>14</v>
      </c>
      <c r="C228" s="10" t="s">
        <v>239</v>
      </c>
      <c r="D228" s="11" t="s">
        <v>240</v>
      </c>
      <c r="E228" s="11">
        <v>10122715</v>
      </c>
      <c r="F228" s="10" t="s">
        <v>17</v>
      </c>
      <c r="G228" s="11" t="s">
        <v>18</v>
      </c>
      <c r="H228" s="11">
        <v>2505777</v>
      </c>
      <c r="I228" s="10" t="s">
        <v>17</v>
      </c>
      <c r="J228" s="11" t="s">
        <v>18</v>
      </c>
      <c r="K228" s="11">
        <v>2077083</v>
      </c>
      <c r="L228" s="10" t="s">
        <v>17</v>
      </c>
      <c r="M228" s="11" t="s">
        <v>18</v>
      </c>
      <c r="N228" s="13">
        <f t="shared" si="6"/>
        <v>12199798</v>
      </c>
      <c r="O228" s="12">
        <v>1</v>
      </c>
      <c r="P228" s="13">
        <f t="shared" si="7"/>
        <v>12199798</v>
      </c>
      <c r="Q228" s="12"/>
      <c r="R228" s="12"/>
      <c r="S228" s="32"/>
    </row>
    <row r="229" spans="1:19" x14ac:dyDescent="0.3">
      <c r="A229" t="s">
        <v>13</v>
      </c>
      <c r="B229" t="s">
        <v>14</v>
      </c>
      <c r="C229" s="10" t="s">
        <v>323</v>
      </c>
      <c r="D229" s="11" t="s">
        <v>324</v>
      </c>
      <c r="E229" s="11">
        <v>6000000</v>
      </c>
      <c r="F229" s="10" t="s">
        <v>17</v>
      </c>
      <c r="G229" s="11" t="s">
        <v>18</v>
      </c>
      <c r="H229" s="11">
        <v>4266675</v>
      </c>
      <c r="I229" s="10" t="s">
        <v>17</v>
      </c>
      <c r="J229" s="11" t="s">
        <v>18</v>
      </c>
      <c r="K229" s="11">
        <v>1896054</v>
      </c>
      <c r="L229" s="10" t="s">
        <v>17</v>
      </c>
      <c r="M229" s="11" t="s">
        <v>18</v>
      </c>
      <c r="N229" s="13">
        <f t="shared" si="6"/>
        <v>7896054</v>
      </c>
      <c r="O229" s="12">
        <v>1</v>
      </c>
      <c r="P229" s="13">
        <f t="shared" si="7"/>
        <v>7896054</v>
      </c>
      <c r="Q229" s="12"/>
      <c r="R229" s="12"/>
      <c r="S229" s="32"/>
    </row>
    <row r="230" spans="1:19" x14ac:dyDescent="0.3">
      <c r="A230" t="s">
        <v>13</v>
      </c>
      <c r="B230" t="s">
        <v>14</v>
      </c>
      <c r="C230" s="10" t="s">
        <v>343</v>
      </c>
      <c r="D230" s="11" t="s">
        <v>344</v>
      </c>
      <c r="E230" s="11">
        <v>4446875</v>
      </c>
      <c r="F230" s="10" t="s">
        <v>17</v>
      </c>
      <c r="G230" s="11" t="s">
        <v>18</v>
      </c>
      <c r="H230" s="11">
        <v>2717938</v>
      </c>
      <c r="I230" s="10" t="s">
        <v>17</v>
      </c>
      <c r="J230" s="11" t="s">
        <v>18</v>
      </c>
      <c r="K230" s="11">
        <v>3212017</v>
      </c>
      <c r="L230" s="10" t="s">
        <v>17</v>
      </c>
      <c r="M230" s="11" t="s">
        <v>18</v>
      </c>
      <c r="N230" s="13">
        <f t="shared" si="6"/>
        <v>7658892</v>
      </c>
      <c r="O230" s="12">
        <v>1</v>
      </c>
      <c r="P230" s="13">
        <f t="shared" si="7"/>
        <v>7658892</v>
      </c>
      <c r="Q230" s="12"/>
      <c r="R230" s="12"/>
      <c r="S230" s="32"/>
    </row>
    <row r="231" spans="1:19" x14ac:dyDescent="0.3">
      <c r="A231" t="s">
        <v>13</v>
      </c>
      <c r="B231" t="s">
        <v>14</v>
      </c>
      <c r="C231" s="10" t="s">
        <v>117</v>
      </c>
      <c r="D231" s="11" t="s">
        <v>118</v>
      </c>
      <c r="E231" s="11">
        <v>4000000</v>
      </c>
      <c r="F231" s="10" t="s">
        <v>17</v>
      </c>
      <c r="G231" s="11" t="s">
        <v>18</v>
      </c>
      <c r="H231" s="11">
        <v>1987798</v>
      </c>
      <c r="I231" s="10" t="s">
        <v>17</v>
      </c>
      <c r="J231" s="11" t="s">
        <v>18</v>
      </c>
      <c r="K231" s="11">
        <v>3324448</v>
      </c>
      <c r="L231" s="10" t="s">
        <v>17</v>
      </c>
      <c r="M231" s="11" t="s">
        <v>18</v>
      </c>
      <c r="N231" s="13">
        <f t="shared" si="6"/>
        <v>7324448</v>
      </c>
      <c r="O231" s="12">
        <v>1</v>
      </c>
      <c r="P231" s="13">
        <f t="shared" si="7"/>
        <v>7324448</v>
      </c>
      <c r="Q231" s="12"/>
      <c r="R231" s="12"/>
      <c r="S231" s="32"/>
    </row>
    <row r="232" spans="1:19" x14ac:dyDescent="0.3">
      <c r="A232" t="s">
        <v>13</v>
      </c>
      <c r="B232" t="s">
        <v>14</v>
      </c>
      <c r="C232" s="10" t="s">
        <v>329</v>
      </c>
      <c r="D232" s="11" t="s">
        <v>330</v>
      </c>
      <c r="E232" s="11">
        <v>3747898</v>
      </c>
      <c r="F232" s="10" t="s">
        <v>17</v>
      </c>
      <c r="G232" s="11" t="s">
        <v>18</v>
      </c>
      <c r="H232" s="11">
        <v>5121588</v>
      </c>
      <c r="I232" s="10" t="s">
        <v>17</v>
      </c>
      <c r="J232" s="11" t="s">
        <v>18</v>
      </c>
      <c r="K232" s="11">
        <v>3552164</v>
      </c>
      <c r="L232" s="10" t="s">
        <v>17</v>
      </c>
      <c r="M232" s="11" t="s">
        <v>18</v>
      </c>
      <c r="N232" s="13">
        <f t="shared" si="6"/>
        <v>7300062</v>
      </c>
      <c r="O232" s="12">
        <v>1</v>
      </c>
      <c r="P232" s="13">
        <f t="shared" si="7"/>
        <v>7300062</v>
      </c>
      <c r="Q232" s="12"/>
      <c r="R232" s="12"/>
      <c r="S232" s="32"/>
    </row>
    <row r="233" spans="1:19" x14ac:dyDescent="0.3">
      <c r="A233" t="s">
        <v>13</v>
      </c>
      <c r="B233" t="s">
        <v>14</v>
      </c>
      <c r="C233" s="10" t="s">
        <v>327</v>
      </c>
      <c r="D233" s="11" t="s">
        <v>328</v>
      </c>
      <c r="E233" s="11">
        <v>2470029</v>
      </c>
      <c r="F233" s="10" t="s">
        <v>17</v>
      </c>
      <c r="G233" s="11" t="s">
        <v>18</v>
      </c>
      <c r="H233" s="11">
        <v>1058028</v>
      </c>
      <c r="I233" s="10" t="s">
        <v>17</v>
      </c>
      <c r="J233" s="11" t="s">
        <v>18</v>
      </c>
      <c r="K233" s="11">
        <v>1306888</v>
      </c>
      <c r="L233" s="10" t="s">
        <v>17</v>
      </c>
      <c r="M233" s="11" t="s">
        <v>18</v>
      </c>
      <c r="N233" s="13">
        <f t="shared" si="6"/>
        <v>3776917</v>
      </c>
      <c r="O233" s="12">
        <v>1</v>
      </c>
      <c r="P233" s="13">
        <f t="shared" si="7"/>
        <v>3776917</v>
      </c>
      <c r="Q233" s="12"/>
      <c r="R233" s="12"/>
      <c r="S233" s="32"/>
    </row>
    <row r="234" spans="1:19" x14ac:dyDescent="0.3">
      <c r="A234" t="s">
        <v>13</v>
      </c>
      <c r="B234" t="s">
        <v>14</v>
      </c>
      <c r="C234" s="10" t="s">
        <v>241</v>
      </c>
      <c r="D234" s="11" t="s">
        <v>242</v>
      </c>
      <c r="E234" s="11">
        <v>385000</v>
      </c>
      <c r="F234" s="10" t="s">
        <v>17</v>
      </c>
      <c r="G234" s="11" t="s">
        <v>18</v>
      </c>
      <c r="H234" s="11">
        <v>641499</v>
      </c>
      <c r="I234" s="10" t="s">
        <v>17</v>
      </c>
      <c r="J234" s="11" t="s">
        <v>18</v>
      </c>
      <c r="K234" s="11">
        <v>3147123</v>
      </c>
      <c r="L234" s="10" t="s">
        <v>17</v>
      </c>
      <c r="M234" s="11" t="s">
        <v>18</v>
      </c>
      <c r="N234" s="13">
        <f t="shared" si="6"/>
        <v>3532123</v>
      </c>
      <c r="O234" s="12">
        <v>1</v>
      </c>
      <c r="P234" s="13">
        <f t="shared" si="7"/>
        <v>3532123</v>
      </c>
      <c r="Q234" s="12"/>
      <c r="R234" s="12"/>
      <c r="S234" s="32"/>
    </row>
    <row r="235" spans="1:19" x14ac:dyDescent="0.3">
      <c r="A235" t="s">
        <v>13</v>
      </c>
      <c r="B235" t="s">
        <v>14</v>
      </c>
      <c r="C235" s="10" t="s">
        <v>307</v>
      </c>
      <c r="D235" s="11" t="s">
        <v>308</v>
      </c>
      <c r="E235" s="11">
        <v>900000</v>
      </c>
      <c r="F235" s="10" t="s">
        <v>17</v>
      </c>
      <c r="G235" s="11" t="s">
        <v>18</v>
      </c>
      <c r="H235" s="11">
        <v>672301</v>
      </c>
      <c r="I235" s="10" t="s">
        <v>17</v>
      </c>
      <c r="J235" s="11" t="s">
        <v>18</v>
      </c>
      <c r="K235" s="11">
        <v>1711333</v>
      </c>
      <c r="L235" s="10" t="s">
        <v>17</v>
      </c>
      <c r="M235" s="11" t="s">
        <v>18</v>
      </c>
      <c r="N235" s="13">
        <f t="shared" si="6"/>
        <v>2611333</v>
      </c>
      <c r="O235" s="12">
        <v>1</v>
      </c>
      <c r="P235" s="13">
        <f t="shared" si="7"/>
        <v>2611333</v>
      </c>
      <c r="Q235" s="12"/>
      <c r="R235" s="12"/>
      <c r="S235" s="32"/>
    </row>
    <row r="236" spans="1:19" x14ac:dyDescent="0.3">
      <c r="A236" t="s">
        <v>13</v>
      </c>
      <c r="B236" t="s">
        <v>14</v>
      </c>
      <c r="C236" s="10" t="s">
        <v>303</v>
      </c>
      <c r="D236" s="11" t="s">
        <v>304</v>
      </c>
      <c r="E236" s="11">
        <v>400000</v>
      </c>
      <c r="F236" s="10" t="s">
        <v>17</v>
      </c>
      <c r="G236" s="11" t="s">
        <v>18</v>
      </c>
      <c r="H236" s="11">
        <v>370190</v>
      </c>
      <c r="I236" s="10" t="s">
        <v>17</v>
      </c>
      <c r="J236" s="11" t="s">
        <v>18</v>
      </c>
      <c r="K236" s="11">
        <v>2022797</v>
      </c>
      <c r="L236" s="10" t="s">
        <v>17</v>
      </c>
      <c r="M236" s="11" t="s">
        <v>18</v>
      </c>
      <c r="N236" s="13">
        <f t="shared" si="6"/>
        <v>2422797</v>
      </c>
      <c r="O236" s="12">
        <v>1</v>
      </c>
      <c r="P236" s="13">
        <f t="shared" si="7"/>
        <v>2422797</v>
      </c>
      <c r="Q236" s="12"/>
      <c r="R236" s="12"/>
      <c r="S236" s="32"/>
    </row>
    <row r="237" spans="1:19" x14ac:dyDescent="0.3">
      <c r="A237" t="s">
        <v>13</v>
      </c>
      <c r="B237" t="s">
        <v>14</v>
      </c>
      <c r="C237" s="10" t="s">
        <v>185</v>
      </c>
      <c r="D237" s="11" t="s">
        <v>186</v>
      </c>
      <c r="E237" s="11">
        <v>40000</v>
      </c>
      <c r="F237" s="10" t="s">
        <v>17</v>
      </c>
      <c r="G237" s="11" t="s">
        <v>18</v>
      </c>
      <c r="H237" s="11">
        <v>249560</v>
      </c>
      <c r="I237" s="10" t="s">
        <v>17</v>
      </c>
      <c r="J237" s="11" t="s">
        <v>18</v>
      </c>
      <c r="K237" s="11">
        <v>1573876</v>
      </c>
      <c r="L237" s="10" t="s">
        <v>17</v>
      </c>
      <c r="M237" s="11" t="s">
        <v>18</v>
      </c>
      <c r="N237" s="13">
        <f t="shared" si="6"/>
        <v>1613876</v>
      </c>
      <c r="O237" s="12">
        <v>1</v>
      </c>
      <c r="P237" s="13">
        <f t="shared" si="7"/>
        <v>1613876</v>
      </c>
      <c r="Q237" s="12"/>
      <c r="R237" s="12"/>
      <c r="S237" s="32"/>
    </row>
    <row r="238" spans="1:19" x14ac:dyDescent="0.3">
      <c r="A238" t="s">
        <v>13</v>
      </c>
      <c r="B238" t="s">
        <v>14</v>
      </c>
      <c r="C238" s="10" t="s">
        <v>179</v>
      </c>
      <c r="D238" s="11" t="s">
        <v>180</v>
      </c>
      <c r="E238" s="11">
        <v>180000</v>
      </c>
      <c r="F238" s="10" t="s">
        <v>17</v>
      </c>
      <c r="G238" s="11" t="s">
        <v>18</v>
      </c>
      <c r="H238" s="11">
        <v>121844</v>
      </c>
      <c r="I238" s="10" t="s">
        <v>17</v>
      </c>
      <c r="J238" s="11" t="s">
        <v>18</v>
      </c>
      <c r="K238" s="11">
        <v>555536</v>
      </c>
      <c r="L238" s="10" t="s">
        <v>17</v>
      </c>
      <c r="M238" s="11" t="s">
        <v>18</v>
      </c>
      <c r="N238" s="13">
        <f t="shared" si="6"/>
        <v>735536</v>
      </c>
      <c r="O238" s="12">
        <v>1</v>
      </c>
      <c r="P238" s="13">
        <f t="shared" si="7"/>
        <v>735536</v>
      </c>
      <c r="Q238" s="12"/>
      <c r="R238" s="12"/>
      <c r="S238" s="32"/>
    </row>
    <row r="239" spans="1:19" x14ac:dyDescent="0.3">
      <c r="A239" t="s">
        <v>13</v>
      </c>
      <c r="B239" t="s">
        <v>14</v>
      </c>
      <c r="C239" s="10" t="s">
        <v>84</v>
      </c>
      <c r="D239" s="11" t="s">
        <v>85</v>
      </c>
      <c r="E239" s="11">
        <v>18970</v>
      </c>
      <c r="F239" s="10" t="s">
        <v>17</v>
      </c>
      <c r="G239" s="11" t="s">
        <v>18</v>
      </c>
      <c r="H239" s="11">
        <v>63458</v>
      </c>
      <c r="I239" s="10" t="s">
        <v>17</v>
      </c>
      <c r="J239" s="11" t="s">
        <v>18</v>
      </c>
      <c r="K239" s="11">
        <v>170290</v>
      </c>
      <c r="L239" s="10" t="s">
        <v>17</v>
      </c>
      <c r="M239" s="11" t="s">
        <v>18</v>
      </c>
      <c r="N239" s="13">
        <f t="shared" si="6"/>
        <v>189260</v>
      </c>
      <c r="O239" s="12">
        <v>1</v>
      </c>
      <c r="P239" s="13">
        <f t="shared" si="7"/>
        <v>189260</v>
      </c>
      <c r="Q239" s="12"/>
      <c r="R239" s="12"/>
      <c r="S239" s="32"/>
    </row>
  </sheetData>
  <autoFilter ref="A4:S239" xr:uid="{CD8EAFDC-0743-46AE-AD5E-A130DCE3FE1C}">
    <sortState xmlns:xlrd2="http://schemas.microsoft.com/office/spreadsheetml/2017/richdata2" ref="A6:S239">
      <sortCondition descending="1" ref="P4:P239"/>
    </sortState>
  </autoFilter>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139E-A5D5-4EA3-B741-D1D8B33A5B76}">
  <sheetPr codeName="Sheet3"/>
  <dimension ref="A2:E37"/>
  <sheetViews>
    <sheetView workbookViewId="0"/>
  </sheetViews>
  <sheetFormatPr defaultRowHeight="14.4" x14ac:dyDescent="0.3"/>
  <cols>
    <col min="2" max="2" width="54.33203125" customWidth="1"/>
    <col min="3" max="3" width="16.109375" customWidth="1"/>
    <col min="4" max="4" width="15" customWidth="1"/>
  </cols>
  <sheetData>
    <row r="2" spans="2:5" ht="18" thickBot="1" x14ac:dyDescent="0.4">
      <c r="B2" s="31" t="s">
        <v>834</v>
      </c>
    </row>
    <row r="3" spans="2:5" ht="15" thickTop="1" x14ac:dyDescent="0.3"/>
    <row r="4" spans="2:5" x14ac:dyDescent="0.3">
      <c r="B4" s="20" t="s">
        <v>461</v>
      </c>
      <c r="C4" s="27">
        <f>'PRODCOM screening and matching'!$P$33/1000000000</f>
        <v>2.3248597950000001</v>
      </c>
      <c r="D4" s="17" t="s">
        <v>582</v>
      </c>
    </row>
    <row r="5" spans="2:5" x14ac:dyDescent="0.3">
      <c r="D5" s="35"/>
    </row>
    <row r="6" spans="2:5" ht="15" thickBot="1" x14ac:dyDescent="0.35">
      <c r="B6" s="36" t="s">
        <v>623</v>
      </c>
      <c r="D6" s="35"/>
    </row>
    <row r="7" spans="2:5" x14ac:dyDescent="0.3">
      <c r="D7" s="35"/>
    </row>
    <row r="8" spans="2:5" x14ac:dyDescent="0.3">
      <c r="B8" s="20" t="s">
        <v>641</v>
      </c>
      <c r="C8" s="11">
        <v>1009</v>
      </c>
      <c r="D8" s="17" t="s">
        <v>642</v>
      </c>
      <c r="E8" s="76" t="s">
        <v>643</v>
      </c>
    </row>
    <row r="9" spans="2:5" x14ac:dyDescent="0.3">
      <c r="B9" s="20" t="s">
        <v>641</v>
      </c>
      <c r="C9" s="30">
        <f>C8/1000</f>
        <v>1.0089999999999999</v>
      </c>
      <c r="D9" s="17" t="s">
        <v>644</v>
      </c>
      <c r="E9" s="76"/>
    </row>
    <row r="10" spans="2:5" x14ac:dyDescent="0.3">
      <c r="B10" s="20" t="s">
        <v>39</v>
      </c>
      <c r="C10" s="11">
        <v>0.95</v>
      </c>
      <c r="D10" s="17" t="s">
        <v>645</v>
      </c>
      <c r="E10" s="76" t="s">
        <v>646</v>
      </c>
    </row>
    <row r="11" spans="2:5" x14ac:dyDescent="0.3">
      <c r="B11" s="20" t="s">
        <v>39</v>
      </c>
      <c r="C11" s="30">
        <f>C10*C9</f>
        <v>0.9585499999999999</v>
      </c>
      <c r="D11" s="17" t="s">
        <v>644</v>
      </c>
      <c r="E11" s="76"/>
    </row>
    <row r="12" spans="2:5" x14ac:dyDescent="0.3">
      <c r="D12" s="35"/>
      <c r="E12" s="76"/>
    </row>
    <row r="13" spans="2:5" x14ac:dyDescent="0.3">
      <c r="B13" s="20" t="s">
        <v>570</v>
      </c>
      <c r="C13" s="16">
        <v>4</v>
      </c>
      <c r="D13" s="17" t="s">
        <v>571</v>
      </c>
      <c r="E13" s="76" t="s">
        <v>572</v>
      </c>
    </row>
    <row r="14" spans="2:5" x14ac:dyDescent="0.3">
      <c r="D14" s="35"/>
      <c r="E14" s="76"/>
    </row>
    <row r="15" spans="2:5" ht="15" thickBot="1" x14ac:dyDescent="0.35">
      <c r="B15" s="36" t="s">
        <v>619</v>
      </c>
      <c r="D15" s="35"/>
      <c r="E15" s="76"/>
    </row>
    <row r="16" spans="2:5" x14ac:dyDescent="0.3">
      <c r="D16" s="35"/>
      <c r="E16" s="76"/>
    </row>
    <row r="17" spans="1:5" x14ac:dyDescent="0.3">
      <c r="B17" s="20" t="s">
        <v>604</v>
      </c>
      <c r="C17" s="11">
        <v>646</v>
      </c>
      <c r="D17" s="17" t="s">
        <v>647</v>
      </c>
      <c r="E17" s="76" t="s">
        <v>643</v>
      </c>
    </row>
    <row r="18" spans="1:5" x14ac:dyDescent="0.3">
      <c r="B18" s="20" t="s">
        <v>648</v>
      </c>
      <c r="C18" s="11">
        <v>513</v>
      </c>
      <c r="D18" s="17" t="s">
        <v>647</v>
      </c>
      <c r="E18" s="76" t="s">
        <v>643</v>
      </c>
    </row>
    <row r="19" spans="1:5" x14ac:dyDescent="0.3">
      <c r="B19" s="20" t="s">
        <v>604</v>
      </c>
      <c r="C19" s="30">
        <f>C17/1000</f>
        <v>0.64600000000000002</v>
      </c>
      <c r="D19" s="17" t="s">
        <v>649</v>
      </c>
      <c r="E19" s="76"/>
    </row>
    <row r="20" spans="1:5" x14ac:dyDescent="0.3">
      <c r="B20" s="20" t="s">
        <v>648</v>
      </c>
      <c r="C20" s="30">
        <f>C18/1000</f>
        <v>0.51300000000000001</v>
      </c>
      <c r="D20" s="17" t="s">
        <v>649</v>
      </c>
      <c r="E20" s="76"/>
    </row>
    <row r="21" spans="1:5" x14ac:dyDescent="0.3">
      <c r="D21" s="35"/>
      <c r="E21" s="76"/>
    </row>
    <row r="22" spans="1:5" x14ac:dyDescent="0.3">
      <c r="B22" s="20" t="s">
        <v>573</v>
      </c>
      <c r="C22" s="16">
        <v>3.4</v>
      </c>
      <c r="D22" s="17" t="s">
        <v>571</v>
      </c>
      <c r="E22" s="76" t="s">
        <v>572</v>
      </c>
    </row>
    <row r="23" spans="1:5" x14ac:dyDescent="0.3">
      <c r="D23" s="35"/>
      <c r="E23" s="76"/>
    </row>
    <row r="24" spans="1:5" ht="18" thickBot="1" x14ac:dyDescent="0.4">
      <c r="B24" s="31" t="s">
        <v>258</v>
      </c>
      <c r="D24" s="35"/>
      <c r="E24" s="76"/>
    </row>
    <row r="25" spans="1:5" ht="15" thickTop="1" x14ac:dyDescent="0.3">
      <c r="B25" s="20"/>
      <c r="D25" s="18"/>
      <c r="E25" s="76"/>
    </row>
    <row r="26" spans="1:5" x14ac:dyDescent="0.3">
      <c r="B26" s="20" t="s">
        <v>574</v>
      </c>
      <c r="C26" s="16">
        <v>10</v>
      </c>
      <c r="D26" s="18" t="s">
        <v>571</v>
      </c>
      <c r="E26" s="76" t="s">
        <v>575</v>
      </c>
    </row>
    <row r="27" spans="1:5" x14ac:dyDescent="0.3">
      <c r="B27" s="20" t="s">
        <v>576</v>
      </c>
      <c r="C27" s="16">
        <v>3</v>
      </c>
      <c r="D27" s="18" t="s">
        <v>571</v>
      </c>
      <c r="E27" s="76" t="s">
        <v>575</v>
      </c>
    </row>
    <row r="28" spans="1:5" x14ac:dyDescent="0.3">
      <c r="D28" s="35"/>
      <c r="E28" s="76"/>
    </row>
    <row r="29" spans="1:5" x14ac:dyDescent="0.3">
      <c r="D29" s="35"/>
      <c r="E29" s="76"/>
    </row>
    <row r="30" spans="1:5" x14ac:dyDescent="0.3">
      <c r="A30" s="3"/>
      <c r="B30" s="20" t="s">
        <v>258</v>
      </c>
      <c r="C30" s="27">
        <f>'PRODCOM screening and matching'!$P$55/1000000000</f>
        <v>1.0275579239999999</v>
      </c>
      <c r="D30" s="17" t="s">
        <v>582</v>
      </c>
      <c r="E30" s="76"/>
    </row>
    <row r="31" spans="1:5" x14ac:dyDescent="0.3">
      <c r="E31" s="76"/>
    </row>
    <row r="32" spans="1:5" ht="18" thickBot="1" x14ac:dyDescent="0.4">
      <c r="B32" s="37" t="s">
        <v>660</v>
      </c>
      <c r="E32" s="76"/>
    </row>
    <row r="33" spans="2:5" ht="15" thickTop="1" x14ac:dyDescent="0.3">
      <c r="E33" s="76"/>
    </row>
    <row r="34" spans="2:5" x14ac:dyDescent="0.3">
      <c r="C34" t="s">
        <v>661</v>
      </c>
      <c r="D34" s="19"/>
      <c r="E34" s="76"/>
    </row>
    <row r="35" spans="2:5" x14ac:dyDescent="0.3">
      <c r="B35" s="20" t="s">
        <v>657</v>
      </c>
      <c r="C35" s="16">
        <v>12.010999999999999</v>
      </c>
      <c r="D35" s="17" t="s">
        <v>662</v>
      </c>
      <c r="E35" s="76" t="s">
        <v>663</v>
      </c>
    </row>
    <row r="36" spans="2:5" x14ac:dyDescent="0.3">
      <c r="B36" s="20" t="s">
        <v>659</v>
      </c>
      <c r="C36" s="16">
        <v>15.999000000000001</v>
      </c>
      <c r="D36" s="17" t="s">
        <v>662</v>
      </c>
      <c r="E36" s="76" t="s">
        <v>663</v>
      </c>
    </row>
    <row r="37" spans="2:5" x14ac:dyDescent="0.3">
      <c r="B37" s="20" t="s">
        <v>658</v>
      </c>
      <c r="C37" s="16">
        <v>1.008</v>
      </c>
      <c r="D37" s="17" t="s">
        <v>662</v>
      </c>
      <c r="E37" s="76" t="s">
        <v>664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47BCA-DFF6-424B-B7DE-2EE5220A4745}">
  <sheetPr codeName="Sheet4"/>
  <dimension ref="A1:R92"/>
  <sheetViews>
    <sheetView zoomScaleNormal="100" workbookViewId="0"/>
  </sheetViews>
  <sheetFormatPr defaultRowHeight="14.4" x14ac:dyDescent="0.3"/>
  <cols>
    <col min="1" max="1" width="16.88671875" customWidth="1"/>
    <col min="2" max="2" width="89.77734375" customWidth="1"/>
    <col min="3" max="3" width="21.109375" customWidth="1"/>
    <col min="4" max="4" width="24" customWidth="1"/>
    <col min="5" max="5" width="52.5546875" customWidth="1"/>
    <col min="6" max="7" width="22" customWidth="1"/>
    <col min="8" max="8" width="16.44140625" customWidth="1"/>
    <col min="9" max="9" width="20.109375" customWidth="1"/>
    <col min="10" max="10" width="42.33203125" customWidth="1"/>
  </cols>
  <sheetData>
    <row r="1" spans="1:10" x14ac:dyDescent="0.3">
      <c r="A1" t="s">
        <v>577</v>
      </c>
      <c r="B1" t="s">
        <v>578</v>
      </c>
    </row>
    <row r="3" spans="1:10" x14ac:dyDescent="0.3">
      <c r="D3" s="14" t="s">
        <v>633</v>
      </c>
      <c r="E3" s="8"/>
    </row>
    <row r="4" spans="1:10" x14ac:dyDescent="0.3">
      <c r="A4" s="74" t="s">
        <v>579</v>
      </c>
      <c r="B4" s="74" t="s">
        <v>580</v>
      </c>
      <c r="C4" s="74" t="s">
        <v>581</v>
      </c>
      <c r="D4" s="74" t="s">
        <v>582</v>
      </c>
      <c r="E4" s="74" t="s">
        <v>497</v>
      </c>
      <c r="F4" s="74" t="s">
        <v>652</v>
      </c>
      <c r="G4" s="74" t="s">
        <v>653</v>
      </c>
      <c r="H4" s="74" t="s">
        <v>765</v>
      </c>
      <c r="I4" s="74" t="s">
        <v>764</v>
      </c>
      <c r="J4" s="74" t="s">
        <v>654</v>
      </c>
    </row>
    <row r="5" spans="1:10" x14ac:dyDescent="0.3">
      <c r="A5" t="s">
        <v>446</v>
      </c>
      <c r="B5" s="7" t="s">
        <v>447</v>
      </c>
      <c r="C5" s="12" t="s">
        <v>583</v>
      </c>
      <c r="D5" s="28">
        <f>INDEX('PRODCOM screening and matching'!$P$5:$P$1000, MATCH(A5, 'PRODCOM screening and matching'!$C$5:$C$1000, 0))/1000000000</f>
        <v>10.438899501</v>
      </c>
      <c r="E5" s="25" t="s">
        <v>509</v>
      </c>
      <c r="F5" s="16" t="s">
        <v>716</v>
      </c>
      <c r="G5" s="22">
        <f>3*Calculations!$C$35+6*Calculations!$C$37</f>
        <v>42.081000000000003</v>
      </c>
      <c r="H5" s="9" t="s">
        <v>766</v>
      </c>
      <c r="I5" s="23">
        <f>H5*Calculations!$C$35/G5</f>
        <v>0.85627717972481643</v>
      </c>
      <c r="J5" s="24" t="s">
        <v>665</v>
      </c>
    </row>
    <row r="6" spans="1:10" x14ac:dyDescent="0.3">
      <c r="A6" t="s">
        <v>21</v>
      </c>
      <c r="B6" s="7" t="s">
        <v>22</v>
      </c>
      <c r="C6" s="12" t="s">
        <v>584</v>
      </c>
      <c r="D6" s="28">
        <f>INDEX('PRODCOM screening and matching'!$P$5:$P$1000, MATCH(A6, 'PRODCOM screening and matching'!$C$5:$C$1000, 0))/1000000000</f>
        <v>9.3803662830000007</v>
      </c>
      <c r="E6" s="25" t="s">
        <v>510</v>
      </c>
      <c r="F6" s="16" t="s">
        <v>717</v>
      </c>
      <c r="G6" s="16">
        <v>42.08</v>
      </c>
      <c r="H6" s="9" t="s">
        <v>766</v>
      </c>
      <c r="I6" s="23">
        <f>H6*Calculations!$C$35/G6</f>
        <v>0.85629752851711038</v>
      </c>
      <c r="J6" s="24" t="s">
        <v>666</v>
      </c>
    </row>
    <row r="7" spans="1:10" x14ac:dyDescent="0.3">
      <c r="A7" t="s">
        <v>19</v>
      </c>
      <c r="B7" s="7" t="s">
        <v>20</v>
      </c>
      <c r="C7" s="12" t="s">
        <v>20</v>
      </c>
      <c r="D7" s="28">
        <f>INDEX('PRODCOM screening and matching'!$P$5:$P$1000, MATCH(A7, 'PRODCOM screening and matching'!$C$5:$C$1000, 0))/1000000000</f>
        <v>9.2444650080000006</v>
      </c>
      <c r="E7" s="25" t="s">
        <v>511</v>
      </c>
      <c r="F7" s="16" t="s">
        <v>718</v>
      </c>
      <c r="G7" s="16">
        <v>28.05</v>
      </c>
      <c r="H7" s="9" t="s">
        <v>767</v>
      </c>
      <c r="I7" s="23">
        <f>H7*Calculations!$C$35/G7</f>
        <v>0.85639928698752221</v>
      </c>
      <c r="J7" s="24" t="s">
        <v>667</v>
      </c>
    </row>
    <row r="8" spans="1:10" x14ac:dyDescent="0.3">
      <c r="A8" t="s">
        <v>396</v>
      </c>
      <c r="B8" s="7" t="s">
        <v>397</v>
      </c>
      <c r="C8" s="12" t="s">
        <v>585</v>
      </c>
      <c r="D8" s="28">
        <f>INDEX('PRODCOM screening and matching'!$P$5:$P$1000, MATCH(A8, 'PRODCOM screening and matching'!$C$5:$C$1000, 0))/1000000000</f>
        <v>7.209667177</v>
      </c>
      <c r="E8" s="25" t="s">
        <v>513</v>
      </c>
      <c r="F8" s="16" t="s">
        <v>719</v>
      </c>
      <c r="G8" s="22">
        <f>2*Calculations!$C$35+4*Calculations!$C$37</f>
        <v>28.053999999999998</v>
      </c>
      <c r="H8" s="9" t="s">
        <v>767</v>
      </c>
      <c r="I8" s="23">
        <f>H8*Calculations!$C$35/G8</f>
        <v>0.85627717972481643</v>
      </c>
      <c r="J8" s="24" t="s">
        <v>656</v>
      </c>
    </row>
    <row r="9" spans="1:10" x14ac:dyDescent="0.3">
      <c r="A9" t="s">
        <v>90</v>
      </c>
      <c r="B9" s="7" t="s">
        <v>91</v>
      </c>
      <c r="C9" s="12" t="s">
        <v>586</v>
      </c>
      <c r="D9" s="28">
        <f>INDEX('PRODCOM screening and matching'!$P$5:$P$1000, MATCH(A9, 'PRODCOM screening and matching'!$C$5:$C$1000, 0))/1000000000</f>
        <v>7.1230811449999996</v>
      </c>
      <c r="E9" s="25" t="s">
        <v>516</v>
      </c>
      <c r="F9" s="16" t="s">
        <v>720</v>
      </c>
      <c r="G9" s="16">
        <v>32.042000000000002</v>
      </c>
      <c r="H9" s="9" t="s">
        <v>768</v>
      </c>
      <c r="I9" s="23">
        <f>H9*Calculations!$C$35/G9</f>
        <v>0.3748517570688471</v>
      </c>
      <c r="J9" s="24" t="s">
        <v>668</v>
      </c>
    </row>
    <row r="10" spans="1:10" x14ac:dyDescent="0.3">
      <c r="A10" t="s">
        <v>38</v>
      </c>
      <c r="B10" s="7" t="s">
        <v>39</v>
      </c>
      <c r="C10" s="12" t="s">
        <v>39</v>
      </c>
      <c r="D10" s="28">
        <f>INDEX('PRODCOM screening and matching'!$P$5:$P$1000, MATCH(A10, 'PRODCOM screening and matching'!$C$5:$C$1000, 0))/1000000000</f>
        <v>5.9905709509999996</v>
      </c>
      <c r="E10" s="25" t="s">
        <v>518</v>
      </c>
      <c r="F10" s="16" t="s">
        <v>721</v>
      </c>
      <c r="G10" s="16">
        <v>78.11</v>
      </c>
      <c r="H10" s="9" t="s">
        <v>769</v>
      </c>
      <c r="I10" s="23">
        <f>H10*Calculations!$C$35/G10</f>
        <v>0.92262194341313541</v>
      </c>
      <c r="J10" s="24" t="s">
        <v>669</v>
      </c>
    </row>
    <row r="11" spans="1:10" x14ac:dyDescent="0.3">
      <c r="A11" t="s">
        <v>412</v>
      </c>
      <c r="B11" s="7" t="s">
        <v>413</v>
      </c>
      <c r="C11" s="12" t="s">
        <v>587</v>
      </c>
      <c r="D11" s="28">
        <f>INDEX('PRODCOM screening and matching'!$P$5:$P$1000, MATCH(A11, 'PRODCOM screening and matching'!$C$5:$C$1000, 0))/1000000000</f>
        <v>4.8304093269999999</v>
      </c>
      <c r="E11" s="25" t="s">
        <v>520</v>
      </c>
      <c r="F11" s="16" t="s">
        <v>722</v>
      </c>
      <c r="G11" s="16">
        <v>62.5</v>
      </c>
      <c r="H11" s="9" t="s">
        <v>767</v>
      </c>
      <c r="I11" s="23">
        <f>H11*Calculations!$C$35/G11</f>
        <v>0.38435199999999997</v>
      </c>
      <c r="J11" s="24" t="s">
        <v>670</v>
      </c>
    </row>
    <row r="12" spans="1:10" x14ac:dyDescent="0.3">
      <c r="A12" t="s">
        <v>394</v>
      </c>
      <c r="B12" s="7" t="s">
        <v>395</v>
      </c>
      <c r="C12" s="12" t="s">
        <v>585</v>
      </c>
      <c r="D12" s="28">
        <f>INDEX('PRODCOM screening and matching'!$P$5:$P$1000, MATCH(A12, 'PRODCOM screening and matching'!$C$5:$C$1000, 0))/1000000000</f>
        <v>4.2336402949999998</v>
      </c>
      <c r="E12" s="25" t="s">
        <v>512</v>
      </c>
      <c r="F12" s="16" t="s">
        <v>719</v>
      </c>
      <c r="G12" s="22">
        <f>2*Calculations!$C$35+4*Calculations!$C$37</f>
        <v>28.053999999999998</v>
      </c>
      <c r="H12" s="9" t="s">
        <v>767</v>
      </c>
      <c r="I12" s="23">
        <f>H12*Calculations!$C$35/G12</f>
        <v>0.85627717972481643</v>
      </c>
      <c r="J12" s="24" t="s">
        <v>656</v>
      </c>
    </row>
    <row r="13" spans="1:10" x14ac:dyDescent="0.3">
      <c r="A13" t="s">
        <v>198</v>
      </c>
      <c r="B13" s="7" t="s">
        <v>199</v>
      </c>
      <c r="C13" s="12" t="s">
        <v>588</v>
      </c>
      <c r="D13" s="28">
        <f>INDEX('PRODCOM screening and matching'!$P$5:$P$1000, MATCH(A13, 'PRODCOM screening and matching'!$C$5:$C$1000, 0))/1000000000</f>
        <v>4.0329536580000003</v>
      </c>
      <c r="E13" s="25" t="s">
        <v>522</v>
      </c>
      <c r="F13" s="16" t="s">
        <v>723</v>
      </c>
      <c r="G13" s="16">
        <v>166.13</v>
      </c>
      <c r="H13" s="9" t="s">
        <v>770</v>
      </c>
      <c r="I13" s="23">
        <f>H13*Calculations!$C$35/G13</f>
        <v>0.57839041714320105</v>
      </c>
      <c r="J13" s="24" t="s">
        <v>671</v>
      </c>
    </row>
    <row r="14" spans="1:10" x14ac:dyDescent="0.3">
      <c r="A14" t="s">
        <v>436</v>
      </c>
      <c r="B14" s="7" t="s">
        <v>437</v>
      </c>
      <c r="C14" s="12" t="s">
        <v>589</v>
      </c>
      <c r="D14" s="28">
        <f>INDEX('PRODCOM screening and matching'!$P$5:$P$1000, MATCH(A14, 'PRODCOM screening and matching'!$C$5:$C$1000, 0))/1000000000</f>
        <v>3.3092990659999999</v>
      </c>
      <c r="E14" s="25" t="s">
        <v>523</v>
      </c>
      <c r="F14" s="16" t="s">
        <v>724</v>
      </c>
      <c r="G14" s="16">
        <v>222.24</v>
      </c>
      <c r="H14" s="9" t="s">
        <v>771</v>
      </c>
      <c r="I14" s="23">
        <f>H14*Calculations!$C$35/G14</f>
        <v>0.64854211663066952</v>
      </c>
      <c r="J14" s="24" t="s">
        <v>672</v>
      </c>
    </row>
    <row r="15" spans="1:10" x14ac:dyDescent="0.3">
      <c r="A15" t="s">
        <v>48</v>
      </c>
      <c r="B15" s="7" t="s">
        <v>49</v>
      </c>
      <c r="C15" s="12" t="s">
        <v>49</v>
      </c>
      <c r="D15" s="28">
        <f>INDEX('PRODCOM screening and matching'!$P$5:$P$1000, MATCH(A15, 'PRODCOM screening and matching'!$C$5:$C$1000, 0))/1000000000</f>
        <v>2.9922403740000001</v>
      </c>
      <c r="E15" s="25" t="s">
        <v>524</v>
      </c>
      <c r="F15" s="16" t="s">
        <v>725</v>
      </c>
      <c r="G15" s="16">
        <v>104.15</v>
      </c>
      <c r="H15" s="9" t="s">
        <v>770</v>
      </c>
      <c r="I15" s="23">
        <f>H15*Calculations!$C$35/G15</f>
        <v>0.92259241478636567</v>
      </c>
      <c r="J15" s="24" t="s">
        <v>673</v>
      </c>
    </row>
    <row r="16" spans="1:10" x14ac:dyDescent="0.3">
      <c r="A16" t="s">
        <v>392</v>
      </c>
      <c r="B16" s="7" t="s">
        <v>393</v>
      </c>
      <c r="C16" s="12" t="s">
        <v>585</v>
      </c>
      <c r="D16" s="28">
        <f>INDEX('PRODCOM screening and matching'!$P$5:$P$1000, MATCH(A16, 'PRODCOM screening and matching'!$C$5:$C$1000, 0))/1000000000</f>
        <v>2.5832919400000001</v>
      </c>
      <c r="E16" s="25" t="s">
        <v>525</v>
      </c>
      <c r="F16" s="16" t="s">
        <v>719</v>
      </c>
      <c r="G16" s="22">
        <f>2*Calculations!$C$35+4*Calculations!$C$37</f>
        <v>28.053999999999998</v>
      </c>
      <c r="H16" s="9" t="s">
        <v>767</v>
      </c>
      <c r="I16" s="23">
        <f>H16*Calculations!$C$35/G16</f>
        <v>0.85627717972481643</v>
      </c>
      <c r="J16" s="24" t="s">
        <v>656</v>
      </c>
    </row>
    <row r="17" spans="1:10" x14ac:dyDescent="0.3">
      <c r="A17" t="s">
        <v>25</v>
      </c>
      <c r="B17" s="7" t="s">
        <v>26</v>
      </c>
      <c r="C17" s="12" t="s">
        <v>590</v>
      </c>
      <c r="D17" s="28">
        <f>INDEX('PRODCOM screening and matching'!$P$5:$P$1000, MATCH(A17, 'PRODCOM screening and matching'!$C$5:$C$1000, 0))/1000000000</f>
        <v>2.0495474279999999</v>
      </c>
      <c r="E17" s="25" t="s">
        <v>526</v>
      </c>
      <c r="F17" s="16" t="s">
        <v>726</v>
      </c>
      <c r="G17" s="16">
        <v>54.09</v>
      </c>
      <c r="H17" s="9" t="s">
        <v>772</v>
      </c>
      <c r="I17" s="23">
        <f>H17*Calculations!$C$35/G17</f>
        <v>0.88822333148456267</v>
      </c>
      <c r="J17" s="24" t="s">
        <v>674</v>
      </c>
    </row>
    <row r="18" spans="1:10" x14ac:dyDescent="0.3">
      <c r="A18" t="s">
        <v>23</v>
      </c>
      <c r="B18" s="7" t="s">
        <v>24</v>
      </c>
      <c r="C18" s="12" t="s">
        <v>591</v>
      </c>
      <c r="D18" s="28">
        <f>INDEX('PRODCOM screening and matching'!$P$5:$P$1000, MATCH(A18, 'PRODCOM screening and matching'!$C$5:$C$1000, 0))/1000000000</f>
        <v>1.8000767280000001</v>
      </c>
      <c r="E18" s="25" t="s">
        <v>528</v>
      </c>
      <c r="F18" s="16" t="s">
        <v>727</v>
      </c>
      <c r="G18" s="16">
        <v>112.21</v>
      </c>
      <c r="H18" s="9" t="s">
        <v>770</v>
      </c>
      <c r="I18" s="23">
        <f>H18*Calculations!$C$35/G18</f>
        <v>0.85632296586756973</v>
      </c>
      <c r="J18" s="24" t="s">
        <v>675</v>
      </c>
    </row>
    <row r="19" spans="1:10" x14ac:dyDescent="0.3">
      <c r="A19" t="s">
        <v>404</v>
      </c>
      <c r="B19" s="7" t="s">
        <v>405</v>
      </c>
      <c r="C19" s="12" t="s">
        <v>592</v>
      </c>
      <c r="D19" s="28">
        <f>INDEX('PRODCOM screening and matching'!$P$5:$P$1000, MATCH(A19, 'PRODCOM screening and matching'!$C$5:$C$1000, 0))/1000000000</f>
        <v>1.6494166889999999</v>
      </c>
      <c r="E19" s="25" t="s">
        <v>530</v>
      </c>
      <c r="F19" s="16" t="s">
        <v>728</v>
      </c>
      <c r="G19" s="22">
        <f>8*Calculations!$C$35+8*Calculations!$C$37</f>
        <v>104.15199999999999</v>
      </c>
      <c r="H19" s="9" t="s">
        <v>770</v>
      </c>
      <c r="I19" s="23">
        <f>H19*Calculations!$C$35/G19</f>
        <v>0.92257469851755136</v>
      </c>
      <c r="J19" s="24" t="s">
        <v>676</v>
      </c>
    </row>
    <row r="20" spans="1:10" x14ac:dyDescent="0.3">
      <c r="A20" t="s">
        <v>352</v>
      </c>
      <c r="B20" s="7" t="s">
        <v>353</v>
      </c>
      <c r="C20" s="12" t="s">
        <v>593</v>
      </c>
      <c r="D20" s="28">
        <f>INDEX('PRODCOM screening and matching'!$P$5:$P$1000, MATCH(A20, 'PRODCOM screening and matching'!$C$5:$C$1000, 0))/1000000000</f>
        <v>1.5120547849999999</v>
      </c>
      <c r="E20" s="25" t="s">
        <v>531</v>
      </c>
      <c r="F20" s="16" t="s">
        <v>729</v>
      </c>
      <c r="G20" s="16">
        <v>58.08</v>
      </c>
      <c r="H20" s="9" t="s">
        <v>766</v>
      </c>
      <c r="I20" s="23">
        <f>H20*Calculations!$C$35/G20</f>
        <v>0.62040289256198355</v>
      </c>
      <c r="J20" s="24" t="s">
        <v>677</v>
      </c>
    </row>
    <row r="21" spans="1:10" x14ac:dyDescent="0.3">
      <c r="A21" t="s">
        <v>104</v>
      </c>
      <c r="B21" s="7" t="s">
        <v>105</v>
      </c>
      <c r="C21" s="12" t="s">
        <v>594</v>
      </c>
      <c r="D21" s="28">
        <f>INDEX('PRODCOM screening and matching'!$P$5:$P$1000, MATCH(A21, 'PRODCOM screening and matching'!$C$5:$C$1000, 0))/1000000000</f>
        <v>1.4890492239999999</v>
      </c>
      <c r="E21" s="25" t="s">
        <v>533</v>
      </c>
      <c r="F21" s="16" t="s">
        <v>730</v>
      </c>
      <c r="G21" s="16">
        <v>62.07</v>
      </c>
      <c r="H21" s="9" t="s">
        <v>767</v>
      </c>
      <c r="I21" s="23">
        <f>H21*Calculations!$C$35/G21</f>
        <v>0.38701466086676328</v>
      </c>
      <c r="J21" s="24" t="s">
        <v>678</v>
      </c>
    </row>
    <row r="22" spans="1:10" x14ac:dyDescent="0.3">
      <c r="A22" t="s">
        <v>402</v>
      </c>
      <c r="B22" s="7" t="s">
        <v>403</v>
      </c>
      <c r="C22" s="12" t="s">
        <v>592</v>
      </c>
      <c r="D22" s="28">
        <f>INDEX('PRODCOM screening and matching'!$P$5:$P$1000, MATCH(A22, 'PRODCOM screening and matching'!$C$5:$C$1000, 0))/1000000000</f>
        <v>1.4685235169999999</v>
      </c>
      <c r="E22" s="25" t="s">
        <v>534</v>
      </c>
      <c r="F22" s="16" t="s">
        <v>728</v>
      </c>
      <c r="G22" s="22">
        <f>8*Calculations!$C$35+8*Calculations!$C$37</f>
        <v>104.15199999999999</v>
      </c>
      <c r="H22" s="9" t="s">
        <v>770</v>
      </c>
      <c r="I22" s="23">
        <f>H22*Calculations!$C$35/G22</f>
        <v>0.92257469851755136</v>
      </c>
      <c r="J22" s="24" t="s">
        <v>676</v>
      </c>
    </row>
    <row r="23" spans="1:10" x14ac:dyDescent="0.3">
      <c r="A23" t="s">
        <v>450</v>
      </c>
      <c r="B23" s="7" t="s">
        <v>451</v>
      </c>
      <c r="C23" s="12" t="s">
        <v>595</v>
      </c>
      <c r="D23" s="28">
        <f>INDEX('PRODCOM screening and matching'!$P$5:$P$1000, MATCH(A23, 'PRODCOM screening and matching'!$C$5:$C$1000, 0))/1000000000</f>
        <v>1.074467957</v>
      </c>
      <c r="E23" s="25" t="s">
        <v>535</v>
      </c>
      <c r="F23" s="16" t="s">
        <v>731</v>
      </c>
      <c r="G23" s="22">
        <f>4*Calculations!$C$35+6*Calculations!$C$37+2*Calculations!$C$36</f>
        <v>86.09</v>
      </c>
      <c r="H23" s="9" t="s">
        <v>772</v>
      </c>
      <c r="I23" s="23">
        <f>H23*Calculations!$C$35/G23</f>
        <v>0.55806713904053895</v>
      </c>
      <c r="J23" s="24" t="s">
        <v>679</v>
      </c>
    </row>
    <row r="24" spans="1:10" x14ac:dyDescent="0.3">
      <c r="A24" t="s">
        <v>311</v>
      </c>
      <c r="B24" s="7" t="s">
        <v>312</v>
      </c>
      <c r="C24" s="12" t="s">
        <v>312</v>
      </c>
      <c r="D24" s="28">
        <f>INDEX('PRODCOM screening and matching'!$P$5:$P$1000, MATCH(A24, 'PRODCOM screening and matching'!$C$5:$C$1000, 0))/1000000000</f>
        <v>1.037784064</v>
      </c>
      <c r="E24" s="25" t="s">
        <v>537</v>
      </c>
      <c r="F24" s="16" t="s">
        <v>729</v>
      </c>
      <c r="G24" s="16">
        <v>58.08</v>
      </c>
      <c r="H24" s="9" t="s">
        <v>766</v>
      </c>
      <c r="I24" s="23">
        <f>H24*Calculations!$C$35/G24</f>
        <v>0.62040289256198355</v>
      </c>
      <c r="J24" s="24" t="s">
        <v>680</v>
      </c>
    </row>
    <row r="25" spans="1:10" x14ac:dyDescent="0.3">
      <c r="A25" t="s">
        <v>64</v>
      </c>
      <c r="B25" s="7" t="s">
        <v>65</v>
      </c>
      <c r="C25" s="12" t="s">
        <v>596</v>
      </c>
      <c r="D25" s="28">
        <f>INDEX('PRODCOM screening and matching'!$P$5:$P$1000, MATCH(A25, 'PRODCOM screening and matching'!$C$5:$C$1000, 0))/1000000000</f>
        <v>1.018745547</v>
      </c>
      <c r="E25" s="25" t="s">
        <v>538</v>
      </c>
      <c r="F25" s="16" t="s">
        <v>732</v>
      </c>
      <c r="G25" s="16">
        <v>98.96</v>
      </c>
      <c r="H25" s="9" t="s">
        <v>767</v>
      </c>
      <c r="I25" s="23">
        <f>H25*Calculations!$C$35/G25</f>
        <v>0.24274454324979791</v>
      </c>
      <c r="J25" s="24" t="s">
        <v>681</v>
      </c>
    </row>
    <row r="26" spans="1:10" x14ac:dyDescent="0.3">
      <c r="A26" t="s">
        <v>40</v>
      </c>
      <c r="B26" s="7" t="s">
        <v>41</v>
      </c>
      <c r="C26" s="12" t="s">
        <v>41</v>
      </c>
      <c r="D26" s="28">
        <f>INDEX('PRODCOM screening and matching'!$P$5:$P$1000, MATCH(A26, 'PRODCOM screening and matching'!$C$5:$C$1000, 0))/1000000000</f>
        <v>1.006460688</v>
      </c>
      <c r="E26" s="25" t="s">
        <v>541</v>
      </c>
      <c r="F26" s="16" t="s">
        <v>733</v>
      </c>
      <c r="G26" s="16">
        <v>92.14</v>
      </c>
      <c r="H26" s="9" t="s">
        <v>773</v>
      </c>
      <c r="I26" s="23">
        <f>H26*Calculations!$C$35/G26</f>
        <v>0.91249186021271977</v>
      </c>
      <c r="J26" s="24" t="s">
        <v>682</v>
      </c>
    </row>
    <row r="27" spans="1:10" x14ac:dyDescent="0.3">
      <c r="A27" t="s">
        <v>218</v>
      </c>
      <c r="B27" s="7" t="s">
        <v>219</v>
      </c>
      <c r="C27" s="12" t="s">
        <v>597</v>
      </c>
      <c r="D27" s="28">
        <f>INDEX('PRODCOM screening and matching'!$P$5:$P$1000, MATCH(A27, 'PRODCOM screening and matching'!$C$5:$C$1000, 0))/1000000000</f>
        <v>0.959497198</v>
      </c>
      <c r="E27" s="25" t="s">
        <v>542</v>
      </c>
      <c r="F27" s="16" t="s">
        <v>734</v>
      </c>
      <c r="G27" s="16">
        <v>93.13</v>
      </c>
      <c r="H27" s="9" t="s">
        <v>769</v>
      </c>
      <c r="I27" s="23">
        <f>H27*Calculations!$C$35/G27</f>
        <v>0.77382153978309898</v>
      </c>
      <c r="J27" s="24" t="s">
        <v>683</v>
      </c>
    </row>
    <row r="28" spans="1:10" x14ac:dyDescent="0.3">
      <c r="A28" t="s">
        <v>287</v>
      </c>
      <c r="B28" s="7" t="s">
        <v>288</v>
      </c>
      <c r="C28" s="12" t="s">
        <v>598</v>
      </c>
      <c r="D28" s="28">
        <f>INDEX('PRODCOM screening and matching'!$P$5:$P$1000, MATCH(A28, 'PRODCOM screening and matching'!$C$5:$C$1000, 0))/1000000000</f>
        <v>0.89854172300000001</v>
      </c>
      <c r="E28" s="25" t="s">
        <v>543</v>
      </c>
      <c r="F28" s="16" t="s">
        <v>735</v>
      </c>
      <c r="G28" s="16">
        <v>30.026</v>
      </c>
      <c r="H28" s="9" t="s">
        <v>768</v>
      </c>
      <c r="I28" s="23">
        <f>H28*Calculations!$C$35/G28</f>
        <v>0.40001998268167588</v>
      </c>
      <c r="J28" s="24" t="s">
        <v>684</v>
      </c>
    </row>
    <row r="29" spans="1:10" x14ac:dyDescent="0.3">
      <c r="A29" t="s">
        <v>157</v>
      </c>
      <c r="B29" s="7" t="s">
        <v>158</v>
      </c>
      <c r="C29" s="12" t="s">
        <v>158</v>
      </c>
      <c r="D29" s="28">
        <f>INDEX('PRODCOM screening and matching'!$P$5:$P$1000, MATCH(A29, 'PRODCOM screening and matching'!$C$5:$C$1000, 0))/1000000000</f>
        <v>0.88939678099999997</v>
      </c>
      <c r="E29" s="25" t="s">
        <v>544</v>
      </c>
      <c r="F29" s="16" t="s">
        <v>736</v>
      </c>
      <c r="G29" s="16">
        <v>60.05</v>
      </c>
      <c r="H29" s="9" t="s">
        <v>767</v>
      </c>
      <c r="I29" s="23">
        <f>H29*Calculations!$C$35/G29</f>
        <v>0.40003330557868444</v>
      </c>
      <c r="J29" s="24" t="s">
        <v>685</v>
      </c>
    </row>
    <row r="30" spans="1:10" x14ac:dyDescent="0.3">
      <c r="A30" t="s">
        <v>408</v>
      </c>
      <c r="B30" s="7" t="s">
        <v>409</v>
      </c>
      <c r="C30" s="12" t="s">
        <v>599</v>
      </c>
      <c r="D30" s="28">
        <f>INDEX('PRODCOM screening and matching'!$P$5:$P$1000, MATCH(A30, 'PRODCOM screening and matching'!$C$5:$C$1000, 0))/1000000000</f>
        <v>0.81732564399999996</v>
      </c>
      <c r="E30" s="25" t="s">
        <v>546</v>
      </c>
      <c r="F30" s="16" t="s">
        <v>737</v>
      </c>
      <c r="G30" s="16">
        <v>211.3</v>
      </c>
      <c r="H30" s="9" t="s">
        <v>774</v>
      </c>
      <c r="I30" s="23">
        <f>H30*Calculations!$C$35/G30</f>
        <v>0.85265026029342161</v>
      </c>
      <c r="J30" s="24" t="s">
        <v>686</v>
      </c>
    </row>
    <row r="31" spans="1:10" x14ac:dyDescent="0.3">
      <c r="A31" t="s">
        <v>68</v>
      </c>
      <c r="B31" s="7" t="s">
        <v>69</v>
      </c>
      <c r="C31" s="12" t="s">
        <v>600</v>
      </c>
      <c r="D31" s="28">
        <f>INDEX('PRODCOM screening and matching'!$P$5:$P$1000, MATCH(A31, 'PRODCOM screening and matching'!$C$5:$C$1000, 0))/1000000000</f>
        <v>0.80778956499999999</v>
      </c>
      <c r="E31" s="25" t="s">
        <v>548</v>
      </c>
      <c r="F31" s="16" t="s">
        <v>722</v>
      </c>
      <c r="G31" s="16">
        <v>62.5</v>
      </c>
      <c r="H31" s="9" t="s">
        <v>767</v>
      </c>
      <c r="I31" s="23">
        <f>H31*Calculations!$C$35/G31</f>
        <v>0.38435199999999997</v>
      </c>
      <c r="J31" s="24" t="s">
        <v>670</v>
      </c>
    </row>
    <row r="32" spans="1:10" x14ac:dyDescent="0.3">
      <c r="A32" t="s">
        <v>350</v>
      </c>
      <c r="B32" s="7" t="s">
        <v>351</v>
      </c>
      <c r="C32" s="12" t="s">
        <v>601</v>
      </c>
      <c r="D32" s="28">
        <f>INDEX('PRODCOM screening and matching'!$P$5:$P$1000, MATCH(A32, 'PRODCOM screening and matching'!$C$5:$C$1000, 0))/1000000000</f>
        <v>0.80212793400000004</v>
      </c>
      <c r="E32" s="25" t="s">
        <v>549</v>
      </c>
      <c r="F32" s="16" t="s">
        <v>738</v>
      </c>
      <c r="G32" s="16">
        <v>44.05</v>
      </c>
      <c r="H32" s="9" t="s">
        <v>767</v>
      </c>
      <c r="I32" s="23">
        <f>H32*Calculations!$C$35/G32</f>
        <v>0.54533484676503974</v>
      </c>
      <c r="J32" s="24" t="s">
        <v>687</v>
      </c>
    </row>
    <row r="33" spans="1:10" x14ac:dyDescent="0.3">
      <c r="A33" t="s">
        <v>438</v>
      </c>
      <c r="B33" s="7" t="s">
        <v>439</v>
      </c>
      <c r="C33" s="12" t="s">
        <v>589</v>
      </c>
      <c r="D33" s="28">
        <f>INDEX('PRODCOM screening and matching'!$P$5:$P$1000, MATCH(A33, 'PRODCOM screening and matching'!$C$5:$C$1000, 0))/1000000000</f>
        <v>0.78118322600000001</v>
      </c>
      <c r="E33" s="25" t="s">
        <v>523</v>
      </c>
      <c r="F33" s="16" t="s">
        <v>724</v>
      </c>
      <c r="G33" s="16">
        <v>222.24</v>
      </c>
      <c r="H33" s="9" t="s">
        <v>771</v>
      </c>
      <c r="I33" s="23">
        <f>H33*Calculations!$C$35/G33</f>
        <v>0.64854211663066952</v>
      </c>
      <c r="J33" s="24" t="s">
        <v>672</v>
      </c>
    </row>
    <row r="34" spans="1:10" x14ac:dyDescent="0.3">
      <c r="A34" t="s">
        <v>416</v>
      </c>
      <c r="B34" s="7" t="s">
        <v>417</v>
      </c>
      <c r="C34" s="12" t="s">
        <v>587</v>
      </c>
      <c r="D34" s="28">
        <f>INDEX('PRODCOM screening and matching'!$P$5:$P$1000, MATCH(A34, 'PRODCOM screening and matching'!$C$5:$C$1000, 0))/1000000000</f>
        <v>0.77995666399999997</v>
      </c>
      <c r="E34" s="25" t="s">
        <v>550</v>
      </c>
      <c r="F34" s="16" t="s">
        <v>722</v>
      </c>
      <c r="G34" s="16">
        <v>62.5</v>
      </c>
      <c r="H34" s="9" t="s">
        <v>767</v>
      </c>
      <c r="I34" s="23">
        <f>H34*Calculations!$C$35/G34</f>
        <v>0.38435199999999997</v>
      </c>
      <c r="J34" s="24" t="s">
        <v>670</v>
      </c>
    </row>
    <row r="35" spans="1:10" x14ac:dyDescent="0.3">
      <c r="A35" t="s">
        <v>398</v>
      </c>
      <c r="B35" s="7" t="s">
        <v>399</v>
      </c>
      <c r="C35" s="12" t="s">
        <v>602</v>
      </c>
      <c r="D35" s="28">
        <f>INDEX('PRODCOM screening and matching'!$P$5:$P$1000, MATCH(A35, 'PRODCOM screening and matching'!$C$5:$C$1000, 0))/1000000000</f>
        <v>0.67715197900000001</v>
      </c>
      <c r="E35" s="25" t="s">
        <v>551</v>
      </c>
      <c r="F35" s="16" t="s">
        <v>739</v>
      </c>
      <c r="G35" s="16">
        <v>114.14</v>
      </c>
      <c r="H35" s="9" t="s">
        <v>769</v>
      </c>
      <c r="I35" s="23">
        <f>H35*Calculations!$C$35/G35</f>
        <v>0.63138251270369727</v>
      </c>
      <c r="J35" s="24" t="s">
        <v>688</v>
      </c>
    </row>
    <row r="36" spans="1:10" x14ac:dyDescent="0.3">
      <c r="A36" t="s">
        <v>167</v>
      </c>
      <c r="B36" s="7" t="s">
        <v>168</v>
      </c>
      <c r="C36" s="12" t="s">
        <v>168</v>
      </c>
      <c r="D36" s="28">
        <f>INDEX('PRODCOM screening and matching'!$P$5:$P$1000, MATCH(A36, 'PRODCOM screening and matching'!$C$5:$C$1000, 0))/1000000000</f>
        <v>0.64895442299999995</v>
      </c>
      <c r="E36" s="25" t="s">
        <v>514</v>
      </c>
      <c r="F36" s="16" t="s">
        <v>740</v>
      </c>
      <c r="G36" s="16">
        <v>128.16900000000001</v>
      </c>
      <c r="H36" s="9" t="s">
        <v>773</v>
      </c>
      <c r="I36" s="23">
        <f>H36*Calculations!$C$35/G36</f>
        <v>0.6559854567016985</v>
      </c>
      <c r="J36" s="24" t="s">
        <v>689</v>
      </c>
    </row>
    <row r="37" spans="1:10" x14ac:dyDescent="0.3">
      <c r="A37" t="s">
        <v>92</v>
      </c>
      <c r="B37" s="7" t="s">
        <v>93</v>
      </c>
      <c r="C37" s="12" t="s">
        <v>603</v>
      </c>
      <c r="D37" s="28">
        <f>INDEX('PRODCOM screening and matching'!$P$5:$P$1000, MATCH(A37, 'PRODCOM screening and matching'!$C$5:$C$1000, 0))/1000000000</f>
        <v>0.63363000199999997</v>
      </c>
      <c r="E37" s="25" t="s">
        <v>552</v>
      </c>
      <c r="F37" s="16" t="s">
        <v>741</v>
      </c>
      <c r="G37" s="16">
        <v>60.1</v>
      </c>
      <c r="H37" s="9" t="s">
        <v>766</v>
      </c>
      <c r="I37" s="23">
        <f>H37*Calculations!$C$35/G37</f>
        <v>0.59955074875207992</v>
      </c>
      <c r="J37" s="24" t="s">
        <v>690</v>
      </c>
    </row>
    <row r="38" spans="1:10" x14ac:dyDescent="0.3">
      <c r="A38" t="s">
        <v>52</v>
      </c>
      <c r="B38" s="7" t="s">
        <v>53</v>
      </c>
      <c r="C38" s="12" t="s">
        <v>53</v>
      </c>
      <c r="D38" s="28">
        <f>INDEX('PRODCOM screening and matching'!$P$5:$P$1000, MATCH(A38, 'PRODCOM screening and matching'!$C$5:$C$1000, 0))/1000000000</f>
        <v>0.61555055199999997</v>
      </c>
      <c r="E38" s="25" t="s">
        <v>553</v>
      </c>
      <c r="F38" s="16" t="s">
        <v>742</v>
      </c>
      <c r="G38" s="16">
        <v>120.19</v>
      </c>
      <c r="H38" s="9" t="s">
        <v>775</v>
      </c>
      <c r="I38" s="23">
        <f>H38*Calculations!$C$35/G38</f>
        <v>0.89940094849821106</v>
      </c>
      <c r="J38" s="24" t="s">
        <v>691</v>
      </c>
    </row>
    <row r="39" spans="1:10" x14ac:dyDescent="0.3">
      <c r="A39" t="s">
        <v>34</v>
      </c>
      <c r="B39" s="7" t="s">
        <v>35</v>
      </c>
      <c r="C39" s="12" t="s">
        <v>35</v>
      </c>
      <c r="D39" s="28">
        <f>INDEX('PRODCOM screening and matching'!$P$5:$P$1000, MATCH(A39, 'PRODCOM screening and matching'!$C$5:$C$1000, 0))/1000000000</f>
        <v>0.61433399600000005</v>
      </c>
      <c r="E39" s="25" t="s">
        <v>554</v>
      </c>
      <c r="F39" s="16" t="s">
        <v>743</v>
      </c>
      <c r="G39" s="16">
        <v>84.16</v>
      </c>
      <c r="H39" s="9" t="s">
        <v>769</v>
      </c>
      <c r="I39" s="23">
        <f>H39*Calculations!$C$35/G39</f>
        <v>0.85629752851711038</v>
      </c>
      <c r="J39" s="24" t="s">
        <v>692</v>
      </c>
    </row>
    <row r="40" spans="1:10" x14ac:dyDescent="0.3">
      <c r="A40" t="s">
        <v>189</v>
      </c>
      <c r="B40" s="7" t="s">
        <v>190</v>
      </c>
      <c r="C40" s="12" t="s">
        <v>604</v>
      </c>
      <c r="D40" s="28">
        <f>INDEX('PRODCOM screening and matching'!$P$5:$P$1000, MATCH(A40, 'PRODCOM screening and matching'!$C$5:$C$1000, 0))/1000000000</f>
        <v>0.58128906700000005</v>
      </c>
      <c r="E40" s="25" t="s">
        <v>555</v>
      </c>
      <c r="F40" s="16" t="s">
        <v>744</v>
      </c>
      <c r="G40" s="16">
        <v>146.13999999999999</v>
      </c>
      <c r="H40" s="9" t="s">
        <v>769</v>
      </c>
      <c r="I40" s="23">
        <f>H40*Calculations!$C$35/G40</f>
        <v>0.49312987546188591</v>
      </c>
      <c r="J40" s="24" t="s">
        <v>693</v>
      </c>
    </row>
    <row r="41" spans="1:10" x14ac:dyDescent="0.3">
      <c r="A41" t="s">
        <v>44</v>
      </c>
      <c r="B41" s="7" t="s">
        <v>45</v>
      </c>
      <c r="C41" s="12" t="s">
        <v>45</v>
      </c>
      <c r="D41" s="28">
        <f>INDEX('PRODCOM screening and matching'!$P$5:$P$1000, MATCH(A41, 'PRODCOM screening and matching'!$C$5:$C$1000, 0))/1000000000</f>
        <v>0.57909285499999996</v>
      </c>
      <c r="E41" s="25" t="s">
        <v>556</v>
      </c>
      <c r="F41" s="16" t="s">
        <v>745</v>
      </c>
      <c r="G41" s="16">
        <v>106.16</v>
      </c>
      <c r="H41" s="9" t="s">
        <v>770</v>
      </c>
      <c r="I41" s="23">
        <f>H41*Calculations!$C$35/G41</f>
        <v>0.90512434061793512</v>
      </c>
      <c r="J41" s="24" t="s">
        <v>694</v>
      </c>
    </row>
    <row r="42" spans="1:10" x14ac:dyDescent="0.3">
      <c r="A42" t="s">
        <v>50</v>
      </c>
      <c r="B42" s="7" t="s">
        <v>51</v>
      </c>
      <c r="C42" s="12" t="s">
        <v>51</v>
      </c>
      <c r="D42" s="28">
        <f>INDEX('PRODCOM screening and matching'!$P$5:$P$1000, MATCH(A42, 'PRODCOM screening and matching'!$C$5:$C$1000, 0))/1000000000</f>
        <v>0.44353240700000002</v>
      </c>
      <c r="E42" s="25" t="s">
        <v>557</v>
      </c>
      <c r="F42" s="16" t="s">
        <v>745</v>
      </c>
      <c r="G42" s="16">
        <v>106.16</v>
      </c>
      <c r="H42" s="9" t="s">
        <v>770</v>
      </c>
      <c r="I42" s="23">
        <f>H42*Calculations!$C$35/G42</f>
        <v>0.90512434061793512</v>
      </c>
      <c r="J42" s="24" t="s">
        <v>695</v>
      </c>
    </row>
    <row r="43" spans="1:10" x14ac:dyDescent="0.3">
      <c r="A43" t="s">
        <v>155</v>
      </c>
      <c r="B43" s="7" t="s">
        <v>156</v>
      </c>
      <c r="C43" s="12" t="s">
        <v>605</v>
      </c>
      <c r="D43" s="28">
        <f>INDEX('PRODCOM screening and matching'!$P$5:$P$1000, MATCH(A43, 'PRODCOM screening and matching'!$C$5:$C$1000, 0))/1000000000</f>
        <v>0.442926298</v>
      </c>
      <c r="E43" s="25" t="s">
        <v>558</v>
      </c>
      <c r="F43" s="16" t="s">
        <v>746</v>
      </c>
      <c r="G43" s="16">
        <v>46.024999999999999</v>
      </c>
      <c r="H43" s="9" t="s">
        <v>768</v>
      </c>
      <c r="I43" s="23">
        <f>H43*Calculations!$C$35/G43</f>
        <v>0.26096686583378598</v>
      </c>
      <c r="J43" s="24" t="s">
        <v>696</v>
      </c>
    </row>
    <row r="44" spans="1:10" x14ac:dyDescent="0.3">
      <c r="A44" t="s">
        <v>106</v>
      </c>
      <c r="B44" s="7" t="s">
        <v>107</v>
      </c>
      <c r="C44" s="12" t="s">
        <v>606</v>
      </c>
      <c r="D44" s="28">
        <f>INDEX('PRODCOM screening and matching'!$P$5:$P$1000, MATCH(A44, 'PRODCOM screening and matching'!$C$5:$C$1000, 0))/1000000000</f>
        <v>0.44189643000000001</v>
      </c>
      <c r="E44" s="25" t="s">
        <v>559</v>
      </c>
      <c r="F44" s="16" t="s">
        <v>747</v>
      </c>
      <c r="G44" s="16">
        <v>76.09</v>
      </c>
      <c r="H44" s="9" t="s">
        <v>766</v>
      </c>
      <c r="I44" s="23">
        <f>H44*Calculations!$C$35/G44</f>
        <v>0.47355762912340649</v>
      </c>
      <c r="J44" s="24" t="s">
        <v>697</v>
      </c>
    </row>
    <row r="45" spans="1:10" x14ac:dyDescent="0.3">
      <c r="A45" t="s">
        <v>94</v>
      </c>
      <c r="B45" s="7" t="s">
        <v>95</v>
      </c>
      <c r="C45" s="12" t="s">
        <v>607</v>
      </c>
      <c r="D45" s="28">
        <f>INDEX('PRODCOM screening and matching'!$P$5:$P$1000, MATCH(A45, 'PRODCOM screening and matching'!$C$5:$C$1000, 0))/1000000000</f>
        <v>0.42804819900000002</v>
      </c>
      <c r="E45" s="25" t="s">
        <v>560</v>
      </c>
      <c r="F45" s="16" t="s">
        <v>748</v>
      </c>
      <c r="G45" s="16">
        <v>74.12</v>
      </c>
      <c r="H45" s="9" t="s">
        <v>772</v>
      </c>
      <c r="I45" s="23">
        <f>H45*Calculations!$C$35/G45</f>
        <v>0.64819212088505118</v>
      </c>
      <c r="J45" s="24" t="s">
        <v>698</v>
      </c>
    </row>
    <row r="46" spans="1:10" x14ac:dyDescent="0.3">
      <c r="A46" t="s">
        <v>212</v>
      </c>
      <c r="B46" s="7" t="s">
        <v>213</v>
      </c>
      <c r="C46" s="12" t="s">
        <v>608</v>
      </c>
      <c r="D46" s="28">
        <f>INDEX('PRODCOM screening and matching'!$P$5:$P$1000, MATCH(A46, 'PRODCOM screening and matching'!$C$5:$C$1000, 0))/1000000000</f>
        <v>0.41874311800000003</v>
      </c>
      <c r="E46" s="25" t="s">
        <v>561</v>
      </c>
      <c r="F46" s="16" t="s">
        <v>749</v>
      </c>
      <c r="G46" s="16">
        <v>116.2</v>
      </c>
      <c r="H46" s="9" t="s">
        <v>769</v>
      </c>
      <c r="I46" s="23">
        <f>H46*Calculations!$C$35/G46</f>
        <v>0.6201893287435456</v>
      </c>
      <c r="J46" s="24" t="s">
        <v>699</v>
      </c>
    </row>
    <row r="47" spans="1:10" x14ac:dyDescent="0.3">
      <c r="A47" t="s">
        <v>46</v>
      </c>
      <c r="B47" s="7" t="s">
        <v>47</v>
      </c>
      <c r="C47" s="12" t="s">
        <v>609</v>
      </c>
      <c r="D47" s="28">
        <f>INDEX('PRODCOM screening and matching'!$P$5:$P$1000, MATCH(A47, 'PRODCOM screening and matching'!$C$5:$C$1000, 0))/1000000000</f>
        <v>0.40359997399999997</v>
      </c>
      <c r="E47" s="25" t="s">
        <v>562</v>
      </c>
      <c r="F47" s="16" t="s">
        <v>745</v>
      </c>
      <c r="G47" s="16">
        <v>106.16</v>
      </c>
      <c r="H47" s="9" t="s">
        <v>770</v>
      </c>
      <c r="I47" s="23">
        <f>H47*Calculations!$C$35/G47</f>
        <v>0.90512434061793512</v>
      </c>
      <c r="J47" s="24" t="s">
        <v>700</v>
      </c>
    </row>
    <row r="48" spans="1:10" x14ac:dyDescent="0.3">
      <c r="A48" t="s">
        <v>171</v>
      </c>
      <c r="B48" s="7" t="s">
        <v>172</v>
      </c>
      <c r="C48" s="12" t="s">
        <v>610</v>
      </c>
      <c r="D48" s="28">
        <f>INDEX('PRODCOM screening and matching'!$P$5:$P$1000, MATCH(A48, 'PRODCOM screening and matching'!$C$5:$C$1000, 0))/1000000000</f>
        <v>0.39469454100000001</v>
      </c>
      <c r="E48" s="25" t="s">
        <v>563</v>
      </c>
      <c r="F48" s="16" t="s">
        <v>750</v>
      </c>
      <c r="G48" s="16">
        <v>100.12</v>
      </c>
      <c r="H48" s="9" t="s">
        <v>776</v>
      </c>
      <c r="I48" s="23">
        <f>H48*Calculations!$C$35/G48</f>
        <v>0.59983020375549334</v>
      </c>
      <c r="J48" s="24" t="s">
        <v>701</v>
      </c>
    </row>
    <row r="49" spans="1:10" x14ac:dyDescent="0.3">
      <c r="A49" t="s">
        <v>247</v>
      </c>
      <c r="B49" s="7" t="s">
        <v>248</v>
      </c>
      <c r="C49" s="12" t="s">
        <v>248</v>
      </c>
      <c r="D49" s="28">
        <f>INDEX('PRODCOM screening and matching'!$P$5:$P$1000, MATCH(A49, 'PRODCOM screening and matching'!$C$5:$C$1000, 0))/1000000000</f>
        <v>0.36364343199999999</v>
      </c>
      <c r="E49" s="25" t="s">
        <v>564</v>
      </c>
      <c r="F49" s="16" t="s">
        <v>751</v>
      </c>
      <c r="G49" s="16">
        <v>53.06</v>
      </c>
      <c r="H49" s="9" t="s">
        <v>766</v>
      </c>
      <c r="I49" s="23">
        <f>H49*Calculations!$C$35/G49</f>
        <v>0.67909913305691672</v>
      </c>
      <c r="J49" s="24" t="s">
        <v>702</v>
      </c>
    </row>
    <row r="50" spans="1:10" x14ac:dyDescent="0.3">
      <c r="A50" t="s">
        <v>291</v>
      </c>
      <c r="B50" s="7" t="s">
        <v>292</v>
      </c>
      <c r="C50" s="12" t="s">
        <v>625</v>
      </c>
      <c r="D50" s="28">
        <f>INDEX('PRODCOM screening and matching'!$P$5:$P$1000, MATCH(A50, 'PRODCOM screening and matching'!$C$5:$C$1000, 0))/1000000000</f>
        <v>0.36001179999999999</v>
      </c>
      <c r="E50" s="25" t="s">
        <v>560</v>
      </c>
      <c r="F50" s="16" t="s">
        <v>752</v>
      </c>
      <c r="G50" s="16">
        <v>72.11</v>
      </c>
      <c r="H50" s="9" t="s">
        <v>772</v>
      </c>
      <c r="I50" s="23">
        <f>H50*Calculations!$C$35/G50</f>
        <v>0.66625988073776177</v>
      </c>
      <c r="J50" s="24" t="s">
        <v>703</v>
      </c>
    </row>
    <row r="51" spans="1:10" x14ac:dyDescent="0.3">
      <c r="A51" t="s">
        <v>424</v>
      </c>
      <c r="B51" s="7" t="s">
        <v>425</v>
      </c>
      <c r="C51" s="12" t="s">
        <v>626</v>
      </c>
      <c r="D51" s="28">
        <f>INDEX('PRODCOM screening and matching'!$P$5:$P$1000, MATCH(A51, 'PRODCOM screening and matching'!$C$5:$C$1000, 0))/1000000000</f>
        <v>0.35609374900000001</v>
      </c>
      <c r="E51" s="26" t="s">
        <v>627</v>
      </c>
      <c r="F51" s="16" t="s">
        <v>753</v>
      </c>
      <c r="G51" s="22">
        <f>1*Calculations!$C$35+2*Calculations!$C$37+1*Calculations!$C$36</f>
        <v>30.026</v>
      </c>
      <c r="H51" s="9" t="s">
        <v>768</v>
      </c>
      <c r="I51" s="23">
        <f>H51*Calculations!$C$35/G51</f>
        <v>0.40001998268167588</v>
      </c>
      <c r="J51" s="24" t="s">
        <v>704</v>
      </c>
    </row>
    <row r="52" spans="1:10" x14ac:dyDescent="0.3">
      <c r="A52" t="s">
        <v>143</v>
      </c>
      <c r="B52" s="7" t="s">
        <v>144</v>
      </c>
      <c r="C52" s="12" t="s">
        <v>144</v>
      </c>
      <c r="D52" s="28">
        <f>INDEX('PRODCOM screening and matching'!$P$5:$P$1000, MATCH(A52, 'PRODCOM screening and matching'!$C$5:$C$1000, 0))/1000000000</f>
        <v>0.34131204900000001</v>
      </c>
      <c r="E52" s="25" t="s">
        <v>508</v>
      </c>
      <c r="F52" s="16" t="s">
        <v>754</v>
      </c>
      <c r="G52" s="16">
        <v>88.11</v>
      </c>
      <c r="H52" s="9" t="s">
        <v>772</v>
      </c>
      <c r="I52" s="23">
        <f>H52*Calculations!$C$35/G52</f>
        <v>0.54527295426171829</v>
      </c>
      <c r="J52" s="24" t="s">
        <v>705</v>
      </c>
    </row>
    <row r="53" spans="1:10" x14ac:dyDescent="0.3">
      <c r="A53" t="s">
        <v>339</v>
      </c>
      <c r="B53" s="7" t="s">
        <v>340</v>
      </c>
      <c r="C53" s="12" t="s">
        <v>655</v>
      </c>
      <c r="D53" s="28">
        <f>INDEX('PRODCOM screening and matching'!$P$5:$P$1000, MATCH(A53, 'PRODCOM screening and matching'!$C$5:$C$1000, 0))/1000000000</f>
        <v>0.32842485399999999</v>
      </c>
      <c r="E53" s="25" t="s">
        <v>569</v>
      </c>
      <c r="F53" s="16" t="s">
        <v>755</v>
      </c>
      <c r="G53" s="16">
        <v>106.12</v>
      </c>
      <c r="H53" s="9" t="s">
        <v>772</v>
      </c>
      <c r="I53" s="23">
        <f>H53*Calculations!$C$35/G53</f>
        <v>0.45273275537127777</v>
      </c>
      <c r="J53" s="24" t="s">
        <v>706</v>
      </c>
    </row>
    <row r="54" spans="1:10" x14ac:dyDescent="0.3">
      <c r="A54" t="s">
        <v>452</v>
      </c>
      <c r="B54" s="7" t="s">
        <v>453</v>
      </c>
      <c r="C54" s="12" t="s">
        <v>595</v>
      </c>
      <c r="D54" s="28">
        <f>INDEX('PRODCOM screening and matching'!$P$5:$P$1000, MATCH(A54, 'PRODCOM screening and matching'!$C$5:$C$1000, 0))/1000000000</f>
        <v>0.32017296499999998</v>
      </c>
      <c r="E54" s="25" t="s">
        <v>535</v>
      </c>
      <c r="F54" s="16" t="s">
        <v>731</v>
      </c>
      <c r="G54" s="16">
        <v>86.08905</v>
      </c>
      <c r="H54" s="9" t="s">
        <v>772</v>
      </c>
      <c r="I54" s="23">
        <f>H54*Calculations!$C$35/G54</f>
        <v>0.55807329735895561</v>
      </c>
      <c r="J54" s="24" t="s">
        <v>679</v>
      </c>
    </row>
    <row r="55" spans="1:10" x14ac:dyDescent="0.3">
      <c r="A55" t="s">
        <v>42</v>
      </c>
      <c r="B55" s="7" t="s">
        <v>43</v>
      </c>
      <c r="C55" s="12" t="s">
        <v>43</v>
      </c>
      <c r="D55" s="28">
        <f>INDEX('PRODCOM screening and matching'!$P$5:$P$1000, MATCH(A55, 'PRODCOM screening and matching'!$C$5:$C$1000, 0))/1000000000</f>
        <v>0.26076013100000001</v>
      </c>
      <c r="E55" s="25" t="s">
        <v>632</v>
      </c>
      <c r="F55" s="16" t="s">
        <v>745</v>
      </c>
      <c r="G55" s="16">
        <v>106.16</v>
      </c>
      <c r="H55" s="9" t="s">
        <v>770</v>
      </c>
      <c r="I55" s="23">
        <f>H55*Calculations!$C$35/G55</f>
        <v>0.90512434061793512</v>
      </c>
      <c r="J55" s="24" t="s">
        <v>707</v>
      </c>
    </row>
    <row r="56" spans="1:10" x14ac:dyDescent="0.3">
      <c r="A56" t="s">
        <v>175</v>
      </c>
      <c r="B56" s="7" t="s">
        <v>176</v>
      </c>
      <c r="C56" s="12" t="s">
        <v>638</v>
      </c>
      <c r="D56" s="28">
        <f>INDEX('PRODCOM screening and matching'!$P$5:$P$1000, MATCH(A56, 'PRODCOM screening and matching'!$C$5:$C$1000, 0))/1000000000</f>
        <v>0.23232725400000001</v>
      </c>
      <c r="E56" s="25" t="s">
        <v>634</v>
      </c>
      <c r="F56" s="16" t="s">
        <v>756</v>
      </c>
      <c r="G56" s="16">
        <v>122.12</v>
      </c>
      <c r="H56" s="9" t="s">
        <v>773</v>
      </c>
      <c r="I56" s="23">
        <f>H56*Calculations!$C$35/G56</f>
        <v>0.68847854569276112</v>
      </c>
      <c r="J56" s="24" t="s">
        <v>708</v>
      </c>
    </row>
    <row r="57" spans="1:10" x14ac:dyDescent="0.3">
      <c r="A57" t="s">
        <v>127</v>
      </c>
      <c r="B57" s="7" t="s">
        <v>128</v>
      </c>
      <c r="C57" s="12" t="s">
        <v>639</v>
      </c>
      <c r="D57" s="28">
        <f>INDEX('PRODCOM screening and matching'!$P$5:$P$1000, MATCH(A57, 'PRODCOM screening and matching'!$C$5:$C$1000, 0))/1000000000</f>
        <v>0.21313040699999999</v>
      </c>
      <c r="E57" s="25" t="s">
        <v>637</v>
      </c>
      <c r="F57" s="16" t="s">
        <v>757</v>
      </c>
      <c r="G57" s="16">
        <v>228.29</v>
      </c>
      <c r="H57" s="9" t="s">
        <v>774</v>
      </c>
      <c r="I57" s="23">
        <f>H57*Calculations!$C$35/G57</f>
        <v>0.78919356958254849</v>
      </c>
      <c r="J57" s="24" t="s">
        <v>709</v>
      </c>
    </row>
    <row r="58" spans="1:10" x14ac:dyDescent="0.3">
      <c r="A58" t="s">
        <v>159</v>
      </c>
      <c r="B58" s="7" t="s">
        <v>160</v>
      </c>
      <c r="C58" s="12" t="s">
        <v>160</v>
      </c>
      <c r="D58" s="28">
        <f>INDEX('PRODCOM screening and matching'!$P$5:$P$1000, MATCH(A58, 'PRODCOM screening and matching'!$C$5:$C$1000, 0))/1000000000</f>
        <v>0.21224747299999999</v>
      </c>
      <c r="E58" s="25" t="s">
        <v>635</v>
      </c>
      <c r="F58" s="16" t="s">
        <v>758</v>
      </c>
      <c r="G58" s="16">
        <v>102.09</v>
      </c>
      <c r="H58" s="9" t="s">
        <v>772</v>
      </c>
      <c r="I58" s="23">
        <f>H58*Calculations!$C$35/G58</f>
        <v>0.47060436869428929</v>
      </c>
      <c r="J58" s="24" t="s">
        <v>710</v>
      </c>
    </row>
    <row r="59" spans="1:10" x14ac:dyDescent="0.3">
      <c r="A59" t="s">
        <v>456</v>
      </c>
      <c r="B59" s="7" t="s">
        <v>457</v>
      </c>
      <c r="C59" s="12" t="s">
        <v>640</v>
      </c>
      <c r="D59" s="28">
        <f>INDEX('PRODCOM screening and matching'!$P$5:$P$1000, MATCH(A59, 'PRODCOM screening and matching'!$C$5:$C$1000, 0))/1000000000</f>
        <v>0.210079972</v>
      </c>
      <c r="E59" s="25" t="s">
        <v>567</v>
      </c>
      <c r="F59" s="16" t="s">
        <v>759</v>
      </c>
      <c r="G59" s="22">
        <f>5*Calculations!$C$35+8*Calculations!$C$37+2*Calculations!$C$36</f>
        <v>100.117</v>
      </c>
      <c r="H59" s="9" t="s">
        <v>776</v>
      </c>
      <c r="I59" s="23">
        <f>H59*Calculations!$C$35/G59</f>
        <v>0.59984817763217024</v>
      </c>
      <c r="J59" s="24" t="s">
        <v>711</v>
      </c>
    </row>
    <row r="60" spans="1:10" x14ac:dyDescent="0.3">
      <c r="A60" t="s">
        <v>611</v>
      </c>
      <c r="B60" s="21" t="s">
        <v>612</v>
      </c>
      <c r="C60" s="12" t="s">
        <v>630</v>
      </c>
      <c r="D60" s="29">
        <f>Calculations!C30*(Calculations!C27/SUM(Calculations!$C$26:$C$27))</f>
        <v>0.23712875169230768</v>
      </c>
      <c r="E60" s="12" t="s">
        <v>613</v>
      </c>
      <c r="F60" s="16" t="s">
        <v>760</v>
      </c>
      <c r="G60" s="16">
        <v>174.16</v>
      </c>
      <c r="H60" s="9" t="s">
        <v>775</v>
      </c>
      <c r="I60" s="23">
        <f>H60*Calculations!$C$35/G60</f>
        <v>0.6206878732200275</v>
      </c>
      <c r="J60" s="24" t="s">
        <v>712</v>
      </c>
    </row>
    <row r="61" spans="1:10" x14ac:dyDescent="0.3">
      <c r="A61" t="s">
        <v>614</v>
      </c>
      <c r="B61" s="21" t="s">
        <v>615</v>
      </c>
      <c r="C61" s="12" t="s">
        <v>631</v>
      </c>
      <c r="D61" s="29">
        <f>Calculations!C30*(Calculations!C26/SUM(Calculations!$C$26:$C$27))</f>
        <v>0.79042917230769227</v>
      </c>
      <c r="E61" s="12" t="s">
        <v>616</v>
      </c>
      <c r="F61" s="16" t="s">
        <v>761</v>
      </c>
      <c r="G61" s="16">
        <v>250.25</v>
      </c>
      <c r="H61" s="9" t="s">
        <v>774</v>
      </c>
      <c r="I61" s="23">
        <f>H61*Calculations!$C$35/G61</f>
        <v>0.71994005994005994</v>
      </c>
      <c r="J61" s="24" t="s">
        <v>713</v>
      </c>
    </row>
    <row r="62" spans="1:10" x14ac:dyDescent="0.3">
      <c r="A62" t="s">
        <v>617</v>
      </c>
      <c r="B62" s="21" t="s">
        <v>618</v>
      </c>
      <c r="C62" s="12" t="s">
        <v>629</v>
      </c>
      <c r="D62" s="29">
        <f>Calculations!C4*(Calculations!C22/SUM(Calculations!$C$13:$C$23))</f>
        <v>6.7701275079032411E-3</v>
      </c>
      <c r="E62" s="12" t="s">
        <v>620</v>
      </c>
      <c r="F62" s="16" t="s">
        <v>762</v>
      </c>
      <c r="G62" s="16">
        <v>224.3</v>
      </c>
      <c r="H62" s="9" t="s">
        <v>771</v>
      </c>
      <c r="I62" s="23">
        <f>H62*Calculations!$C$35/G62</f>
        <v>0.64258582255907271</v>
      </c>
      <c r="J62" s="24" t="s">
        <v>714</v>
      </c>
    </row>
    <row r="63" spans="1:10" x14ac:dyDescent="0.3">
      <c r="A63" t="s">
        <v>621</v>
      </c>
      <c r="B63" s="21" t="s">
        <v>622</v>
      </c>
      <c r="C63" s="12" t="s">
        <v>628</v>
      </c>
      <c r="D63" s="29">
        <f>Calculations!C4*(Calculations!C13/SUM(Calculations!$C$13:$C$23))</f>
        <v>7.964855891650871E-3</v>
      </c>
      <c r="E63" s="12" t="s">
        <v>624</v>
      </c>
      <c r="F63" s="16" t="s">
        <v>763</v>
      </c>
      <c r="G63" s="16">
        <v>582.79999999999995</v>
      </c>
      <c r="H63" s="9" t="s">
        <v>777</v>
      </c>
      <c r="I63" s="23">
        <f>H63*Calculations!$C$35/G63</f>
        <v>0.61827385037748805</v>
      </c>
      <c r="J63" s="24" t="s">
        <v>715</v>
      </c>
    </row>
    <row r="92" spans="18:18" x14ac:dyDescent="0.3">
      <c r="R92" t="s">
        <v>503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05C9-7FD0-4DCE-874F-DC8AC36D4DE4}">
  <sheetPr codeName="Sheet5"/>
  <dimension ref="A1:I60"/>
  <sheetViews>
    <sheetView workbookViewId="0"/>
  </sheetViews>
  <sheetFormatPr defaultRowHeight="14.4" x14ac:dyDescent="0.3"/>
  <sheetData>
    <row r="1" spans="1:9" x14ac:dyDescent="0.3">
      <c r="A1" s="33" t="str">
        <f>Hotspots!A4</f>
        <v>PRODCOM code</v>
      </c>
      <c r="B1" s="33" t="str">
        <f>Hotspots!B4</f>
        <v>Long name</v>
      </c>
      <c r="C1" s="33" t="str">
        <f>Hotspots!C4</f>
        <v>Figure name</v>
      </c>
      <c r="D1" s="33" t="str">
        <f>Hotspots!D4</f>
        <v>Quantity (Mt)</v>
      </c>
      <c r="E1" s="33" t="str">
        <f>Hotspots!E4</f>
        <v>Ecoinvent 3.11 activity name proxy</v>
      </c>
      <c r="F1" s="33" t="str">
        <f>Hotspots!F4</f>
        <v>Molecular formula (MF)</v>
      </c>
      <c r="G1" s="33" t="str">
        <f>Hotspots!G4</f>
        <v>Molecular weight (MW)</v>
      </c>
      <c r="H1" s="33" t="str">
        <f>Hotspots!H4</f>
        <v>Carbon atoms</v>
      </c>
      <c r="I1" s="33" t="str">
        <f>Hotspots!I4</f>
        <v>Carbon mass share</v>
      </c>
    </row>
    <row r="2" spans="1:9" x14ac:dyDescent="0.3">
      <c r="A2" s="33" t="str">
        <f>Hotspots!A5</f>
        <v>20165130</v>
      </c>
      <c r="B2" s="33" t="str">
        <f>Hotspots!B5</f>
        <v>Polypropylene, in primary forms</v>
      </c>
      <c r="C2" s="33" t="str">
        <f>Hotspots!C5</f>
        <v>Polypropylene</v>
      </c>
      <c r="D2" s="33">
        <f>Hotspots!D5</f>
        <v>10.438899501</v>
      </c>
      <c r="E2" s="33" t="str">
        <f>Hotspots!E5</f>
        <v>market for polypropylene, granulate</v>
      </c>
      <c r="F2" s="33" t="str">
        <f>Hotspots!F5</f>
        <v>(C3H6)x</v>
      </c>
      <c r="G2" s="33">
        <f>Hotspots!G5</f>
        <v>42.081000000000003</v>
      </c>
      <c r="H2" s="33" t="str">
        <f>Hotspots!H5</f>
        <v>3</v>
      </c>
      <c r="I2" s="33">
        <f>Hotspots!I5</f>
        <v>0.85627717972481643</v>
      </c>
    </row>
    <row r="3" spans="1:9" x14ac:dyDescent="0.3">
      <c r="A3" s="33" t="str">
        <f>Hotspots!A6</f>
        <v>20141140</v>
      </c>
      <c r="B3" s="33" t="str">
        <f>Hotspots!B6</f>
        <v>Propene (propylene)</v>
      </c>
      <c r="C3" s="33" t="str">
        <f>Hotspots!C6</f>
        <v>Propylene</v>
      </c>
      <c r="D3" s="33">
        <f>Hotspots!D6</f>
        <v>9.3803662830000007</v>
      </c>
      <c r="E3" s="33" t="str">
        <f>Hotspots!E6</f>
        <v>market for propylene</v>
      </c>
      <c r="F3" s="33" t="str">
        <f>Hotspots!F6</f>
        <v>C3H6</v>
      </c>
      <c r="G3" s="33">
        <f>Hotspots!G6</f>
        <v>42.08</v>
      </c>
      <c r="H3" s="33" t="str">
        <f>Hotspots!H6</f>
        <v>3</v>
      </c>
      <c r="I3" s="33">
        <f>Hotspots!I6</f>
        <v>0.85629752851711038</v>
      </c>
    </row>
    <row r="4" spans="1:9" x14ac:dyDescent="0.3">
      <c r="A4" s="33" t="str">
        <f>Hotspots!A7</f>
        <v>20141130</v>
      </c>
      <c r="B4" s="33" t="str">
        <f>Hotspots!B7</f>
        <v>Ethylene</v>
      </c>
      <c r="C4" s="33" t="str">
        <f>Hotspots!C7</f>
        <v>Ethylene</v>
      </c>
      <c r="D4" s="33">
        <f>Hotspots!D7</f>
        <v>9.2444650080000006</v>
      </c>
      <c r="E4" s="33" t="str">
        <f>Hotspots!E7</f>
        <v>market for ethylene</v>
      </c>
      <c r="F4" s="33" t="str">
        <f>Hotspots!F7</f>
        <v>C2H4</v>
      </c>
      <c r="G4" s="33">
        <f>Hotspots!G7</f>
        <v>28.05</v>
      </c>
      <c r="H4" s="33" t="str">
        <f>Hotspots!H7</f>
        <v>2</v>
      </c>
      <c r="I4" s="33">
        <f>Hotspots!I7</f>
        <v>0.85639928698752221</v>
      </c>
    </row>
    <row r="5" spans="1:9" x14ac:dyDescent="0.3">
      <c r="A5" s="33" t="str">
        <f>Hotspots!A8</f>
        <v>20161050</v>
      </c>
      <c r="B5" s="33" t="str">
        <f>Hotspots!B8</f>
        <v>Polyethylene having a specific gravity of &gt;= 0,94, in primary forms</v>
      </c>
      <c r="C5" s="33" t="str">
        <f>Hotspots!C8</f>
        <v>Polyethylene</v>
      </c>
      <c r="D5" s="33">
        <f>Hotspots!D8</f>
        <v>7.209667177</v>
      </c>
      <c r="E5" s="33" t="str">
        <f>Hotspots!E8</f>
        <v>market for polyethylene, high density, granulate</v>
      </c>
      <c r="F5" s="33" t="str">
        <f>Hotspots!F8</f>
        <v>(C2H4)n</v>
      </c>
      <c r="G5" s="33">
        <f>Hotspots!G8</f>
        <v>28.053999999999998</v>
      </c>
      <c r="H5" s="33" t="str">
        <f>Hotspots!H8</f>
        <v>2</v>
      </c>
      <c r="I5" s="33">
        <f>Hotspots!I8</f>
        <v>0.85627717972481643</v>
      </c>
    </row>
    <row r="6" spans="1:9" x14ac:dyDescent="0.3">
      <c r="A6" s="33" t="str">
        <f>Hotspots!A9</f>
        <v>20142210</v>
      </c>
      <c r="B6" s="33" t="str">
        <f>Hotspots!B9</f>
        <v>Methanol (methyl alcohol)</v>
      </c>
      <c r="C6" s="33" t="str">
        <f>Hotspots!C9</f>
        <v>Methanol</v>
      </c>
      <c r="D6" s="33">
        <f>Hotspots!D9</f>
        <v>7.1230811449999996</v>
      </c>
      <c r="E6" s="33" t="str">
        <f>Hotspots!E9</f>
        <v>market for methanol</v>
      </c>
      <c r="F6" s="33" t="str">
        <f>Hotspots!F9</f>
        <v>CH4O</v>
      </c>
      <c r="G6" s="33">
        <f>Hotspots!G9</f>
        <v>32.042000000000002</v>
      </c>
      <c r="H6" s="33" t="str">
        <f>Hotspots!H9</f>
        <v>1</v>
      </c>
      <c r="I6" s="33">
        <f>Hotspots!I9</f>
        <v>0.3748517570688471</v>
      </c>
    </row>
    <row r="7" spans="1:9" x14ac:dyDescent="0.3">
      <c r="A7" s="33" t="str">
        <f>Hotspots!A10</f>
        <v>20141223</v>
      </c>
      <c r="B7" s="33" t="str">
        <f>Hotspots!B10</f>
        <v>Benzene</v>
      </c>
      <c r="C7" s="33" t="str">
        <f>Hotspots!C10</f>
        <v>Benzene</v>
      </c>
      <c r="D7" s="33">
        <f>Hotspots!D10</f>
        <v>5.9905709509999996</v>
      </c>
      <c r="E7" s="33" t="str">
        <f>Hotspots!E10</f>
        <v>market for benzene</v>
      </c>
      <c r="F7" s="33" t="str">
        <f>Hotspots!F10</f>
        <v>C6H6</v>
      </c>
      <c r="G7" s="33">
        <f>Hotspots!G10</f>
        <v>78.11</v>
      </c>
      <c r="H7" s="33" t="str">
        <f>Hotspots!H10</f>
        <v>6</v>
      </c>
      <c r="I7" s="33">
        <f>Hotspots!I10</f>
        <v>0.92262194341313541</v>
      </c>
    </row>
    <row r="8" spans="1:9" x14ac:dyDescent="0.3">
      <c r="A8" s="33" t="str">
        <f>Hotspots!A11</f>
        <v>20163010</v>
      </c>
      <c r="B8" s="33" t="str">
        <f>Hotspots!B11</f>
        <v>Polyvinyl chloride, not mixed with any other substances, in primary forms</v>
      </c>
      <c r="C8" s="33" t="str">
        <f>Hotspots!C11</f>
        <v>Polyvinyl chloride</v>
      </c>
      <c r="D8" s="33">
        <f>Hotspots!D11</f>
        <v>4.8304093269999999</v>
      </c>
      <c r="E8" s="33" t="str">
        <f>Hotspots!E11</f>
        <v>market for polyvinyl chloride, emulsion polymerised</v>
      </c>
      <c r="F8" s="33" t="str">
        <f>Hotspots!F11</f>
        <v>C2H3Cl</v>
      </c>
      <c r="G8" s="33">
        <f>Hotspots!G11</f>
        <v>62.5</v>
      </c>
      <c r="H8" s="33" t="str">
        <f>Hotspots!H11</f>
        <v>2</v>
      </c>
      <c r="I8" s="33">
        <f>Hotspots!I11</f>
        <v>0.38435199999999997</v>
      </c>
    </row>
    <row r="9" spans="1:9" x14ac:dyDescent="0.3">
      <c r="A9" s="33" t="str">
        <f>Hotspots!A12</f>
        <v>20161039</v>
      </c>
      <c r="B9" s="33" t="str">
        <f>Hotspots!B12</f>
        <v>Polyethylene having a specific gravity &lt; 0,94, in primary forms (excluding linear)</v>
      </c>
      <c r="C9" s="33" t="str">
        <f>Hotspots!C12</f>
        <v>Polyethylene</v>
      </c>
      <c r="D9" s="33">
        <f>Hotspots!D12</f>
        <v>4.2336402949999998</v>
      </c>
      <c r="E9" s="33" t="str">
        <f>Hotspots!E12</f>
        <v>market for polyethylene, low density, granulate</v>
      </c>
      <c r="F9" s="33" t="str">
        <f>Hotspots!F12</f>
        <v>(C2H4)n</v>
      </c>
      <c r="G9" s="33">
        <f>Hotspots!G12</f>
        <v>28.053999999999998</v>
      </c>
      <c r="H9" s="33" t="str">
        <f>Hotspots!H12</f>
        <v>2</v>
      </c>
      <c r="I9" s="33">
        <f>Hotspots!I12</f>
        <v>0.85627717972481643</v>
      </c>
    </row>
    <row r="10" spans="1:9" x14ac:dyDescent="0.3">
      <c r="A10" s="33" t="str">
        <f>Hotspots!A13</f>
        <v>20143430</v>
      </c>
      <c r="B10" s="33" t="str">
        <f>Hotspots!B13</f>
        <v>Phthalic anhydride; terephthalic acid and its salts</v>
      </c>
      <c r="C10" s="33" t="str">
        <f>Hotspots!C13</f>
        <v>Terephthalic acid</v>
      </c>
      <c r="D10" s="33">
        <f>Hotspots!D13</f>
        <v>4.0329536580000003</v>
      </c>
      <c r="E10" s="33" t="str">
        <f>Hotspots!E13</f>
        <v>market for purified terephthalic acid</v>
      </c>
      <c r="F10" s="33" t="str">
        <f>Hotspots!F13</f>
        <v>C8H6O4</v>
      </c>
      <c r="G10" s="33">
        <f>Hotspots!G13</f>
        <v>166.13</v>
      </c>
      <c r="H10" s="33" t="str">
        <f>Hotspots!H13</f>
        <v>8</v>
      </c>
      <c r="I10" s="33">
        <f>Hotspots!I13</f>
        <v>0.57839041714320105</v>
      </c>
    </row>
    <row r="11" spans="1:9" x14ac:dyDescent="0.3">
      <c r="A11" s="33" t="str">
        <f>Hotspots!A14</f>
        <v>20164062</v>
      </c>
      <c r="B11" s="33" t="str">
        <f>Hotspots!B14</f>
        <v>Polyethylene terephthalate in primary forms having a viscosity number of &gt;= 78 ml/g</v>
      </c>
      <c r="C11" s="33" t="str">
        <f>Hotspots!C14</f>
        <v>Polyethylene terephthalate</v>
      </c>
      <c r="D11" s="33">
        <f>Hotspots!D14</f>
        <v>3.3092990659999999</v>
      </c>
      <c r="E11" s="33" t="str">
        <f>Hotspots!E14</f>
        <v>market for polyethylene terephthalate, granulate, amorphous</v>
      </c>
      <c r="F11" s="33" t="str">
        <f>Hotspots!F14</f>
        <v>C12H14O4</v>
      </c>
      <c r="G11" s="33">
        <f>Hotspots!G14</f>
        <v>222.24</v>
      </c>
      <c r="H11" s="33" t="str">
        <f>Hotspots!H14</f>
        <v>12</v>
      </c>
      <c r="I11" s="33">
        <f>Hotspots!I14</f>
        <v>0.64854211663066952</v>
      </c>
    </row>
    <row r="12" spans="1:9" x14ac:dyDescent="0.3">
      <c r="A12" s="33" t="str">
        <f>Hotspots!A15</f>
        <v>20141250</v>
      </c>
      <c r="B12" s="33" t="str">
        <f>Hotspots!B15</f>
        <v>Styrene</v>
      </c>
      <c r="C12" s="33" t="str">
        <f>Hotspots!C15</f>
        <v>Styrene</v>
      </c>
      <c r="D12" s="33">
        <f>Hotspots!D15</f>
        <v>2.9922403740000001</v>
      </c>
      <c r="E12" s="33" t="str">
        <f>Hotspots!E15</f>
        <v>market for styrene</v>
      </c>
      <c r="F12" s="33" t="str">
        <f>Hotspots!F15</f>
        <v>C8H8</v>
      </c>
      <c r="G12" s="33">
        <f>Hotspots!G15</f>
        <v>104.15</v>
      </c>
      <c r="H12" s="33" t="str">
        <f>Hotspots!H15</f>
        <v>8</v>
      </c>
      <c r="I12" s="33">
        <f>Hotspots!I15</f>
        <v>0.92259241478636567</v>
      </c>
    </row>
    <row r="13" spans="1:9" x14ac:dyDescent="0.3">
      <c r="A13" s="33" t="str">
        <f>Hotspots!A16</f>
        <v>20161035</v>
      </c>
      <c r="B13" s="33" t="str">
        <f>Hotspots!B16</f>
        <v>Linear polyethylene having a specific gravity &lt; 0,94, in primary forms</v>
      </c>
      <c r="C13" s="33" t="str">
        <f>Hotspots!C16</f>
        <v>Polyethylene</v>
      </c>
      <c r="D13" s="33">
        <f>Hotspots!D16</f>
        <v>2.5832919400000001</v>
      </c>
      <c r="E13" s="33" t="str">
        <f>Hotspots!E16</f>
        <v>market for polyethylene, linear low density, granulate</v>
      </c>
      <c r="F13" s="33" t="str">
        <f>Hotspots!F16</f>
        <v>(C2H4)n</v>
      </c>
      <c r="G13" s="33">
        <f>Hotspots!G16</f>
        <v>28.053999999999998</v>
      </c>
      <c r="H13" s="33" t="str">
        <f>Hotspots!H16</f>
        <v>2</v>
      </c>
      <c r="I13" s="33">
        <f>Hotspots!I16</f>
        <v>0.85627717972481643</v>
      </c>
    </row>
    <row r="14" spans="1:9" x14ac:dyDescent="0.3">
      <c r="A14" s="33" t="str">
        <f>Hotspots!A17</f>
        <v>20141160</v>
      </c>
      <c r="B14" s="33" t="str">
        <f>Hotspots!B17</f>
        <v>Buta-1,3-diene and isoprene</v>
      </c>
      <c r="C14" s="33" t="str">
        <f>Hotspots!C17</f>
        <v>Butadiene</v>
      </c>
      <c r="D14" s="33">
        <f>Hotspots!D17</f>
        <v>2.0495474279999999</v>
      </c>
      <c r="E14" s="33" t="str">
        <f>Hotspots!E17</f>
        <v>market for butadiene</v>
      </c>
      <c r="F14" s="33" t="str">
        <f>Hotspots!F17</f>
        <v>C4H6</v>
      </c>
      <c r="G14" s="33">
        <f>Hotspots!G17</f>
        <v>54.09</v>
      </c>
      <c r="H14" s="33" t="str">
        <f>Hotspots!H17</f>
        <v>4</v>
      </c>
      <c r="I14" s="33">
        <f>Hotspots!I17</f>
        <v>0.88822333148456267</v>
      </c>
    </row>
    <row r="15" spans="1:9" x14ac:dyDescent="0.3">
      <c r="A15" s="33" t="str">
        <f>Hotspots!A18</f>
        <v>20141150</v>
      </c>
      <c r="B15" s="33" t="str">
        <f>Hotspots!B18</f>
        <v>Butene (butylene) and isomers thereof</v>
      </c>
      <c r="C15" s="33" t="str">
        <f>Hotspots!C18</f>
        <v>Butylene</v>
      </c>
      <c r="D15" s="33">
        <f>Hotspots!D18</f>
        <v>1.8000767280000001</v>
      </c>
      <c r="E15" s="33" t="str">
        <f>Hotspots!E18</f>
        <v>market for butene, mixed</v>
      </c>
      <c r="F15" s="33" t="str">
        <f>Hotspots!F18</f>
        <v>C8H16</v>
      </c>
      <c r="G15" s="33">
        <f>Hotspots!G18</f>
        <v>112.21</v>
      </c>
      <c r="H15" s="33" t="str">
        <f>Hotspots!H18</f>
        <v>8</v>
      </c>
      <c r="I15" s="33">
        <f>Hotspots!I18</f>
        <v>0.85632296586756973</v>
      </c>
    </row>
    <row r="16" spans="1:9" x14ac:dyDescent="0.3">
      <c r="A16" s="33" t="str">
        <f>Hotspots!A19</f>
        <v>20162039</v>
      </c>
      <c r="B16" s="33" t="str">
        <f>Hotspots!B19</f>
        <v>Polystyrene, in primary forms (excluding expansible polystyrene)</v>
      </c>
      <c r="C16" s="33" t="str">
        <f>Hotspots!C19</f>
        <v>Polystyrene</v>
      </c>
      <c r="D16" s="33">
        <f>Hotspots!D19</f>
        <v>1.6494166889999999</v>
      </c>
      <c r="E16" s="33" t="str">
        <f>Hotspots!E19</f>
        <v>market for polystyrene, extruded</v>
      </c>
      <c r="F16" s="33" t="str">
        <f>Hotspots!F19</f>
        <v>(C8H8)x</v>
      </c>
      <c r="G16" s="33">
        <f>Hotspots!G19</f>
        <v>104.15199999999999</v>
      </c>
      <c r="H16" s="33" t="str">
        <f>Hotspots!H19</f>
        <v>8</v>
      </c>
      <c r="I16" s="33">
        <f>Hotspots!I19</f>
        <v>0.92257469851755136</v>
      </c>
    </row>
    <row r="17" spans="1:9" x14ac:dyDescent="0.3">
      <c r="A17" s="33" t="str">
        <f>Hotspots!A20</f>
        <v>20146375</v>
      </c>
      <c r="B17" s="33" t="str">
        <f>Hotspots!B20</f>
        <v>Methyloxirane (propylene oxide)</v>
      </c>
      <c r="C17" s="33" t="str">
        <f>Hotspots!C20</f>
        <v>Propylene oxide</v>
      </c>
      <c r="D17" s="33">
        <f>Hotspots!D20</f>
        <v>1.5120547849999999</v>
      </c>
      <c r="E17" s="33" t="str">
        <f>Hotspots!E20</f>
        <v>market for propylene oxide, liquid</v>
      </c>
      <c r="F17" s="33" t="str">
        <f>Hotspots!F20</f>
        <v>C3H6O</v>
      </c>
      <c r="G17" s="33">
        <f>Hotspots!G20</f>
        <v>58.08</v>
      </c>
      <c r="H17" s="33" t="str">
        <f>Hotspots!H20</f>
        <v>3</v>
      </c>
      <c r="I17" s="33">
        <f>Hotspots!I20</f>
        <v>0.62040289256198355</v>
      </c>
    </row>
    <row r="18" spans="1:9" x14ac:dyDescent="0.3">
      <c r="A18" s="33" t="str">
        <f>Hotspots!A21</f>
        <v>20142310</v>
      </c>
      <c r="B18" s="33" t="str">
        <f>Hotspots!B21</f>
        <v>Ethylene glycol (ethanediol)</v>
      </c>
      <c r="C18" s="33" t="str">
        <f>Hotspots!C21</f>
        <v>Ethylene glycol</v>
      </c>
      <c r="D18" s="33">
        <f>Hotspots!D21</f>
        <v>1.4890492239999999</v>
      </c>
      <c r="E18" s="33" t="str">
        <f>Hotspots!E21</f>
        <v>market for ethylene glycol</v>
      </c>
      <c r="F18" s="33" t="str">
        <f>Hotspots!F21</f>
        <v>C2H6O2</v>
      </c>
      <c r="G18" s="33">
        <f>Hotspots!G21</f>
        <v>62.07</v>
      </c>
      <c r="H18" s="33" t="str">
        <f>Hotspots!H21</f>
        <v>2</v>
      </c>
      <c r="I18" s="33">
        <f>Hotspots!I21</f>
        <v>0.38701466086676328</v>
      </c>
    </row>
    <row r="19" spans="1:9" x14ac:dyDescent="0.3">
      <c r="A19" s="33" t="str">
        <f>Hotspots!A22</f>
        <v>20162035</v>
      </c>
      <c r="B19" s="33" t="str">
        <f>Hotspots!B22</f>
        <v>Expansible polystyrene, in primary forms</v>
      </c>
      <c r="C19" s="33" t="str">
        <f>Hotspots!C22</f>
        <v>Polystyrene</v>
      </c>
      <c r="D19" s="33">
        <f>Hotspots!D22</f>
        <v>1.4685235169999999</v>
      </c>
      <c r="E19" s="33" t="str">
        <f>Hotspots!E22</f>
        <v>market for polystyrene, expandable</v>
      </c>
      <c r="F19" s="33" t="str">
        <f>Hotspots!F22</f>
        <v>(C8H8)x</v>
      </c>
      <c r="G19" s="33">
        <f>Hotspots!G22</f>
        <v>104.15199999999999</v>
      </c>
      <c r="H19" s="33" t="str">
        <f>Hotspots!H22</f>
        <v>8</v>
      </c>
      <c r="I19" s="33">
        <f>Hotspots!I22</f>
        <v>0.92257469851755136</v>
      </c>
    </row>
    <row r="20" spans="1:9" x14ac:dyDescent="0.3">
      <c r="A20" s="33" t="str">
        <f>Hotspots!A23</f>
        <v>20165230</v>
      </c>
      <c r="B20" s="33" t="str">
        <f>Hotspots!B23</f>
        <v>Polymers of vinyl acetate, in aqueous dispersion, in primary forms</v>
      </c>
      <c r="C20" s="33" t="str">
        <f>Hotspots!C23</f>
        <v>Polyvinyl acetate</v>
      </c>
      <c r="D20" s="33">
        <f>Hotspots!D23</f>
        <v>1.074467957</v>
      </c>
      <c r="E20" s="33" t="str">
        <f>Hotspots!E23</f>
        <v>market for vinyl acetate</v>
      </c>
      <c r="F20" s="33" t="str">
        <f>Hotspots!F23</f>
        <v>(C4H6O2)x</v>
      </c>
      <c r="G20" s="33">
        <f>Hotspots!G23</f>
        <v>86.09</v>
      </c>
      <c r="H20" s="33" t="str">
        <f>Hotspots!H23</f>
        <v>4</v>
      </c>
      <c r="I20" s="33">
        <f>Hotspots!I23</f>
        <v>0.55806713904053895</v>
      </c>
    </row>
    <row r="21" spans="1:9" x14ac:dyDescent="0.3">
      <c r="A21" s="33" t="str">
        <f>Hotspots!A24</f>
        <v>20146211</v>
      </c>
      <c r="B21" s="33" t="str">
        <f>Hotspots!B24</f>
        <v>Acetone</v>
      </c>
      <c r="C21" s="33" t="str">
        <f>Hotspots!C24</f>
        <v>Acetone</v>
      </c>
      <c r="D21" s="33">
        <f>Hotspots!D24</f>
        <v>1.037784064</v>
      </c>
      <c r="E21" s="33" t="str">
        <f>Hotspots!E24</f>
        <v>market for acetone, liquid</v>
      </c>
      <c r="F21" s="33" t="str">
        <f>Hotspots!F24</f>
        <v>C3H6O</v>
      </c>
      <c r="G21" s="33">
        <f>Hotspots!G24</f>
        <v>58.08</v>
      </c>
      <c r="H21" s="33" t="str">
        <f>Hotspots!H24</f>
        <v>3</v>
      </c>
      <c r="I21" s="33">
        <f>Hotspots!I24</f>
        <v>0.62040289256198355</v>
      </c>
    </row>
    <row r="22" spans="1:9" x14ac:dyDescent="0.3">
      <c r="A22" s="33" t="str">
        <f>Hotspots!A25</f>
        <v>20141353</v>
      </c>
      <c r="B22" s="33" t="str">
        <f>Hotspots!B25</f>
        <v>1,2-Dichloroethane (ethylene dichloride)</v>
      </c>
      <c r="C22" s="33" t="str">
        <f>Hotspots!C25</f>
        <v>Ethylene dichloride</v>
      </c>
      <c r="D22" s="33">
        <f>Hotspots!D25</f>
        <v>1.018745547</v>
      </c>
      <c r="E22" s="33" t="str">
        <f>Hotspots!E25</f>
        <v>market for ethylene dichloride</v>
      </c>
      <c r="F22" s="33" t="str">
        <f>Hotspots!F25</f>
        <v>C2H4Cl2</v>
      </c>
      <c r="G22" s="33">
        <f>Hotspots!G25</f>
        <v>98.96</v>
      </c>
      <c r="H22" s="33" t="str">
        <f>Hotspots!H25</f>
        <v>2</v>
      </c>
      <c r="I22" s="33">
        <f>Hotspots!I25</f>
        <v>0.24274454324979791</v>
      </c>
    </row>
    <row r="23" spans="1:9" x14ac:dyDescent="0.3">
      <c r="A23" s="33" t="str">
        <f>Hotspots!A26</f>
        <v>20141225</v>
      </c>
      <c r="B23" s="33" t="str">
        <f>Hotspots!B26</f>
        <v>Toluene</v>
      </c>
      <c r="C23" s="33" t="str">
        <f>Hotspots!C26</f>
        <v>Toluene</v>
      </c>
      <c r="D23" s="33">
        <f>Hotspots!D26</f>
        <v>1.006460688</v>
      </c>
      <c r="E23" s="33" t="str">
        <f>Hotspots!E26</f>
        <v>market for toluene, liquid</v>
      </c>
      <c r="F23" s="33" t="str">
        <f>Hotspots!F26</f>
        <v>C7H8</v>
      </c>
      <c r="G23" s="33">
        <f>Hotspots!G26</f>
        <v>92.14</v>
      </c>
      <c r="H23" s="33" t="str">
        <f>Hotspots!H26</f>
        <v>7</v>
      </c>
      <c r="I23" s="33">
        <f>Hotspots!I26</f>
        <v>0.91249186021271977</v>
      </c>
    </row>
    <row r="24" spans="1:9" x14ac:dyDescent="0.3">
      <c r="A24" s="33" t="str">
        <f>Hotspots!A27</f>
        <v>20144151</v>
      </c>
      <c r="B24" s="33" t="str">
        <f>Hotspots!B27</f>
        <v>Aniline and its salts (excluding derivatives)</v>
      </c>
      <c r="C24" s="33" t="str">
        <f>Hotspots!C27</f>
        <v>Aniline</v>
      </c>
      <c r="D24" s="33">
        <f>Hotspots!D27</f>
        <v>0.959497198</v>
      </c>
      <c r="E24" s="33" t="str">
        <f>Hotspots!E27</f>
        <v>market for aniline</v>
      </c>
      <c r="F24" s="33" t="str">
        <f>Hotspots!F27</f>
        <v>C6H7N</v>
      </c>
      <c r="G24" s="33">
        <f>Hotspots!G27</f>
        <v>93.13</v>
      </c>
      <c r="H24" s="33" t="str">
        <f>Hotspots!H27</f>
        <v>6</v>
      </c>
      <c r="I24" s="33">
        <f>Hotspots!I27</f>
        <v>0.77382153978309898</v>
      </c>
    </row>
    <row r="25" spans="1:9" x14ac:dyDescent="0.3">
      <c r="A25" s="33" t="str">
        <f>Hotspots!A28</f>
        <v>20146111</v>
      </c>
      <c r="B25" s="33" t="str">
        <f>Hotspots!B28</f>
        <v>Methanal (formaldehyde)</v>
      </c>
      <c r="C25" s="33" t="str">
        <f>Hotspots!C28</f>
        <v>Formaldehyde</v>
      </c>
      <c r="D25" s="33">
        <f>Hotspots!D28</f>
        <v>0.89854172300000001</v>
      </c>
      <c r="E25" s="33" t="str">
        <f>Hotspots!E28</f>
        <v>market for formaldehyde</v>
      </c>
      <c r="F25" s="33" t="str">
        <f>Hotspots!F28</f>
        <v>CH2O</v>
      </c>
      <c r="G25" s="33">
        <f>Hotspots!G28</f>
        <v>30.026</v>
      </c>
      <c r="H25" s="33" t="str">
        <f>Hotspots!H28</f>
        <v>1</v>
      </c>
      <c r="I25" s="33">
        <f>Hotspots!I28</f>
        <v>0.40001998268167588</v>
      </c>
    </row>
    <row r="26" spans="1:9" x14ac:dyDescent="0.3">
      <c r="A26" s="33" t="str">
        <f>Hotspots!A29</f>
        <v>20143271</v>
      </c>
      <c r="B26" s="33" t="str">
        <f>Hotspots!B29</f>
        <v>Acetic acid</v>
      </c>
      <c r="C26" s="33" t="str">
        <f>Hotspots!C29</f>
        <v>Acetic acid</v>
      </c>
      <c r="D26" s="33">
        <f>Hotspots!D29</f>
        <v>0.88939678099999997</v>
      </c>
      <c r="E26" s="33" t="str">
        <f>Hotspots!E29</f>
        <v>market for acetic acid</v>
      </c>
      <c r="F26" s="33" t="str">
        <f>Hotspots!F29</f>
        <v>C2H4O2</v>
      </c>
      <c r="G26" s="33">
        <f>Hotspots!G29</f>
        <v>60.05</v>
      </c>
      <c r="H26" s="33" t="str">
        <f>Hotspots!H29</f>
        <v>2</v>
      </c>
      <c r="I26" s="33">
        <f>Hotspots!I29</f>
        <v>0.40003330557868444</v>
      </c>
    </row>
    <row r="27" spans="1:9" x14ac:dyDescent="0.3">
      <c r="A27" s="33" t="str">
        <f>Hotspots!A30</f>
        <v>20162070</v>
      </c>
      <c r="B27" s="33" t="str">
        <f>Hotspots!B30</f>
        <v>Acrylonitrile-butadiene-styrene (ABS) copolymers, in primary forms</v>
      </c>
      <c r="C27" s="33" t="str">
        <f>Hotspots!C30</f>
        <v>ABS</v>
      </c>
      <c r="D27" s="33">
        <f>Hotspots!D30</f>
        <v>0.81732564399999996</v>
      </c>
      <c r="E27" s="33" t="str">
        <f>Hotspots!E30</f>
        <v>market for acrylonitrile-butadiene-styrene copolymer</v>
      </c>
      <c r="F27" s="33" t="str">
        <f>Hotspots!F30</f>
        <v>C15H17N</v>
      </c>
      <c r="G27" s="33">
        <f>Hotspots!G30</f>
        <v>211.3</v>
      </c>
      <c r="H27" s="33" t="str">
        <f>Hotspots!H30</f>
        <v>15</v>
      </c>
      <c r="I27" s="33">
        <f>Hotspots!I30</f>
        <v>0.85265026029342161</v>
      </c>
    </row>
    <row r="28" spans="1:9" x14ac:dyDescent="0.3">
      <c r="A28" s="33" t="str">
        <f>Hotspots!A31</f>
        <v>20141371</v>
      </c>
      <c r="B28" s="33" t="str">
        <f>Hotspots!B31</f>
        <v>Vinyl chloride (chloroethylene)</v>
      </c>
      <c r="C28" s="33" t="str">
        <f>Hotspots!C31</f>
        <v>Vinyl chloride</v>
      </c>
      <c r="D28" s="33">
        <f>Hotspots!D31</f>
        <v>0.80778956499999999</v>
      </c>
      <c r="E28" s="33" t="str">
        <f>Hotspots!E31</f>
        <v>market for vinyl chloride</v>
      </c>
      <c r="F28" s="33" t="str">
        <f>Hotspots!F31</f>
        <v>C2H3Cl</v>
      </c>
      <c r="G28" s="33">
        <f>Hotspots!G31</f>
        <v>62.5</v>
      </c>
      <c r="H28" s="33" t="str">
        <f>Hotspots!H31</f>
        <v>2</v>
      </c>
      <c r="I28" s="33">
        <f>Hotspots!I31</f>
        <v>0.38435199999999997</v>
      </c>
    </row>
    <row r="29" spans="1:9" x14ac:dyDescent="0.3">
      <c r="A29" s="33" t="str">
        <f>Hotspots!A32</f>
        <v>20146373</v>
      </c>
      <c r="B29" s="33" t="str">
        <f>Hotspots!B32</f>
        <v>Oxirane (ethylene oxide)</v>
      </c>
      <c r="C29" s="33" t="str">
        <f>Hotspots!C32</f>
        <v>Ethylene oxide</v>
      </c>
      <c r="D29" s="33">
        <f>Hotspots!D32</f>
        <v>0.80212793400000004</v>
      </c>
      <c r="E29" s="33" t="str">
        <f>Hotspots!E32</f>
        <v>market for ethylene oxide</v>
      </c>
      <c r="F29" s="33" t="str">
        <f>Hotspots!F32</f>
        <v>C2H4O</v>
      </c>
      <c r="G29" s="33">
        <f>Hotspots!G32</f>
        <v>44.05</v>
      </c>
      <c r="H29" s="33" t="str">
        <f>Hotspots!H32</f>
        <v>2</v>
      </c>
      <c r="I29" s="33">
        <f>Hotspots!I32</f>
        <v>0.54533484676503974</v>
      </c>
    </row>
    <row r="30" spans="1:9" x14ac:dyDescent="0.3">
      <c r="A30" s="33" t="str">
        <f>Hotspots!A33</f>
        <v>20164064</v>
      </c>
      <c r="B30" s="33" t="str">
        <f>Hotspots!B33</f>
        <v>Other polyethylene terephthalate in primary forms</v>
      </c>
      <c r="C30" s="33" t="str">
        <f>Hotspots!C33</f>
        <v>Polyethylene terephthalate</v>
      </c>
      <c r="D30" s="33">
        <f>Hotspots!D33</f>
        <v>0.78118322600000001</v>
      </c>
      <c r="E30" s="33" t="str">
        <f>Hotspots!E33</f>
        <v>market for polyethylene terephthalate, granulate, amorphous</v>
      </c>
      <c r="F30" s="33" t="str">
        <f>Hotspots!F33</f>
        <v>C12H14O4</v>
      </c>
      <c r="G30" s="33">
        <f>Hotspots!G33</f>
        <v>222.24</v>
      </c>
      <c r="H30" s="33" t="str">
        <f>Hotspots!H33</f>
        <v>12</v>
      </c>
      <c r="I30" s="33">
        <f>Hotspots!I33</f>
        <v>0.64854211663066952</v>
      </c>
    </row>
    <row r="31" spans="1:9" x14ac:dyDescent="0.3">
      <c r="A31" s="33" t="str">
        <f>Hotspots!A34</f>
        <v>20163025</v>
      </c>
      <c r="B31" s="33" t="str">
        <f>Hotspots!B34</f>
        <v>Plasticised polyvinyl chloride mixed with any other substance, in primary forms</v>
      </c>
      <c r="C31" s="33" t="str">
        <f>Hotspots!C34</f>
        <v>Polyvinyl chloride</v>
      </c>
      <c r="D31" s="33">
        <f>Hotspots!D34</f>
        <v>0.77995666399999997</v>
      </c>
      <c r="E31" s="33" t="str">
        <f>Hotspots!E34</f>
        <v>market for polyvinyl chloride, suspension polymerised</v>
      </c>
      <c r="F31" s="33" t="str">
        <f>Hotspots!F34</f>
        <v>C2H3Cl</v>
      </c>
      <c r="G31" s="33">
        <f>Hotspots!G34</f>
        <v>62.5</v>
      </c>
      <c r="H31" s="33" t="str">
        <f>Hotspots!H34</f>
        <v>2</v>
      </c>
      <c r="I31" s="33">
        <f>Hotspots!I34</f>
        <v>0.38435199999999997</v>
      </c>
    </row>
    <row r="32" spans="1:9" x14ac:dyDescent="0.3">
      <c r="A32" s="33" t="str">
        <f>Hotspots!A35</f>
        <v>20161070</v>
      </c>
      <c r="B32" s="33" t="str">
        <f>Hotspots!B35</f>
        <v>Ethylene-vinyl acetate copolymers, in primary forms</v>
      </c>
      <c r="C32" s="33" t="str">
        <f>Hotspots!C35</f>
        <v>Ethylene-vinyl acetate</v>
      </c>
      <c r="D32" s="33">
        <f>Hotspots!D35</f>
        <v>0.67715197900000001</v>
      </c>
      <c r="E32" s="33" t="str">
        <f>Hotspots!E35</f>
        <v>market for ethylene vinyl acetate copolymer</v>
      </c>
      <c r="F32" s="33" t="str">
        <f>Hotspots!F35</f>
        <v>C6H10O2</v>
      </c>
      <c r="G32" s="33">
        <f>Hotspots!G35</f>
        <v>114.14</v>
      </c>
      <c r="H32" s="33" t="str">
        <f>Hotspots!H35</f>
        <v>6</v>
      </c>
      <c r="I32" s="33">
        <f>Hotspots!I35</f>
        <v>0.63138251270369727</v>
      </c>
    </row>
    <row r="33" spans="1:9" x14ac:dyDescent="0.3">
      <c r="A33" s="33" t="str">
        <f>Hotspots!A36</f>
        <v>20143320</v>
      </c>
      <c r="B33" s="33" t="str">
        <f>Hotspots!B36</f>
        <v>Esters of acrylic acid</v>
      </c>
      <c r="C33" s="33" t="str">
        <f>Hotspots!C36</f>
        <v>Esters of acrylic acid</v>
      </c>
      <c r="D33" s="33">
        <f>Hotspots!D36</f>
        <v>0.64895442299999995</v>
      </c>
      <c r="E33" s="33" t="str">
        <f>Hotspots!E36</f>
        <v>market for butyl acrylate</v>
      </c>
      <c r="F33" s="33" t="str">
        <f>Hotspots!F36</f>
        <v>C7H12O2</v>
      </c>
      <c r="G33" s="33">
        <f>Hotspots!G36</f>
        <v>128.16900000000001</v>
      </c>
      <c r="H33" s="33" t="str">
        <f>Hotspots!H36</f>
        <v>7</v>
      </c>
      <c r="I33" s="33">
        <f>Hotspots!I36</f>
        <v>0.6559854567016985</v>
      </c>
    </row>
    <row r="34" spans="1:9" x14ac:dyDescent="0.3">
      <c r="A34" s="33" t="str">
        <f>Hotspots!A37</f>
        <v>20142220</v>
      </c>
      <c r="B34" s="33" t="str">
        <f>Hotspots!B37</f>
        <v>Propan-1-ol (propyl alcohol) and propan-2-ol (isopropyl alcohol)</v>
      </c>
      <c r="C34" s="33" t="str">
        <f>Hotspots!C37</f>
        <v>Isopropanol</v>
      </c>
      <c r="D34" s="33">
        <f>Hotspots!D37</f>
        <v>0.63363000199999997</v>
      </c>
      <c r="E34" s="33" t="str">
        <f>Hotspots!E37</f>
        <v>market for isopropanol</v>
      </c>
      <c r="F34" s="33" t="str">
        <f>Hotspots!F37</f>
        <v>C3H8O</v>
      </c>
      <c r="G34" s="33">
        <f>Hotspots!G37</f>
        <v>60.1</v>
      </c>
      <c r="H34" s="33" t="str">
        <f>Hotspots!H37</f>
        <v>3</v>
      </c>
      <c r="I34" s="33">
        <f>Hotspots!I37</f>
        <v>0.59955074875207992</v>
      </c>
    </row>
    <row r="35" spans="1:9" x14ac:dyDescent="0.3">
      <c r="A35" s="33" t="str">
        <f>Hotspots!A38</f>
        <v>20141270</v>
      </c>
      <c r="B35" s="33" t="str">
        <f>Hotspots!B38</f>
        <v>Cumene</v>
      </c>
      <c r="C35" s="33" t="str">
        <f>Hotspots!C38</f>
        <v>Cumene</v>
      </c>
      <c r="D35" s="33">
        <f>Hotspots!D38</f>
        <v>0.61555055199999997</v>
      </c>
      <c r="E35" s="33" t="str">
        <f>Hotspots!E38</f>
        <v>market for cumene</v>
      </c>
      <c r="F35" s="33" t="str">
        <f>Hotspots!F38</f>
        <v>C9H12</v>
      </c>
      <c r="G35" s="33">
        <f>Hotspots!G38</f>
        <v>120.19</v>
      </c>
      <c r="H35" s="33" t="str">
        <f>Hotspots!H38</f>
        <v>9</v>
      </c>
      <c r="I35" s="33">
        <f>Hotspots!I38</f>
        <v>0.89940094849821106</v>
      </c>
    </row>
    <row r="36" spans="1:9" x14ac:dyDescent="0.3">
      <c r="A36" s="33" t="str">
        <f>Hotspots!A39</f>
        <v>20141213</v>
      </c>
      <c r="B36" s="33" t="str">
        <f>Hotspots!B39</f>
        <v>Cyclohexane</v>
      </c>
      <c r="C36" s="33" t="str">
        <f>Hotspots!C39</f>
        <v>Cyclohexane</v>
      </c>
      <c r="D36" s="33">
        <f>Hotspots!D39</f>
        <v>0.61433399600000005</v>
      </c>
      <c r="E36" s="33" t="str">
        <f>Hotspots!E39</f>
        <v>market for cyclohexane</v>
      </c>
      <c r="F36" s="33" t="str">
        <f>Hotspots!F39</f>
        <v>C6H12</v>
      </c>
      <c r="G36" s="33">
        <f>Hotspots!G39</f>
        <v>84.16</v>
      </c>
      <c r="H36" s="33" t="str">
        <f>Hotspots!H39</f>
        <v>6</v>
      </c>
      <c r="I36" s="33">
        <f>Hotspots!I39</f>
        <v>0.85629752851711038</v>
      </c>
    </row>
    <row r="37" spans="1:9" x14ac:dyDescent="0.3">
      <c r="A37" s="33" t="str">
        <f>Hotspots!A40</f>
        <v>20143385</v>
      </c>
      <c r="B37" s="33" t="str">
        <f>Hotspots!B40</f>
        <v>Adipic acid; its salts and esters</v>
      </c>
      <c r="C37" s="33" t="str">
        <f>Hotspots!C40</f>
        <v>Adipic acid</v>
      </c>
      <c r="D37" s="33">
        <f>Hotspots!D40</f>
        <v>0.58128906700000005</v>
      </c>
      <c r="E37" s="33" t="str">
        <f>Hotspots!E40</f>
        <v>market for adipic acid</v>
      </c>
      <c r="F37" s="33" t="str">
        <f>Hotspots!F40</f>
        <v>C6H10O4</v>
      </c>
      <c r="G37" s="33">
        <f>Hotspots!G40</f>
        <v>146.13999999999999</v>
      </c>
      <c r="H37" s="33" t="str">
        <f>Hotspots!H40</f>
        <v>6</v>
      </c>
      <c r="I37" s="33">
        <f>Hotspots!I40</f>
        <v>0.49312987546188591</v>
      </c>
    </row>
    <row r="38" spans="1:9" x14ac:dyDescent="0.3">
      <c r="A38" s="33" t="str">
        <f>Hotspots!A41</f>
        <v>20141245</v>
      </c>
      <c r="B38" s="33" t="str">
        <f>Hotspots!B41</f>
        <v>p-Xylene</v>
      </c>
      <c r="C38" s="33" t="str">
        <f>Hotspots!C41</f>
        <v>p-Xylene</v>
      </c>
      <c r="D38" s="33">
        <f>Hotspots!D41</f>
        <v>0.57909285499999996</v>
      </c>
      <c r="E38" s="33" t="str">
        <f>Hotspots!E41</f>
        <v>market for p-xylene</v>
      </c>
      <c r="F38" s="33" t="str">
        <f>Hotspots!F41</f>
        <v>C8H10</v>
      </c>
      <c r="G38" s="33">
        <f>Hotspots!G41</f>
        <v>106.16</v>
      </c>
      <c r="H38" s="33" t="str">
        <f>Hotspots!H41</f>
        <v>8</v>
      </c>
      <c r="I38" s="33">
        <f>Hotspots!I41</f>
        <v>0.90512434061793512</v>
      </c>
    </row>
    <row r="39" spans="1:9" x14ac:dyDescent="0.3">
      <c r="A39" s="33" t="str">
        <f>Hotspots!A42</f>
        <v>20141260</v>
      </c>
      <c r="B39" s="33" t="str">
        <f>Hotspots!B42</f>
        <v>Ethylbenzene</v>
      </c>
      <c r="C39" s="33" t="str">
        <f>Hotspots!C42</f>
        <v>Ethylbenzene</v>
      </c>
      <c r="D39" s="33">
        <f>Hotspots!D42</f>
        <v>0.44353240700000002</v>
      </c>
      <c r="E39" s="33" t="str">
        <f>Hotspots!E42</f>
        <v>market for ethyl benzene</v>
      </c>
      <c r="F39" s="33" t="str">
        <f>Hotspots!F42</f>
        <v>C8H10</v>
      </c>
      <c r="G39" s="33">
        <f>Hotspots!G42</f>
        <v>106.16</v>
      </c>
      <c r="H39" s="33" t="str">
        <f>Hotspots!H42</f>
        <v>8</v>
      </c>
      <c r="I39" s="33">
        <f>Hotspots!I42</f>
        <v>0.90512434061793512</v>
      </c>
    </row>
    <row r="40" spans="1:9" x14ac:dyDescent="0.3">
      <c r="A40" s="33" t="str">
        <f>Hotspots!A43</f>
        <v>20143250</v>
      </c>
      <c r="B40" s="33" t="str">
        <f>Hotspots!B43</f>
        <v>Formic acid, its salts and esters</v>
      </c>
      <c r="C40" s="33" t="str">
        <f>Hotspots!C43</f>
        <v>Formic acid</v>
      </c>
      <c r="D40" s="33">
        <f>Hotspots!D43</f>
        <v>0.442926298</v>
      </c>
      <c r="E40" s="33" t="str">
        <f>Hotspots!E43</f>
        <v>market for formic acid</v>
      </c>
      <c r="F40" s="33" t="str">
        <f>Hotspots!F43</f>
        <v>CH2O2</v>
      </c>
      <c r="G40" s="33">
        <f>Hotspots!G43</f>
        <v>46.024999999999999</v>
      </c>
      <c r="H40" s="33" t="str">
        <f>Hotspots!H43</f>
        <v>1</v>
      </c>
      <c r="I40" s="33">
        <f>Hotspots!I43</f>
        <v>0.26096686583378598</v>
      </c>
    </row>
    <row r="41" spans="1:9" x14ac:dyDescent="0.3">
      <c r="A41" s="33" t="str">
        <f>Hotspots!A44</f>
        <v>20142320</v>
      </c>
      <c r="B41" s="33" t="str">
        <f>Hotspots!B44</f>
        <v>Propylene glycol (propane-1,2-diol)</v>
      </c>
      <c r="C41" s="33" t="str">
        <f>Hotspots!C44</f>
        <v>Propylene glycol</v>
      </c>
      <c r="D41" s="33">
        <f>Hotspots!D44</f>
        <v>0.44189643000000001</v>
      </c>
      <c r="E41" s="33" t="str">
        <f>Hotspots!E44</f>
        <v>market for propylene glycol, liquid</v>
      </c>
      <c r="F41" s="33" t="str">
        <f>Hotspots!F44</f>
        <v>C3H8O2</v>
      </c>
      <c r="G41" s="33">
        <f>Hotspots!G44</f>
        <v>76.09</v>
      </c>
      <c r="H41" s="33" t="str">
        <f>Hotspots!H44</f>
        <v>3</v>
      </c>
      <c r="I41" s="33">
        <f>Hotspots!I44</f>
        <v>0.47355762912340649</v>
      </c>
    </row>
    <row r="42" spans="1:9" x14ac:dyDescent="0.3">
      <c r="A42" s="33" t="str">
        <f>Hotspots!A45</f>
        <v>20142230</v>
      </c>
      <c r="B42" s="33" t="str">
        <f>Hotspots!B45</f>
        <v>Butan-1-ol (n-butyl alcohol)</v>
      </c>
      <c r="C42" s="33" t="str">
        <f>Hotspots!C45</f>
        <v>n-Butanol</v>
      </c>
      <c r="D42" s="33">
        <f>Hotspots!D45</f>
        <v>0.42804819900000002</v>
      </c>
      <c r="E42" s="33" t="str">
        <f>Hotspots!E45</f>
        <v>market for n-butanol</v>
      </c>
      <c r="F42" s="33" t="str">
        <f>Hotspots!F45</f>
        <v>C4H10O</v>
      </c>
      <c r="G42" s="33">
        <f>Hotspots!G45</f>
        <v>74.12</v>
      </c>
      <c r="H42" s="33" t="str">
        <f>Hotspots!H45</f>
        <v>4</v>
      </c>
      <c r="I42" s="33">
        <f>Hotspots!I45</f>
        <v>0.64819212088505118</v>
      </c>
    </row>
    <row r="43" spans="1:9" x14ac:dyDescent="0.3">
      <c r="A43" s="33" t="str">
        <f>Hotspots!A46</f>
        <v>20144123</v>
      </c>
      <c r="B43" s="33" t="str">
        <f>Hotspots!B46</f>
        <v>Hexamethylenediamine and its salts; ethylenediamine and its salts</v>
      </c>
      <c r="C43" s="33" t="str">
        <f>Hotspots!C46</f>
        <v>Hexamethylenediamine</v>
      </c>
      <c r="D43" s="33">
        <f>Hotspots!D46</f>
        <v>0.41874311800000003</v>
      </c>
      <c r="E43" s="33" t="str">
        <f>Hotspots!E46</f>
        <v>market for hexamethylenediamine</v>
      </c>
      <c r="F43" s="33" t="str">
        <f>Hotspots!F46</f>
        <v>C6H16N2</v>
      </c>
      <c r="G43" s="33">
        <f>Hotspots!G46</f>
        <v>116.2</v>
      </c>
      <c r="H43" s="33" t="str">
        <f>Hotspots!H46</f>
        <v>6</v>
      </c>
      <c r="I43" s="33">
        <f>Hotspots!I46</f>
        <v>0.6201893287435456</v>
      </c>
    </row>
    <row r="44" spans="1:9" x14ac:dyDescent="0.3">
      <c r="A44" s="33" t="str">
        <f>Hotspots!A47</f>
        <v>20141247</v>
      </c>
      <c r="B44" s="33" t="str">
        <f>Hotspots!B47</f>
        <v>m-Xylene and mixed xylene isomers</v>
      </c>
      <c r="C44" s="33" t="str">
        <f>Hotspots!C47</f>
        <v>m-Xylene</v>
      </c>
      <c r="D44" s="33">
        <f>Hotspots!D47</f>
        <v>0.40359997399999997</v>
      </c>
      <c r="E44" s="33" t="str">
        <f>Hotspots!E47</f>
        <v>market for xylene, mixed</v>
      </c>
      <c r="F44" s="33" t="str">
        <f>Hotspots!F47</f>
        <v>C8H10</v>
      </c>
      <c r="G44" s="33">
        <f>Hotspots!G47</f>
        <v>106.16</v>
      </c>
      <c r="H44" s="33" t="str">
        <f>Hotspots!H47</f>
        <v>8</v>
      </c>
      <c r="I44" s="33">
        <f>Hotspots!I47</f>
        <v>0.90512434061793512</v>
      </c>
    </row>
    <row r="45" spans="1:9" x14ac:dyDescent="0.3">
      <c r="A45" s="33" t="str">
        <f>Hotspots!A48</f>
        <v>20143340</v>
      </c>
      <c r="B45" s="33" t="str">
        <f>Hotspots!B48</f>
        <v>Esters of methacrylic acid</v>
      </c>
      <c r="C45" s="33" t="str">
        <f>Hotspots!C48</f>
        <v>Methyl methacrylate</v>
      </c>
      <c r="D45" s="33">
        <f>Hotspots!D48</f>
        <v>0.39469454100000001</v>
      </c>
      <c r="E45" s="33" t="str">
        <f>Hotspots!E48</f>
        <v>market for methyl methacrylate</v>
      </c>
      <c r="F45" s="33" t="str">
        <f>Hotspots!F48</f>
        <v>C5H8O2</v>
      </c>
      <c r="G45" s="33">
        <f>Hotspots!G48</f>
        <v>100.12</v>
      </c>
      <c r="H45" s="33" t="str">
        <f>Hotspots!H48</f>
        <v>5</v>
      </c>
      <c r="I45" s="33">
        <f>Hotspots!I48</f>
        <v>0.59983020375549334</v>
      </c>
    </row>
    <row r="46" spans="1:9" x14ac:dyDescent="0.3">
      <c r="A46" s="33" t="str">
        <f>Hotspots!A49</f>
        <v>20144350</v>
      </c>
      <c r="B46" s="33" t="str">
        <f>Hotspots!B49</f>
        <v>Acrylonitrile</v>
      </c>
      <c r="C46" s="33" t="str">
        <f>Hotspots!C49</f>
        <v>Acrylonitrile</v>
      </c>
      <c r="D46" s="33">
        <f>Hotspots!D49</f>
        <v>0.36364343199999999</v>
      </c>
      <c r="E46" s="33" t="str">
        <f>Hotspots!E49</f>
        <v>market for acrylonitrile</v>
      </c>
      <c r="F46" s="33" t="str">
        <f>Hotspots!F49</f>
        <v>C3H3N</v>
      </c>
      <c r="G46" s="33">
        <f>Hotspots!G49</f>
        <v>53.06</v>
      </c>
      <c r="H46" s="33" t="str">
        <f>Hotspots!H49</f>
        <v>3</v>
      </c>
      <c r="I46" s="33">
        <f>Hotspots!I49</f>
        <v>0.67909913305691672</v>
      </c>
    </row>
    <row r="47" spans="1:9" x14ac:dyDescent="0.3">
      <c r="A47" s="33" t="str">
        <f>Hotspots!A50</f>
        <v>20146115</v>
      </c>
      <c r="B47" s="33" t="str">
        <f>Hotspots!B50</f>
        <v>Butanal (butyraldehyde; normal isomer)</v>
      </c>
      <c r="C47" s="33" t="str">
        <f>Hotspots!C50</f>
        <v>Butanal</v>
      </c>
      <c r="D47" s="33">
        <f>Hotspots!D50</f>
        <v>0.36001179999999999</v>
      </c>
      <c r="E47" s="33" t="str">
        <f>Hotspots!E50</f>
        <v>market for n-butanol</v>
      </c>
      <c r="F47" s="33" t="str">
        <f>Hotspots!F50</f>
        <v>C4H8O</v>
      </c>
      <c r="G47" s="33">
        <f>Hotspots!G50</f>
        <v>72.11</v>
      </c>
      <c r="H47" s="33" t="str">
        <f>Hotspots!H50</f>
        <v>4</v>
      </c>
      <c r="I47" s="33">
        <f>Hotspots!I50</f>
        <v>0.66625988073776177</v>
      </c>
    </row>
    <row r="48" spans="1:9" x14ac:dyDescent="0.3">
      <c r="A48" s="33" t="str">
        <f>Hotspots!A51</f>
        <v>20164013</v>
      </c>
      <c r="B48" s="33" t="str">
        <f>Hotspots!B51</f>
        <v>Polyacetals, in primary forms</v>
      </c>
      <c r="C48" s="33" t="str">
        <f>Hotspots!C51</f>
        <v>Polyoxymethylene</v>
      </c>
      <c r="D48" s="33">
        <f>Hotspots!D51</f>
        <v>0.35609374900000001</v>
      </c>
      <c r="E48" s="33" t="str">
        <f>Hotspots!E51</f>
        <v>manual:3.64</v>
      </c>
      <c r="F48" s="33" t="str">
        <f>Hotspots!F51</f>
        <v xml:space="preserve">(CH2O)n </v>
      </c>
      <c r="G48" s="33">
        <f>Hotspots!G51</f>
        <v>30.026</v>
      </c>
      <c r="H48" s="33" t="str">
        <f>Hotspots!H51</f>
        <v>1</v>
      </c>
      <c r="I48" s="33">
        <f>Hotspots!I51</f>
        <v>0.40001998268167588</v>
      </c>
    </row>
    <row r="49" spans="1:9" x14ac:dyDescent="0.3">
      <c r="A49" s="33" t="str">
        <f>Hotspots!A52</f>
        <v>20143215</v>
      </c>
      <c r="B49" s="33" t="str">
        <f>Hotspots!B52</f>
        <v>Ethyl acetate</v>
      </c>
      <c r="C49" s="33" t="str">
        <f>Hotspots!C52</f>
        <v>Ethyl acetate</v>
      </c>
      <c r="D49" s="33">
        <f>Hotspots!D52</f>
        <v>0.34131204900000001</v>
      </c>
      <c r="E49" s="33" t="str">
        <f>Hotspots!E52</f>
        <v>market for ethyl acetate</v>
      </c>
      <c r="F49" s="33" t="str">
        <f>Hotspots!F52</f>
        <v>C4H8O2</v>
      </c>
      <c r="G49" s="33">
        <f>Hotspots!G52</f>
        <v>88.11</v>
      </c>
      <c r="H49" s="33" t="str">
        <f>Hotspots!H52</f>
        <v>4</v>
      </c>
      <c r="I49" s="33">
        <f>Hotspots!I52</f>
        <v>0.54527295426171829</v>
      </c>
    </row>
    <row r="50" spans="1:9" x14ac:dyDescent="0.3">
      <c r="A50" s="33" t="str">
        <f>Hotspots!A53</f>
        <v>20146333</v>
      </c>
      <c r="B50" s="33" t="str">
        <f>Hotspots!B53</f>
        <v>2,2-Oxydiethanol (diethylene glycol; digol)</v>
      </c>
      <c r="C50" s="33" t="str">
        <f>Hotspots!C53</f>
        <v>Diethylene glycol</v>
      </c>
      <c r="D50" s="33">
        <f>Hotspots!D53</f>
        <v>0.32842485399999999</v>
      </c>
      <c r="E50" s="33" t="str">
        <f>Hotspots!E53</f>
        <v>market for diethylene glycol</v>
      </c>
      <c r="F50" s="33" t="str">
        <f>Hotspots!F53</f>
        <v>C4H10O3</v>
      </c>
      <c r="G50" s="33">
        <f>Hotspots!G53</f>
        <v>106.12</v>
      </c>
      <c r="H50" s="33" t="str">
        <f>Hotspots!H53</f>
        <v>4</v>
      </c>
      <c r="I50" s="33">
        <f>Hotspots!I53</f>
        <v>0.45273275537127777</v>
      </c>
    </row>
    <row r="51" spans="1:9" x14ac:dyDescent="0.3">
      <c r="A51" s="33" t="str">
        <f>Hotspots!A54</f>
        <v>20165250</v>
      </c>
      <c r="B51" s="33" t="str">
        <f>Hotspots!B54</f>
        <v>Polymers of vinyl acetate, in primary forms (excluding in aqueous dispersion)</v>
      </c>
      <c r="C51" s="33" t="str">
        <f>Hotspots!C54</f>
        <v>Polyvinyl acetate</v>
      </c>
      <c r="D51" s="33">
        <f>Hotspots!D54</f>
        <v>0.32017296499999998</v>
      </c>
      <c r="E51" s="33" t="str">
        <f>Hotspots!E54</f>
        <v>market for vinyl acetate</v>
      </c>
      <c r="F51" s="33" t="str">
        <f>Hotspots!F54</f>
        <v>(C4H6O2)x</v>
      </c>
      <c r="G51" s="33">
        <f>Hotspots!G54</f>
        <v>86.08905</v>
      </c>
      <c r="H51" s="33" t="str">
        <f>Hotspots!H54</f>
        <v>4</v>
      </c>
      <c r="I51" s="33">
        <f>Hotspots!I54</f>
        <v>0.55807329735895561</v>
      </c>
    </row>
    <row r="52" spans="1:9" x14ac:dyDescent="0.3">
      <c r="A52" s="33" t="str">
        <f>Hotspots!A55</f>
        <v>20141243</v>
      </c>
      <c r="B52" s="33" t="str">
        <f>Hotspots!B55</f>
        <v>o-Xylene</v>
      </c>
      <c r="C52" s="33" t="str">
        <f>Hotspots!C55</f>
        <v>o-Xylene</v>
      </c>
      <c r="D52" s="33">
        <f>Hotspots!D55</f>
        <v>0.26076013100000001</v>
      </c>
      <c r="E52" s="33" t="str">
        <f>Hotspots!E55</f>
        <v>market for o-xylene</v>
      </c>
      <c r="F52" s="33" t="str">
        <f>Hotspots!F55</f>
        <v>C8H10</v>
      </c>
      <c r="G52" s="33">
        <f>Hotspots!G55</f>
        <v>106.16</v>
      </c>
      <c r="H52" s="33" t="str">
        <f>Hotspots!H55</f>
        <v>8</v>
      </c>
      <c r="I52" s="33">
        <f>Hotspots!I55</f>
        <v>0.90512434061793512</v>
      </c>
    </row>
    <row r="53" spans="1:9" x14ac:dyDescent="0.3">
      <c r="A53" s="33" t="str">
        <f>Hotspots!A56</f>
        <v>20143363</v>
      </c>
      <c r="B53" s="33" t="str">
        <f>Hotspots!B56</f>
        <v>Benzoic acid; its salts and esters</v>
      </c>
      <c r="C53" s="33" t="str">
        <f>Hotspots!C56</f>
        <v>Benzoic acid</v>
      </c>
      <c r="D53" s="33">
        <f>Hotspots!D56</f>
        <v>0.23232725400000001</v>
      </c>
      <c r="E53" s="33" t="str">
        <f>Hotspots!E56</f>
        <v>market for benzoic acid</v>
      </c>
      <c r="F53" s="33" t="str">
        <f>Hotspots!F56</f>
        <v>C7H6O2</v>
      </c>
      <c r="G53" s="33">
        <f>Hotspots!G56</f>
        <v>122.12</v>
      </c>
      <c r="H53" s="33" t="str">
        <f>Hotspots!H56</f>
        <v>7</v>
      </c>
      <c r="I53" s="33">
        <f>Hotspots!I56</f>
        <v>0.68847854569276112</v>
      </c>
    </row>
    <row r="54" spans="1:9" x14ac:dyDescent="0.3">
      <c r="A54" s="33" t="str">
        <f>Hotspots!A57</f>
        <v>20142433</v>
      </c>
      <c r="B54" s="33" t="str">
        <f>Hotspots!B57</f>
        <v>4,4-Isopropylidenediphenol (bisphenol A; diphenylolpropane) and its salts</v>
      </c>
      <c r="C54" s="33" t="str">
        <f>Hotspots!C57</f>
        <v>Bisphenol A</v>
      </c>
      <c r="D54" s="33">
        <f>Hotspots!D57</f>
        <v>0.21313040699999999</v>
      </c>
      <c r="E54" s="33" t="str">
        <f>Hotspots!E57</f>
        <v>market for bisphenol A, powder</v>
      </c>
      <c r="F54" s="33" t="str">
        <f>Hotspots!F57</f>
        <v>C15H16O2</v>
      </c>
      <c r="G54" s="33">
        <f>Hotspots!G57</f>
        <v>228.29</v>
      </c>
      <c r="H54" s="33" t="str">
        <f>Hotspots!H57</f>
        <v>15</v>
      </c>
      <c r="I54" s="33">
        <f>Hotspots!I57</f>
        <v>0.78919356958254849</v>
      </c>
    </row>
    <row r="55" spans="1:9" x14ac:dyDescent="0.3">
      <c r="A55" s="33" t="str">
        <f>Hotspots!A58</f>
        <v>20143277</v>
      </c>
      <c r="B55" s="33" t="str">
        <f>Hotspots!B58</f>
        <v>Acetic anhydride</v>
      </c>
      <c r="C55" s="33" t="str">
        <f>Hotspots!C58</f>
        <v>Acetic anhydride</v>
      </c>
      <c r="D55" s="33">
        <f>Hotspots!D58</f>
        <v>0.21224747299999999</v>
      </c>
      <c r="E55" s="33" t="str">
        <f>Hotspots!E58</f>
        <v>market for acetic anhydride</v>
      </c>
      <c r="F55" s="33" t="str">
        <f>Hotspots!F58</f>
        <v>C4H6O3</v>
      </c>
      <c r="G55" s="33">
        <f>Hotspots!G58</f>
        <v>102.09</v>
      </c>
      <c r="H55" s="33" t="str">
        <f>Hotspots!H58</f>
        <v>4</v>
      </c>
      <c r="I55" s="33">
        <f>Hotspots!I58</f>
        <v>0.47060436869428929</v>
      </c>
    </row>
    <row r="56" spans="1:9" x14ac:dyDescent="0.3">
      <c r="A56" s="33" t="str">
        <f>Hotspots!A59</f>
        <v>20165350</v>
      </c>
      <c r="B56" s="33" t="str">
        <f>Hotspots!B59</f>
        <v>Polymethyl methacrylate, in primary forms</v>
      </c>
      <c r="C56" s="33" t="str">
        <f>Hotspots!C59</f>
        <v>Polymethyl methacrylate</v>
      </c>
      <c r="D56" s="33">
        <f>Hotspots!D59</f>
        <v>0.210079972</v>
      </c>
      <c r="E56" s="33" t="str">
        <f>Hotspots!E59</f>
        <v>market for polymethyl methacrylate</v>
      </c>
      <c r="F56" s="33" t="str">
        <f>Hotspots!F59</f>
        <v>(C5H8O2)x</v>
      </c>
      <c r="G56" s="33">
        <f>Hotspots!G59</f>
        <v>100.117</v>
      </c>
      <c r="H56" s="33" t="str">
        <f>Hotspots!H59</f>
        <v>5</v>
      </c>
      <c r="I56" s="33">
        <f>Hotspots!I59</f>
        <v>0.59984817763217024</v>
      </c>
    </row>
    <row r="57" spans="1:9" x14ac:dyDescent="0.3">
      <c r="A57" s="33" t="str">
        <f>Hotspots!A60</f>
        <v>20144450_1</v>
      </c>
      <c r="B57" s="33" t="str">
        <f>Hotspots!B60</f>
        <v>Toluene diisocyanate (TDI)</v>
      </c>
      <c r="C57" s="33" t="str">
        <f>Hotspots!C60</f>
        <v>Toluene diisocyanate</v>
      </c>
      <c r="D57" s="33">
        <f>Hotspots!D60</f>
        <v>0.23712875169230768</v>
      </c>
      <c r="E57" s="33" t="str">
        <f>Hotspots!E60</f>
        <v>market for toluene diisocyanate</v>
      </c>
      <c r="F57" s="33" t="str">
        <f>Hotspots!F60</f>
        <v>C9H6N2O2</v>
      </c>
      <c r="G57" s="33">
        <f>Hotspots!G60</f>
        <v>174.16</v>
      </c>
      <c r="H57" s="33" t="str">
        <f>Hotspots!H60</f>
        <v>9</v>
      </c>
      <c r="I57" s="33">
        <f>Hotspots!I60</f>
        <v>0.6206878732200275</v>
      </c>
    </row>
    <row r="58" spans="1:9" x14ac:dyDescent="0.3">
      <c r="A58" s="33" t="str">
        <f>Hotspots!A61</f>
        <v>20144450_2</v>
      </c>
      <c r="B58" s="33" t="str">
        <f>Hotspots!B61</f>
        <v>Methylene diphenyl diisocyanate (MDI)</v>
      </c>
      <c r="C58" s="33" t="str">
        <f>Hotspots!C61</f>
        <v>Methylene diphenyl diisocyanate</v>
      </c>
      <c r="D58" s="33">
        <f>Hotspots!D61</f>
        <v>0.79042917230769227</v>
      </c>
      <c r="E58" s="33" t="str">
        <f>Hotspots!E61</f>
        <v>market for methylene diphenyl diisocyanate</v>
      </c>
      <c r="F58" s="33" t="str">
        <f>Hotspots!F61</f>
        <v>C15H10N2O2</v>
      </c>
      <c r="G58" s="33">
        <f>Hotspots!G61</f>
        <v>250.25</v>
      </c>
      <c r="H58" s="33" t="str">
        <f>Hotspots!H61</f>
        <v>15</v>
      </c>
      <c r="I58" s="33">
        <f>Hotspots!I61</f>
        <v>0.71994005994005994</v>
      </c>
    </row>
    <row r="59" spans="1:9" x14ac:dyDescent="0.3">
      <c r="A59" s="33" t="str">
        <f>Hotspots!A62</f>
        <v>20165450_1</v>
      </c>
      <c r="B59" s="33" t="str">
        <f>Hotspots!B62</f>
        <v>Polyamide -6,6 (PA 66)</v>
      </c>
      <c r="C59" s="33" t="str">
        <f>Hotspots!C62</f>
        <v>Polyamide -6,6</v>
      </c>
      <c r="D59" s="33">
        <f>Hotspots!D62</f>
        <v>6.7701275079032411E-3</v>
      </c>
      <c r="E59" s="33" t="str">
        <f>Hotspots!E62</f>
        <v>market for nylon 6-6</v>
      </c>
      <c r="F59" s="33" t="str">
        <f>Hotspots!F62</f>
        <v>C12H20N2O2</v>
      </c>
      <c r="G59" s="33">
        <f>Hotspots!G62</f>
        <v>224.3</v>
      </c>
      <c r="H59" s="33" t="str">
        <f>Hotspots!H62</f>
        <v>12</v>
      </c>
      <c r="I59" s="33">
        <f>Hotspots!I62</f>
        <v>0.64258582255907271</v>
      </c>
    </row>
    <row r="60" spans="1:9" x14ac:dyDescent="0.3">
      <c r="A60" s="33" t="str">
        <f>Hotspots!A63</f>
        <v>20165450_2</v>
      </c>
      <c r="B60" s="33" t="str">
        <f>Hotspots!B63</f>
        <v>Polyamide -6 (PA 6)</v>
      </c>
      <c r="C60" s="33" t="str">
        <f>Hotspots!C63</f>
        <v>Polyamide -6</v>
      </c>
      <c r="D60" s="33">
        <f>Hotspots!D63</f>
        <v>7.964855891650871E-3</v>
      </c>
      <c r="E60" s="33" t="str">
        <f>Hotspots!E63</f>
        <v>market for nylon 6</v>
      </c>
      <c r="F60" s="33" t="str">
        <f>Hotspots!F63</f>
        <v>C30H56N5O6-</v>
      </c>
      <c r="G60" s="33">
        <f>Hotspots!G63</f>
        <v>582.79999999999995</v>
      </c>
      <c r="H60" s="33" t="str">
        <f>Hotspots!H63</f>
        <v>30</v>
      </c>
      <c r="I60" s="33">
        <f>Hotspots!I63</f>
        <v>0.61827385037748805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D568-7098-43DE-B732-C1A0ABD6AE3F}">
  <sheetPr codeName="Sheet6"/>
  <dimension ref="B2:C20"/>
  <sheetViews>
    <sheetView workbookViewId="0"/>
  </sheetViews>
  <sheetFormatPr defaultRowHeight="14.4" x14ac:dyDescent="0.3"/>
  <cols>
    <col min="2" max="2" width="29.109375" customWidth="1"/>
    <col min="3" max="3" width="138.88671875" customWidth="1"/>
  </cols>
  <sheetData>
    <row r="2" spans="2:3" ht="15" thickBot="1" x14ac:dyDescent="0.35"/>
    <row r="3" spans="2:3" ht="15" thickBot="1" x14ac:dyDescent="0.35">
      <c r="B3" s="70" t="s">
        <v>823</v>
      </c>
      <c r="C3" s="71" t="s">
        <v>824</v>
      </c>
    </row>
    <row r="4" spans="2:3" ht="15" thickTop="1" x14ac:dyDescent="0.3">
      <c r="B4" s="77" t="s">
        <v>572</v>
      </c>
      <c r="C4" s="72" t="s">
        <v>784</v>
      </c>
    </row>
    <row r="5" spans="2:3" x14ac:dyDescent="0.3">
      <c r="B5" s="77" t="s">
        <v>575</v>
      </c>
      <c r="C5" s="72" t="s">
        <v>787</v>
      </c>
    </row>
    <row r="6" spans="2:3" x14ac:dyDescent="0.3">
      <c r="B6" s="77" t="s">
        <v>789</v>
      </c>
      <c r="C6" s="72" t="s">
        <v>790</v>
      </c>
    </row>
    <row r="7" spans="2:3" x14ac:dyDescent="0.3">
      <c r="B7" s="77" t="s">
        <v>791</v>
      </c>
      <c r="C7" s="72" t="s">
        <v>792</v>
      </c>
    </row>
    <row r="8" spans="2:3" x14ac:dyDescent="0.3">
      <c r="B8" s="77" t="s">
        <v>797</v>
      </c>
      <c r="C8" s="72" t="s">
        <v>796</v>
      </c>
    </row>
    <row r="9" spans="2:3" x14ac:dyDescent="0.3">
      <c r="B9" s="77" t="s">
        <v>799</v>
      </c>
      <c r="C9" s="72" t="s">
        <v>798</v>
      </c>
    </row>
    <row r="10" spans="2:3" x14ac:dyDescent="0.3">
      <c r="B10" s="77" t="s">
        <v>795</v>
      </c>
      <c r="C10" s="72" t="s">
        <v>794</v>
      </c>
    </row>
    <row r="11" spans="2:3" x14ac:dyDescent="0.3">
      <c r="B11" s="77" t="s">
        <v>802</v>
      </c>
      <c r="C11" s="72" t="s">
        <v>801</v>
      </c>
    </row>
    <row r="12" spans="2:3" x14ac:dyDescent="0.3">
      <c r="B12" s="77" t="s">
        <v>806</v>
      </c>
      <c r="C12" s="72" t="s">
        <v>501</v>
      </c>
    </row>
    <row r="13" spans="2:3" x14ac:dyDescent="0.3">
      <c r="B13" s="77" t="s">
        <v>808</v>
      </c>
      <c r="C13" s="72" t="s">
        <v>504</v>
      </c>
    </row>
    <row r="14" spans="2:3" x14ac:dyDescent="0.3">
      <c r="B14" s="77" t="s">
        <v>809</v>
      </c>
      <c r="C14" s="72" t="s">
        <v>506</v>
      </c>
    </row>
    <row r="15" spans="2:3" x14ac:dyDescent="0.3">
      <c r="B15" s="77" t="s">
        <v>813</v>
      </c>
      <c r="C15" s="72" t="s">
        <v>507</v>
      </c>
    </row>
    <row r="16" spans="2:3" x14ac:dyDescent="0.3">
      <c r="B16" s="77" t="s">
        <v>815</v>
      </c>
      <c r="C16" s="72" t="s">
        <v>636</v>
      </c>
    </row>
    <row r="17" spans="2:3" x14ac:dyDescent="0.3">
      <c r="B17" s="77" t="s">
        <v>817</v>
      </c>
      <c r="C17" s="72" t="s">
        <v>651</v>
      </c>
    </row>
    <row r="18" spans="2:3" x14ac:dyDescent="0.3">
      <c r="B18" s="77" t="s">
        <v>781</v>
      </c>
      <c r="C18" s="72" t="s">
        <v>780</v>
      </c>
    </row>
    <row r="19" spans="2:3" x14ac:dyDescent="0.3">
      <c r="B19" s="77" t="s">
        <v>819</v>
      </c>
      <c r="C19" s="72" t="s">
        <v>820</v>
      </c>
    </row>
    <row r="20" spans="2:3" ht="15" thickBot="1" x14ac:dyDescent="0.35">
      <c r="B20" s="78" t="s">
        <v>822</v>
      </c>
      <c r="C20" s="73" t="s">
        <v>821</v>
      </c>
    </row>
  </sheetData>
  <hyperlinks>
    <hyperlink ref="C12" r:id="rId1" display="https://doi.org/10.1002/cssc.202102628" xr:uid="{ABDB7DBE-D5C3-4E09-A289-BB25D9F4841B}"/>
    <hyperlink ref="C13" r:id="rId2" display="https://doi.org/10.1002/14356007.a04_463.pub3" xr:uid="{79DE11BD-A866-41F8-BD15-97E0A45D2584}"/>
    <hyperlink ref="C14" r:id="rId3" display="https://doi.org/10.1002/14356007.a01_279.pub2" xr:uid="{9AB660E9-AD17-4F2D-A670-03A249421296}"/>
    <hyperlink ref="C15" r:id="rId4" display="https://doi.org/10.1016/j.resconrec.2022.106324" xr:uid="{B06700BE-9DD5-404E-AF96-1F55CE8A87D4}"/>
    <hyperlink ref="C16" r:id="rId5" display="https://doi.org/10.1002/14356007.a25_413.pub3" xr:uid="{E14A8B08-47F4-48EF-B185-CCCE6A036327}"/>
    <hyperlink ref="C17" r:id="rId6" display="https://doi.org/10.1002/14356007.a04_447.pub2" xr:uid="{F03F80DC-358F-44C0-B538-B318CF3B821C}"/>
    <hyperlink ref="C18" r:id="rId7" display="https://support.ecoinvent.org/ecoinvent-version-3.11" xr:uid="{34AACD1E-EB02-4D43-A64B-1D395AB1143A}"/>
    <hyperlink ref="C4" r:id="rId8" display="https://doi.org/10.1515/psr-2020-0076" xr:uid="{58C2B933-EBCB-4730-B52C-7A9708E9EC42}"/>
    <hyperlink ref="C5" r:id="rId9" display="https://doi.org/10.1002/14356007.a14_611.pub2" xr:uid="{2B82F01C-8B6E-4B13-A557-8256E8924397}"/>
    <hyperlink ref="C6" r:id="rId10" display="https://doi.org/10.1002/14356007.a20_181.pub2" xr:uid="{9EBFE6F2-3131-42DA-A617-B936BE884DAC}"/>
    <hyperlink ref="C7" r:id="rId11" display="https://doi.org/10.1002/14356007.a26_193.pub3" xr:uid="{8570B878-21E4-4800-B889-CF88CE98DC93}"/>
    <hyperlink ref="C10" r:id="rId12" display="https://doi.org/10.2172/1244312" xr:uid="{AFF42C00-BF22-4434-90E8-1A36F53ADA83}"/>
    <hyperlink ref="C8" r:id="rId13" display="https://doi.org/10.1186/s12934-016-0612-6" xr:uid="{516F84A7-A9BA-4A1E-9251-B630B7A078D0}"/>
    <hyperlink ref="C9" r:id="rId14" display="https://doi.org/10.1128/AEM.02417-20" xr:uid="{35B6A112-849A-4FF8-B732-F26862E14F30}"/>
    <hyperlink ref="C11" r:id="rId15" location="2020" display="https://www.epa.gov/chemical-data-reporting/access-chemical-data-reporting-data - 2020" xr:uid="{DDBE790F-3BAA-4929-854C-33B42F55FD2F}"/>
    <hyperlink ref="C19" r:id="rId16" display="http://www.lib.ncsu.edu/resolver/1840.16/3805" xr:uid="{0627A8CD-0ADC-4FF9-AA11-8AF8868C3B17}"/>
    <hyperlink ref="C20" r:id="rId17" xr:uid="{D9F0AB4A-D8AE-464F-8959-9D30EC46661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AF39AFB91D254FB182AF94C5DC49BB" ma:contentTypeVersion="11" ma:contentTypeDescription="Crée un document." ma:contentTypeScope="" ma:versionID="dbf3a68182155b17bdc3666382daf776">
  <xsd:schema xmlns:xsd="http://www.w3.org/2001/XMLSchema" xmlns:xs="http://www.w3.org/2001/XMLSchema" xmlns:p="http://schemas.microsoft.com/office/2006/metadata/properties" xmlns:ns2="e3526620-295c-4e7a-bc15-71d5d129bc8a" xmlns:ns3="f89e107a-002f-47cb-94f0-e5bf57bc2a72" targetNamespace="http://schemas.microsoft.com/office/2006/metadata/properties" ma:root="true" ma:fieldsID="ccb4e8835da535e86e7998c3a5e457f2" ns2:_="" ns3:_="">
    <xsd:import namespace="e3526620-295c-4e7a-bc15-71d5d129bc8a"/>
    <xsd:import namespace="f89e107a-002f-47cb-94f0-e5bf57bc2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26620-295c-4e7a-bc15-71d5d129bc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89d98ed-d87d-4b5f-8cfd-2c453ac98cb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9e107a-002f-47cb-94f0-e5bf57bc2a7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9249a1-d208-40d2-81eb-01a4abb22e02}" ma:internalName="TaxCatchAll" ma:showField="CatchAllData" ma:web="f89e107a-002f-47cb-94f0-e5bf57bc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89e107a-002f-47cb-94f0-e5bf57bc2a72" xsi:nil="true"/>
    <lcf76f155ced4ddcb4097134ff3c332f xmlns="e3526620-295c-4e7a-bc15-71d5d129bc8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657930-DF77-4326-A966-56C025638193}"/>
</file>

<file path=customXml/itemProps2.xml><?xml version="1.0" encoding="utf-8"?>
<ds:datastoreItem xmlns:ds="http://schemas.openxmlformats.org/officeDocument/2006/customXml" ds:itemID="{AC7B288C-B193-4FC8-8062-C89E42A71A6B}">
  <ds:schemaRef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e3526620-295c-4e7a-bc15-71d5d129bc8a"/>
    <ds:schemaRef ds:uri="http://www.w3.org/XML/1998/namespace"/>
    <ds:schemaRef ds:uri="f89e107a-002f-47cb-94f0-e5bf57bc2a72"/>
    <ds:schemaRef ds:uri="http://purl.org/dc/terms/"/>
  </ds:schemaRefs>
</ds:datastoreItem>
</file>

<file path=customXml/itemProps3.xml><?xml version="1.0" encoding="utf-8"?>
<ds:datastoreItem xmlns:ds="http://schemas.openxmlformats.org/officeDocument/2006/customXml" ds:itemID="{B8396B6C-9F18-4B07-950E-E4FD485E46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README</vt:lpstr>
      <vt:lpstr>PRODCOM screening and matching</vt:lpstr>
      <vt:lpstr>Calculations</vt:lpstr>
      <vt:lpstr>Hotspots</vt:lpstr>
      <vt:lpstr>Export</vt:lpstr>
      <vt:lpstr>References</vt:lpstr>
      <vt:lpstr>'PRODCOM screening and matching'!_20260204___reorganized_annual_series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Lienart</dc:creator>
  <cp:lastModifiedBy>Nicolas Lienart</cp:lastModifiedBy>
  <dcterms:created xsi:type="dcterms:W3CDTF">2026-02-04T09:42:43Z</dcterms:created>
  <dcterms:modified xsi:type="dcterms:W3CDTF">2026-05-05T08:25:37Z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0x010100E4AF39AFB91D254FB182AF94C5DC49BB</vt:lpwstr>
  </property>
  <property fmtid="{D5CDD505-2E9C-101B-9397-08002B2CF9AE}" pid="3" name="MediaServiceImageTags">
    <vt:lpwstr/>
  </property>
</Properties>
</file>