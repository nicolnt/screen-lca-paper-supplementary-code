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nicolas\projects\202604-paper-1-supplementary-code\Article_data\"/>
    </mc:Choice>
  </mc:AlternateContent>
  <xr:revisionPtr revIDLastSave="0" documentId="13_ncr:1_{0512AB52-096E-4E11-9194-EBF0DE76443E}" xr6:coauthVersionLast="47" xr6:coauthVersionMax="47" xr10:uidLastSave="{00000000-0000-0000-0000-000000000000}"/>
  <bookViews>
    <workbookView xWindow="-108" yWindow="-108" windowWidth="23256" windowHeight="12456" xr2:uid="{3AE344CB-1894-47AD-A205-3A52A8D8A89E}"/>
  </bookViews>
  <sheets>
    <sheet name="README" sheetId="2" r:id="rId1"/>
    <sheet name="Figure 2 data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8" i="2" l="1"/>
</calcChain>
</file>

<file path=xl/sharedStrings.xml><?xml version="1.0" encoding="utf-8"?>
<sst xmlns="http://schemas.openxmlformats.org/spreadsheetml/2006/main" count="355" uniqueCount="287">
  <si>
    <t>README sheet</t>
  </si>
  <si>
    <t>General information</t>
  </si>
  <si>
    <t>Main paper title</t>
  </si>
  <si>
    <t>Residual biomass to bio-based chemicals and plastics: ex-ante screening methodology for prioritizing high-impact substitutions</t>
  </si>
  <si>
    <t>Authors</t>
  </si>
  <si>
    <t>Nicolas LIENART, Thibaut LECOMPTE, Lorie HAMELIN</t>
  </si>
  <si>
    <t>Contact (Nicolas Lienart)</t>
  </si>
  <si>
    <t>nicolas.lienart@insa-toulouse.fr</t>
  </si>
  <si>
    <t>Contact (Thibaut Lecompte)</t>
  </si>
  <si>
    <t>thibaut.lecompte@univ-ubs.fr</t>
  </si>
  <si>
    <t>Contact (Lorie Hamelin)</t>
  </si>
  <si>
    <t>lorie.hamelin@insa-toulouse.fr</t>
  </si>
  <si>
    <t>Description</t>
  </si>
  <si>
    <t>This file is contains the underlying data used to generate the Figure 2 in the main manuscript. It is corresponds to "output/data output - processed.csv" file, generated by "Calculate product footprints and generate hotspot figure.ipynb"</t>
  </si>
  <si>
    <t>Note</t>
  </si>
  <si>
    <t>This file is part of a set of supplementary materials. Please refer to the main manuscript and the accompanying document to find other materials and for a description of their usage.</t>
  </si>
  <si>
    <t>Git repository (Forge INRAE)</t>
  </si>
  <si>
    <t>https://forge.inrae.fr/nicolas.lienart/screen-lca-paper-supplementary-code</t>
  </si>
  <si>
    <t>Git repository (GitHub)</t>
  </si>
  <si>
    <t>https://github.com/nicolnt/screen-lca-paper-supplementary-code</t>
  </si>
  <si>
    <t>Updates</t>
  </si>
  <si>
    <t>Date</t>
  </si>
  <si>
    <t>Ready for submission</t>
  </si>
  <si>
    <t>Sheet structure</t>
  </si>
  <si>
    <t>Sheet name</t>
  </si>
  <si>
    <t>README</t>
  </si>
  <si>
    <t>This sheet. Contains meta information about this Excel file and its structure.</t>
  </si>
  <si>
    <t>Figure 2 data</t>
  </si>
  <si>
    <t>Priority code</t>
  </si>
  <si>
    <t>PRODCOM code</t>
  </si>
  <si>
    <t>Long name</t>
  </si>
  <si>
    <t>Figure name</t>
  </si>
  <si>
    <t>Quantity (Mt)</t>
  </si>
  <si>
    <t>Ecoinvent 3.11 activity name proxy</t>
  </si>
  <si>
    <t>Molecular formula (MF)</t>
  </si>
  <si>
    <t>Molecular weight (MW)</t>
  </si>
  <si>
    <t>Carbon atoms</t>
  </si>
  <si>
    <t>ecoinvent activity region</t>
  </si>
  <si>
    <t>GHG unit impact (IPCC 2021 GWP100, kg CO2e/kg)</t>
  </si>
  <si>
    <t>propylene</t>
  </si>
  <si>
    <t>ethylene</t>
  </si>
  <si>
    <t>methanol</t>
  </si>
  <si>
    <t>xylene, mixed</t>
  </si>
  <si>
    <t>o-xylene</t>
  </si>
  <si>
    <t>p-xylene</t>
  </si>
  <si>
    <t>toluene, liquid</t>
  </si>
  <si>
    <t>benzene</t>
  </si>
  <si>
    <t>conseq_RER_GLO_RoW</t>
  </si>
  <si>
    <t>GHG unit impact of end-of-life (IPCC 2021 GWP100, kg CO2e/kg)</t>
  </si>
  <si>
    <t>GHG total unit impact with end-of-life (IPCC 2021 GWP100, kg CO2e/kg)</t>
  </si>
  <si>
    <t>Total GHG footprint without end-of-life (IPCC 2021 GWP100, kg CO2e/kg)</t>
  </si>
  <si>
    <t>Total GHG footprint with end-of-life (IPCC 2021 GWP100, kg CO2e/kg)</t>
  </si>
  <si>
    <t>x_axis</t>
  </si>
  <si>
    <t>BTX fraction GHG footprint (IPCC 2021 GWP100, kg CO2e/kg)</t>
  </si>
  <si>
    <t>Polyethylene</t>
  </si>
  <si>
    <t>(C2H4)n</t>
  </si>
  <si>
    <t>20165130</t>
  </si>
  <si>
    <t>Polypropylene, in primary forms</t>
  </si>
  <si>
    <t>Polypropylene</t>
  </si>
  <si>
    <t>market for polypropylene, granulate</t>
  </si>
  <si>
    <t>(C3H6)x</t>
  </si>
  <si>
    <t>GLO</t>
  </si>
  <si>
    <t>Polystyrene</t>
  </si>
  <si>
    <t>(C8H8)x</t>
  </si>
  <si>
    <t>20141140</t>
  </si>
  <si>
    <t>Propene (propylene)</t>
  </si>
  <si>
    <t>Propylene</t>
  </si>
  <si>
    <t>market for propylene</t>
  </si>
  <si>
    <t>C3H6</t>
  </si>
  <si>
    <t>RER</t>
  </si>
  <si>
    <t>20141130</t>
  </si>
  <si>
    <t>Ethylene</t>
  </si>
  <si>
    <t>market for ethylene</t>
  </si>
  <si>
    <t>C2H4</t>
  </si>
  <si>
    <t>Polyethylene terephthalate</t>
  </si>
  <si>
    <t>C12H14O4</t>
  </si>
  <si>
    <t>20141223</t>
  </si>
  <si>
    <t>Benzene</t>
  </si>
  <si>
    <t>market for benzene</t>
  </si>
  <si>
    <t>C6H6</t>
  </si>
  <si>
    <t>Polyvinyl chloride</t>
  </si>
  <si>
    <t>C2H3Cl</t>
  </si>
  <si>
    <t>20143430</t>
  </si>
  <si>
    <t>Phthalic anhydride; terephthalic acid and its salts</t>
  </si>
  <si>
    <t>Terephthalic acid</t>
  </si>
  <si>
    <t>market for purified terephthalic acid</t>
  </si>
  <si>
    <t>C8H6O4</t>
  </si>
  <si>
    <t>20165450_2</t>
  </si>
  <si>
    <t>Polyamide -6 (PA 6)</t>
  </si>
  <si>
    <t>Polyamide -6</t>
  </si>
  <si>
    <t>market for nylon 6</t>
  </si>
  <si>
    <t>C30H56N5O6-</t>
  </si>
  <si>
    <t>20141250</t>
  </si>
  <si>
    <t>Styrene</t>
  </si>
  <si>
    <t>market for styrene</t>
  </si>
  <si>
    <t>C8H8</t>
  </si>
  <si>
    <t>20165450_1</t>
  </si>
  <si>
    <t>Polyamide -6,6 (PA 66)</t>
  </si>
  <si>
    <t>Polyamide -6,6</t>
  </si>
  <si>
    <t>market for nylon 6-6</t>
  </si>
  <si>
    <t>C12H20N2O2</t>
  </si>
  <si>
    <t>20142210</t>
  </si>
  <si>
    <t>Methanol (methyl alcohol)</t>
  </si>
  <si>
    <t>Methanol</t>
  </si>
  <si>
    <t>market for methanol</t>
  </si>
  <si>
    <t>CH4O</t>
  </si>
  <si>
    <t>20141160</t>
  </si>
  <si>
    <t>Buta-1,3-diene and isoprene</t>
  </si>
  <si>
    <t>Butadiene</t>
  </si>
  <si>
    <t>market for butadiene</t>
  </si>
  <si>
    <t>C4H6</t>
  </si>
  <si>
    <t>20146375</t>
  </si>
  <si>
    <t>Methyloxirane (propylene oxide)</t>
  </si>
  <si>
    <t>Propylene oxide</t>
  </si>
  <si>
    <t>market for propylene oxide, liquid</t>
  </si>
  <si>
    <t>C3H6O</t>
  </si>
  <si>
    <t>Polyvinyl acetate</t>
  </si>
  <si>
    <t>(C4H6O2)x</t>
  </si>
  <si>
    <t>20143385</t>
  </si>
  <si>
    <t>Adipic acid; its salts and esters</t>
  </si>
  <si>
    <t>Adipic acid</t>
  </si>
  <si>
    <t>market for adipic acid</t>
  </si>
  <si>
    <t>C6H10O4</t>
  </si>
  <si>
    <t>20141150</t>
  </si>
  <si>
    <t>Butene (butylene) and isomers thereof</t>
  </si>
  <si>
    <t>Butylene</t>
  </si>
  <si>
    <t>market for butene, mixed</t>
  </si>
  <si>
    <t>C8H16</t>
  </si>
  <si>
    <t>20162070</t>
  </si>
  <si>
    <t>Acrylonitrile-butadiene-styrene (ABS) copolymers, in primary forms</t>
  </si>
  <si>
    <t>ABS</t>
  </si>
  <si>
    <t>market for acrylonitrile-butadiene-styrene copolymer</t>
  </si>
  <si>
    <t>C15H17N</t>
  </si>
  <si>
    <t>20144151</t>
  </si>
  <si>
    <t>Aniline and its salts (excluding derivatives)</t>
  </si>
  <si>
    <t>Aniline</t>
  </si>
  <si>
    <t>market for aniline</t>
  </si>
  <si>
    <t>C6H7N</t>
  </si>
  <si>
    <t>20144450_2</t>
  </si>
  <si>
    <t>Methylene diphenyl diisocyanate (MDI)</t>
  </si>
  <si>
    <t>Methylene diphenyl diisocyanate</t>
  </si>
  <si>
    <t>market for methylene diphenyl diisocyanate</t>
  </si>
  <si>
    <t>C15H10N2O2</t>
  </si>
  <si>
    <t>20143320</t>
  </si>
  <si>
    <t>Esters of acrylic acid</t>
  </si>
  <si>
    <t>market for butyl acrylate</t>
  </si>
  <si>
    <t>C7H12O2</t>
  </si>
  <si>
    <t>20142310</t>
  </si>
  <si>
    <t>Ethylene glycol (ethanediol)</t>
  </si>
  <si>
    <t>Ethylene glycol</t>
  </si>
  <si>
    <t>market for ethylene glycol</t>
  </si>
  <si>
    <t>C2H6O2</t>
  </si>
  <si>
    <t>20146211</t>
  </si>
  <si>
    <t>Acetone</t>
  </si>
  <si>
    <t>market for acetone, liquid</t>
  </si>
  <si>
    <t>20143271</t>
  </si>
  <si>
    <t>Acetic acid</t>
  </si>
  <si>
    <t>market for acetic acid</t>
  </si>
  <si>
    <t>C2H4O2</t>
  </si>
  <si>
    <t>20143340</t>
  </si>
  <si>
    <t>Esters of methacrylic acid</t>
  </si>
  <si>
    <t>Methyl methacrylate</t>
  </si>
  <si>
    <t>market for methyl methacrylate</t>
  </si>
  <si>
    <t>C5H8O2</t>
  </si>
  <si>
    <t>20141213</t>
  </si>
  <si>
    <t>Cyclohexane</t>
  </si>
  <si>
    <t>market for cyclohexane</t>
  </si>
  <si>
    <t>C6H12</t>
  </si>
  <si>
    <t>20144123</t>
  </si>
  <si>
    <t>Hexamethylenediamine and its salts; ethylenediamine and its salts</t>
  </si>
  <si>
    <t>Hexamethylenediamine</t>
  </si>
  <si>
    <t>market for hexamethylenediamine</t>
  </si>
  <si>
    <t>C6H16N2</t>
  </si>
  <si>
    <t>20141225</t>
  </si>
  <si>
    <t>Toluene</t>
  </si>
  <si>
    <t>market for toluene, liquid</t>
  </si>
  <si>
    <t>C7H8</t>
  </si>
  <si>
    <t>20146373</t>
  </si>
  <si>
    <t>Oxirane (ethylene oxide)</t>
  </si>
  <si>
    <t>Ethylene oxide</t>
  </si>
  <si>
    <t>market for ethylene oxide</t>
  </si>
  <si>
    <t>C2H4O</t>
  </si>
  <si>
    <t>20161070</t>
  </si>
  <si>
    <t>Ethylene-vinyl acetate copolymers, in primary forms</t>
  </si>
  <si>
    <t>Ethylene-vinyl acetate</t>
  </si>
  <si>
    <t>market for ethylene vinyl acetate copolymer</t>
  </si>
  <si>
    <t>C6H10O2</t>
  </si>
  <si>
    <t>20141270</t>
  </si>
  <si>
    <t>Cumene</t>
  </si>
  <si>
    <t>market for cumene</t>
  </si>
  <si>
    <t>C9H12</t>
  </si>
  <si>
    <t>20142230</t>
  </si>
  <si>
    <t>Butan-1-ol (n-butyl alcohol)</t>
  </si>
  <si>
    <t>n-Butanol</t>
  </si>
  <si>
    <t>market for n-butanol</t>
  </si>
  <si>
    <t>C4H10O</t>
  </si>
  <si>
    <t>20141245</t>
  </si>
  <si>
    <t>p-Xylene</t>
  </si>
  <si>
    <t>market for p-xylene</t>
  </si>
  <si>
    <t>C8H10</t>
  </si>
  <si>
    <t>20142320</t>
  </si>
  <si>
    <t>Propylene glycol (propane-1,2-diol)</t>
  </si>
  <si>
    <t>Propylene glycol</t>
  </si>
  <si>
    <t>market for propylene glycol, liquid</t>
  </si>
  <si>
    <t>C3H8O2</t>
  </si>
  <si>
    <t>20144350</t>
  </si>
  <si>
    <t>Acrylonitrile</t>
  </si>
  <si>
    <t>market for acrylonitrile</t>
  </si>
  <si>
    <t>C3H3N</t>
  </si>
  <si>
    <t>20142220</t>
  </si>
  <si>
    <t>Propan-1-ol (propyl alcohol) and propan-2-ol (isopropyl alcohol)</t>
  </si>
  <si>
    <t>Isopropanol</t>
  </si>
  <si>
    <t>market for isopropanol</t>
  </si>
  <si>
    <t>C3H8O</t>
  </si>
  <si>
    <t>20141371</t>
  </si>
  <si>
    <t>Vinyl chloride (chloroethylene)</t>
  </si>
  <si>
    <t>Vinyl chloride</t>
  </si>
  <si>
    <t>market for vinyl chloride</t>
  </si>
  <si>
    <t>20141353</t>
  </si>
  <si>
    <t>1,2-Dichloroethane (ethylene dichloride)</t>
  </si>
  <si>
    <t>Ethylene dichloride</t>
  </si>
  <si>
    <t>market for ethylene dichloride</t>
  </si>
  <si>
    <t>C2H4Cl2</t>
  </si>
  <si>
    <t>20146115</t>
  </si>
  <si>
    <t>Butanal (butyraldehyde; normal isomer)</t>
  </si>
  <si>
    <t>Butanal</t>
  </si>
  <si>
    <t>C4H8O</t>
  </si>
  <si>
    <t>20141260</t>
  </si>
  <si>
    <t>Ethylbenzene</t>
  </si>
  <si>
    <t>market for ethyl benzene</t>
  </si>
  <si>
    <t>20143215</t>
  </si>
  <si>
    <t>Ethyl acetate</t>
  </si>
  <si>
    <t>market for ethyl acetate</t>
  </si>
  <si>
    <t>C4H8O2</t>
  </si>
  <si>
    <t>20165350</t>
  </si>
  <si>
    <t>Polymethyl methacrylate, in primary forms</t>
  </si>
  <si>
    <t>Polymethyl methacrylate</t>
  </si>
  <si>
    <t>market for polymethyl methacrylate</t>
  </si>
  <si>
    <t>(C5H8O2)x</t>
  </si>
  <si>
    <t>20144450_1</t>
  </si>
  <si>
    <t>Toluene diisocyanate (TDI)</t>
  </si>
  <si>
    <t>Toluene diisocyanate</t>
  </si>
  <si>
    <t>market for toluene diisocyanate</t>
  </si>
  <si>
    <t>C9H6N2O2</t>
  </si>
  <si>
    <t>20164013</t>
  </si>
  <si>
    <t>Polyacetals, in primary forms</t>
  </si>
  <si>
    <t>Polyoxymethylene</t>
  </si>
  <si>
    <t>manual:3.64</t>
  </si>
  <si>
    <t xml:space="preserve">(CH2O)n </t>
  </si>
  <si>
    <t>20146111</t>
  </si>
  <si>
    <t>Methanal (formaldehyde)</t>
  </si>
  <si>
    <t>Formaldehyde</t>
  </si>
  <si>
    <t>market for formaldehyde</t>
  </si>
  <si>
    <t>CH2O</t>
  </si>
  <si>
    <t>20143277</t>
  </si>
  <si>
    <t>Acetic anhydride</t>
  </si>
  <si>
    <t>market for acetic anhydride</t>
  </si>
  <si>
    <t>C4H6O3</t>
  </si>
  <si>
    <t>20143250</t>
  </si>
  <si>
    <t>Formic acid, its salts and esters</t>
  </si>
  <si>
    <t>Formic acid</t>
  </si>
  <si>
    <t>market for formic acid</t>
  </si>
  <si>
    <t>CH2O2</t>
  </si>
  <si>
    <t>20142433</t>
  </si>
  <si>
    <t>4,4-Isopropylidenediphenol (bisphenol A; diphenylolpropane) and its salts</t>
  </si>
  <si>
    <t>Bisphenol A</t>
  </si>
  <si>
    <t>market for bisphenol A, powder</t>
  </si>
  <si>
    <t>C15H16O2</t>
  </si>
  <si>
    <t>20141247</t>
  </si>
  <si>
    <t>m-Xylene and mixed xylene isomers</t>
  </si>
  <si>
    <t>m-Xylene</t>
  </si>
  <si>
    <t>market for xylene, mixed</t>
  </si>
  <si>
    <t>20146333</t>
  </si>
  <si>
    <t>2,2-Oxydiethanol (diethylene glycol; digol)</t>
  </si>
  <si>
    <t>Diethylene glycol</t>
  </si>
  <si>
    <t>market for diethylene glycol</t>
  </si>
  <si>
    <t>C4H10O3</t>
  </si>
  <si>
    <t>20141243</t>
  </si>
  <si>
    <t>o-Xylene</t>
  </si>
  <si>
    <t>market for o-xylene</t>
  </si>
  <si>
    <t>20143363</t>
  </si>
  <si>
    <t>Benzoic acid; its salts and esters</t>
  </si>
  <si>
    <t>Benzoic acid</t>
  </si>
  <si>
    <t>market for benzoic acid</t>
  </si>
  <si>
    <t>C7H6O2</t>
  </si>
  <si>
    <t>Sheet description:</t>
  </si>
  <si>
    <t>Background data of main manuscript's figure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</si>
</sst>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4"/>
      <name val="Arial"/>
      <family val="2"/>
    </font>
    <font>
      <i/>
      <sz val="10"/>
      <color rgb="FFCC6600"/>
      <name val="Arial"/>
      <family val="2"/>
    </font>
    <font>
      <sz val="9"/>
      <color theme="4" tint="0.39997558519241921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9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4" fillId="2" borderId="0" applyNumberFormat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7" fillId="0" borderId="0" applyNumberFormat="0" applyBorder="0" applyAlignment="0" applyProtection="0"/>
    <xf numFmtId="0" fontId="8" fillId="0" borderId="0" applyNumberFormat="0" applyBorder="0" applyAlignment="0" applyProtection="0">
      <alignment vertical="top"/>
    </xf>
    <xf numFmtId="0" fontId="9" fillId="3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0" fontId="1" fillId="0" borderId="1" xfId="1"/>
    <xf numFmtId="0" fontId="2" fillId="0" borderId="2" xfId="2"/>
    <xf numFmtId="0" fontId="5" fillId="0" borderId="0" xfId="4"/>
    <xf numFmtId="0" fontId="0" fillId="0" borderId="0" xfId="0" applyAlignment="1">
      <alignment wrapText="1"/>
    </xf>
    <xf numFmtId="0" fontId="5" fillId="0" borderId="0" xfId="4" applyAlignment="1">
      <alignment wrapText="1"/>
    </xf>
    <xf numFmtId="0" fontId="3" fillId="2" borderId="3" xfId="3" applyFont="1" applyBorder="1" applyAlignment="1">
      <alignment horizontal="center"/>
    </xf>
    <xf numFmtId="0" fontId="3" fillId="2" borderId="4" xfId="3" applyFont="1" applyBorder="1" applyAlignment="1">
      <alignment horizontal="left"/>
    </xf>
    <xf numFmtId="14" fontId="0" fillId="0" borderId="5" xfId="0" applyNumberFormat="1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5" fillId="0" borderId="5" xfId="4" applyBorder="1" applyAlignment="1">
      <alignment horizontal="center"/>
    </xf>
    <xf numFmtId="0" fontId="7" fillId="0" borderId="6" xfId="6" applyBorder="1"/>
  </cellXfs>
  <cellStyles count="9">
    <cellStyle name="Accent1" xfId="3" builtinId="29"/>
    <cellStyle name="Data Linked Cell" xfId="6" xr:uid="{F5AD9819-241D-41A6-B7EC-8077435BA0F0}"/>
    <cellStyle name="Data Reference" xfId="8" xr:uid="{17CB4F51-63C0-4AF8-8DE8-2DED6DBDB61B}"/>
    <cellStyle name="Formula" xfId="5" xr:uid="{2CE69CB3-6A26-4FA5-9758-76DA3956362C}"/>
    <cellStyle name="Heading 1" xfId="1" builtinId="16"/>
    <cellStyle name="Heading 2" xfId="2" builtinId="17"/>
    <cellStyle name="Hyperlink" xfId="4" builtinId="8"/>
    <cellStyle name="Normal" xfId="0" builtinId="0"/>
    <cellStyle name="Text Formula" xfId="7" xr:uid="{C0954D4B-FAEA-4064-9DAD-E66463950854}"/>
  </cellStyles>
  <dxfs count="1"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78B7D4-8C50-4420-91B7-104EFCD1974D}" name="Table1" displayName="Table1" ref="A3:Z56" totalsRowShown="0">
  <autoFilter ref="A3:Z56" xr:uid="{5D78B7D4-8C50-4420-91B7-104EFCD1974D}"/>
  <tableColumns count="26">
    <tableColumn id="1" xr3:uid="{2A8BAE60-1182-4623-A186-5C49F07557A5}" name="Priority code"/>
    <tableColumn id="2" xr3:uid="{03CC433E-8440-4B9A-9ABB-30CCF81DD9BB}" name="PRODCOM code" dataDxfId="0"/>
    <tableColumn id="3" xr3:uid="{6A5CD361-7E04-4B93-97DC-75E303B046E7}" name="Long name"/>
    <tableColumn id="4" xr3:uid="{390B47A1-98F2-447F-A5DB-106DE3627EAE}" name="Figure name"/>
    <tableColumn id="5" xr3:uid="{1452922B-A8F4-4D3B-B48E-53764ED8A858}" name="Quantity (Mt)"/>
    <tableColumn id="6" xr3:uid="{46F1AD41-9AFF-46CF-8E01-2C2CE0EC01D2}" name="Ecoinvent 3.11 activity name proxy"/>
    <tableColumn id="7" xr3:uid="{1F2B6E33-35A2-4FCB-B9F1-046A86E4C55F}" name="Molecular formula (MF)"/>
    <tableColumn id="8" xr3:uid="{41765CAE-6730-439F-8746-C94B1B2A2F8F}" name="Molecular weight (MW)"/>
    <tableColumn id="9" xr3:uid="{C5B69752-BD0C-41C6-B78F-96B2EFACC7DB}" name="Carbon atoms"/>
    <tableColumn id="10" xr3:uid="{8459804C-0659-469E-8626-3B909A994BE2}" name="ecoinvent activity region"/>
    <tableColumn id="11" xr3:uid="{81C1B1AB-A20B-490E-B7BF-5694795AA108}" name="GHG unit impact (IPCC 2021 GWP100, kg CO2e/kg)"/>
    <tableColumn id="12" xr3:uid="{C31953CA-58DF-4AF4-BD89-89344963E8EB}" name="propylene"/>
    <tableColumn id="13" xr3:uid="{09BA36E4-209C-45FF-9A4D-2D462CD33C8F}" name="ethylene"/>
    <tableColumn id="14" xr3:uid="{5ACB6CED-B674-481D-91AD-460D4DDC4832}" name="methanol"/>
    <tableColumn id="15" xr3:uid="{EC7E7692-A56E-4686-A35F-4E90C25E3F1E}" name="xylene, mixed"/>
    <tableColumn id="16" xr3:uid="{CE751403-FD00-4B2B-A2B6-DE06D92DEC60}" name="o-xylene"/>
    <tableColumn id="17" xr3:uid="{D5CC7255-4BC5-4C46-AC34-725D037FEFB3}" name="p-xylene"/>
    <tableColumn id="18" xr3:uid="{23D637F5-BEBB-4D80-A8FE-F293717C41ED}" name="toluene, liquid"/>
    <tableColumn id="19" xr3:uid="{0D6D60F5-0B8B-4DF1-BA8F-03A1521DC038}" name="benzene"/>
    <tableColumn id="20" xr3:uid="{84F7D40D-D1FE-4C39-BD6B-CCF2A32FEA33}" name="conseq_RER_GLO_RoW"/>
    <tableColumn id="21" xr3:uid="{C52278CB-75B3-4752-9F4C-32E255AD86AF}" name="GHG unit impact of end-of-life (IPCC 2021 GWP100, kg CO2e/kg)"/>
    <tableColumn id="22" xr3:uid="{E80919FD-3432-44E9-9F67-3CE83CBBE890}" name="GHG total unit impact with end-of-life (IPCC 2021 GWP100, kg CO2e/kg)"/>
    <tableColumn id="23" xr3:uid="{87713B56-490C-4E75-A3CE-1CA36C17EAA9}" name="Total GHG footprint without end-of-life (IPCC 2021 GWP100, kg CO2e/kg)"/>
    <tableColumn id="24" xr3:uid="{263950B1-CF32-4B4C-88E6-AC51E8FBBE6E}" name="Total GHG footprint with end-of-life (IPCC 2021 GWP100, kg CO2e/kg)"/>
    <tableColumn id="25" xr3:uid="{F44559CE-15F0-49B1-8F88-AAC4604825D2}" name="x_axis"/>
    <tableColumn id="26" xr3:uid="{C5B78F39-BA1D-4FD2-B8CF-989524A9E7B0}" name="BTX fraction GHG footprint (IPCC 2021 GWP100, kg CO2e/kg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icolnt/screen-lca-paper-supplementary-code" TargetMode="External"/><Relationship Id="rId2" Type="http://schemas.openxmlformats.org/officeDocument/2006/relationships/hyperlink" Target="mailto:lorie.hamelin@insa-toulouse.fr" TargetMode="External"/><Relationship Id="rId1" Type="http://schemas.openxmlformats.org/officeDocument/2006/relationships/hyperlink" Target="mailto:nicolas.lienart@insa-toulouse.fr" TargetMode="External"/><Relationship Id="rId4" Type="http://schemas.openxmlformats.org/officeDocument/2006/relationships/hyperlink" Target="https://forge.inrae.fr/nicolas.lienart/screen-lca-paper-supplementary-cod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6B43A-41A5-4560-9CA9-C4DC2A1F211D}">
  <sheetPr codeName="Sheet1"/>
  <dimension ref="B2:C28"/>
  <sheetViews>
    <sheetView tabSelected="1" zoomScaleNormal="100" workbookViewId="0"/>
  </sheetViews>
  <sheetFormatPr defaultRowHeight="14.4" x14ac:dyDescent="0.3"/>
  <cols>
    <col min="2" max="2" width="35.6640625" customWidth="1"/>
    <col min="3" max="3" width="72.5546875" customWidth="1"/>
    <col min="4" max="4" width="14.5546875" customWidth="1"/>
    <col min="5" max="7" width="15" customWidth="1"/>
  </cols>
  <sheetData>
    <row r="2" spans="2:3" ht="20.399999999999999" thickBot="1" x14ac:dyDescent="0.45">
      <c r="B2" s="2" t="s">
        <v>0</v>
      </c>
    </row>
    <row r="3" spans="2:3" ht="15" thickTop="1" x14ac:dyDescent="0.3"/>
    <row r="5" spans="2:3" ht="18" thickBot="1" x14ac:dyDescent="0.4">
      <c r="B5" s="3" t="s">
        <v>1</v>
      </c>
    </row>
    <row r="6" spans="2:3" ht="15" thickTop="1" x14ac:dyDescent="0.3"/>
    <row r="7" spans="2:3" x14ac:dyDescent="0.3">
      <c r="B7" t="s">
        <v>2</v>
      </c>
      <c r="C7" t="s">
        <v>3</v>
      </c>
    </row>
    <row r="8" spans="2:3" x14ac:dyDescent="0.3">
      <c r="B8" t="s">
        <v>4</v>
      </c>
      <c r="C8" t="s">
        <v>5</v>
      </c>
    </row>
    <row r="9" spans="2:3" x14ac:dyDescent="0.3">
      <c r="B9" t="s">
        <v>6</v>
      </c>
      <c r="C9" s="4" t="s">
        <v>7</v>
      </c>
    </row>
    <row r="10" spans="2:3" x14ac:dyDescent="0.3">
      <c r="B10" t="s">
        <v>8</v>
      </c>
      <c r="C10" s="4" t="s">
        <v>9</v>
      </c>
    </row>
    <row r="11" spans="2:3" x14ac:dyDescent="0.3">
      <c r="B11" t="s">
        <v>10</v>
      </c>
      <c r="C11" s="4" t="s">
        <v>11</v>
      </c>
    </row>
    <row r="12" spans="2:3" ht="43.2" x14ac:dyDescent="0.3">
      <c r="B12" t="s">
        <v>12</v>
      </c>
      <c r="C12" s="5" t="s">
        <v>13</v>
      </c>
    </row>
    <row r="13" spans="2:3" ht="43.2" x14ac:dyDescent="0.3">
      <c r="B13" t="s">
        <v>14</v>
      </c>
      <c r="C13" s="5" t="s">
        <v>15</v>
      </c>
    </row>
    <row r="14" spans="2:3" x14ac:dyDescent="0.3">
      <c r="B14" t="s">
        <v>16</v>
      </c>
      <c r="C14" s="6" t="s">
        <v>17</v>
      </c>
    </row>
    <row r="15" spans="2:3" x14ac:dyDescent="0.3">
      <c r="B15" t="s">
        <v>18</v>
      </c>
      <c r="C15" s="6" t="s">
        <v>19</v>
      </c>
    </row>
    <row r="18" spans="2:3" ht="18" thickBot="1" x14ac:dyDescent="0.4">
      <c r="B18" s="3" t="s">
        <v>20</v>
      </c>
    </row>
    <row r="19" spans="2:3" ht="15.6" thickTop="1" thickBot="1" x14ac:dyDescent="0.35"/>
    <row r="20" spans="2:3" x14ac:dyDescent="0.3">
      <c r="B20" s="7" t="s">
        <v>21</v>
      </c>
      <c r="C20" s="8" t="s">
        <v>14</v>
      </c>
    </row>
    <row r="21" spans="2:3" ht="15" thickBot="1" x14ac:dyDescent="0.35">
      <c r="B21" s="9">
        <v>46147</v>
      </c>
      <c r="C21" s="10" t="s">
        <v>22</v>
      </c>
    </row>
    <row r="24" spans="2:3" ht="18" thickBot="1" x14ac:dyDescent="0.4">
      <c r="B24" s="3" t="s">
        <v>23</v>
      </c>
    </row>
    <row r="25" spans="2:3" ht="15.6" thickTop="1" thickBot="1" x14ac:dyDescent="0.35"/>
    <row r="26" spans="2:3" x14ac:dyDescent="0.3">
      <c r="B26" s="7" t="s">
        <v>24</v>
      </c>
      <c r="C26" s="8" t="s">
        <v>12</v>
      </c>
    </row>
    <row r="27" spans="2:3" x14ac:dyDescent="0.3">
      <c r="B27" s="11" t="s">
        <v>25</v>
      </c>
      <c r="C27" s="12" t="s">
        <v>26</v>
      </c>
    </row>
    <row r="28" spans="2:3" ht="15" thickBot="1" x14ac:dyDescent="0.35">
      <c r="B28" s="13" t="s">
        <v>27</v>
      </c>
      <c r="C28" s="14" t="str">
        <f>'Figure 2 data'!$B$1</f>
        <v>Background data of main manuscript's figure 2</v>
      </c>
    </row>
  </sheetData>
  <hyperlinks>
    <hyperlink ref="C9" r:id="rId1" xr:uid="{8321C33C-A89E-479A-9DA0-CD2BD393EB41}"/>
    <hyperlink ref="C11" r:id="rId2" xr:uid="{A55C8539-54D8-49BA-9136-7DA01406DF7A}"/>
    <hyperlink ref="C15" r:id="rId3" xr:uid="{0AD84E2C-9B77-4018-A42F-22A39398A7A3}"/>
    <hyperlink ref="C14" r:id="rId4" xr:uid="{F7D1FB83-556E-418E-B454-CDC30C4C994D}"/>
    <hyperlink ref="B28" location="'Figure 2 data'!A1" display="'Figure 2 data'!A1" xr:uid="{F0388310-AC2B-442E-A5F9-79ACE14EC18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E612D-5809-445D-A327-8A13D7C36D35}">
  <sheetPr codeName="Sheet2"/>
  <dimension ref="A1:Z56"/>
  <sheetViews>
    <sheetView zoomScaleNormal="100" workbookViewId="0"/>
  </sheetViews>
  <sheetFormatPr defaultRowHeight="14.4" x14ac:dyDescent="0.3"/>
  <cols>
    <col min="1" max="1" width="13.5546875" customWidth="1"/>
    <col min="2" max="2" width="16.44140625" customWidth="1"/>
    <col min="3" max="3" width="61.33203125" bestFit="1" customWidth="1"/>
    <col min="4" max="4" width="28" bestFit="1" customWidth="1"/>
    <col min="5" max="5" width="14.44140625" customWidth="1"/>
    <col min="6" max="6" width="45.33203125" bestFit="1" customWidth="1"/>
    <col min="7" max="7" width="22.88671875" customWidth="1"/>
    <col min="8" max="8" width="22.6640625" customWidth="1"/>
    <col min="9" max="9" width="14.6640625" customWidth="1"/>
    <col min="10" max="10" width="23.5546875" customWidth="1"/>
    <col min="11" max="11" width="45" customWidth="1"/>
    <col min="12" max="14" width="12" bestFit="1" customWidth="1"/>
    <col min="15" max="15" width="14.44140625" customWidth="1"/>
    <col min="16" max="17" width="12" bestFit="1" customWidth="1"/>
    <col min="18" max="18" width="15" customWidth="1"/>
    <col min="19" max="19" width="12" bestFit="1" customWidth="1"/>
    <col min="20" max="20" width="22.5546875" customWidth="1"/>
    <col min="21" max="21" width="56.5546875" customWidth="1"/>
    <col min="22" max="22" width="60.33203125" bestFit="1" customWidth="1"/>
    <col min="23" max="23" width="61.6640625" bestFit="1" customWidth="1"/>
    <col min="24" max="24" width="58.88671875" bestFit="1" customWidth="1"/>
    <col min="25" max="25" width="12" bestFit="1" customWidth="1"/>
    <col min="26" max="26" width="53.6640625" customWidth="1"/>
  </cols>
  <sheetData>
    <row r="1" spans="1:26" x14ac:dyDescent="0.3">
      <c r="A1" t="s">
        <v>285</v>
      </c>
      <c r="B1" s="12" t="s">
        <v>286</v>
      </c>
    </row>
    <row r="3" spans="1:26" x14ac:dyDescent="0.3">
      <c r="A3" t="s">
        <v>28</v>
      </c>
      <c r="B3" s="1" t="s">
        <v>29</v>
      </c>
      <c r="C3" t="s">
        <v>30</v>
      </c>
      <c r="D3" t="s">
        <v>31</v>
      </c>
      <c r="E3" t="s">
        <v>32</v>
      </c>
      <c r="F3" t="s">
        <v>33</v>
      </c>
      <c r="G3" t="s">
        <v>34</v>
      </c>
      <c r="H3" t="s">
        <v>35</v>
      </c>
      <c r="I3" t="s">
        <v>36</v>
      </c>
      <c r="J3" t="s">
        <v>37</v>
      </c>
      <c r="K3" t="s">
        <v>38</v>
      </c>
      <c r="L3" t="s">
        <v>39</v>
      </c>
      <c r="M3" t="s">
        <v>40</v>
      </c>
      <c r="N3" t="s">
        <v>41</v>
      </c>
      <c r="O3" t="s">
        <v>42</v>
      </c>
      <c r="P3" t="s">
        <v>43</v>
      </c>
      <c r="Q3" t="s">
        <v>44</v>
      </c>
      <c r="R3" t="s">
        <v>45</v>
      </c>
      <c r="S3" t="s">
        <v>46</v>
      </c>
      <c r="T3" t="s">
        <v>47</v>
      </c>
      <c r="U3" t="s">
        <v>48</v>
      </c>
      <c r="V3" t="s">
        <v>49</v>
      </c>
      <c r="W3" t="s">
        <v>50</v>
      </c>
      <c r="X3" t="s">
        <v>51</v>
      </c>
      <c r="Y3" t="s">
        <v>52</v>
      </c>
      <c r="Z3" t="s">
        <v>53</v>
      </c>
    </row>
    <row r="4" spans="1:26" x14ac:dyDescent="0.3">
      <c r="A4">
        <v>1</v>
      </c>
      <c r="D4" t="s">
        <v>54</v>
      </c>
      <c r="E4">
        <v>14.026599411999999</v>
      </c>
      <c r="G4" t="s">
        <v>55</v>
      </c>
      <c r="H4">
        <v>28.053999999999998</v>
      </c>
      <c r="I4">
        <v>2</v>
      </c>
      <c r="K4">
        <v>2.86038548946973</v>
      </c>
      <c r="L4">
        <v>0</v>
      </c>
      <c r="M4">
        <v>2.0351861834085199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U4">
        <v>0.85627717972481598</v>
      </c>
      <c r="V4">
        <v>3.7166626691945499</v>
      </c>
      <c r="W4">
        <v>40.121481424689499</v>
      </c>
      <c r="X4">
        <v>52.132138410326597</v>
      </c>
      <c r="Y4">
        <v>0</v>
      </c>
      <c r="Z4">
        <v>0</v>
      </c>
    </row>
    <row r="5" spans="1:26" x14ac:dyDescent="0.3">
      <c r="A5">
        <v>2</v>
      </c>
      <c r="B5" s="1" t="s">
        <v>56</v>
      </c>
      <c r="C5" t="s">
        <v>57</v>
      </c>
      <c r="D5" t="s">
        <v>58</v>
      </c>
      <c r="E5">
        <v>10.4388995</v>
      </c>
      <c r="F5" t="s">
        <v>59</v>
      </c>
      <c r="G5" t="s">
        <v>60</v>
      </c>
      <c r="H5">
        <v>42.081000000000003</v>
      </c>
      <c r="I5">
        <v>3</v>
      </c>
      <c r="J5" t="s">
        <v>61</v>
      </c>
      <c r="K5">
        <v>3.04922558999509</v>
      </c>
      <c r="L5">
        <v>2.2898037647921301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3.04922558999509</v>
      </c>
      <c r="U5">
        <v>0.85627717972481598</v>
      </c>
      <c r="V5">
        <v>3.9055027697199001</v>
      </c>
      <c r="W5">
        <v>31.8305594867869</v>
      </c>
      <c r="X5">
        <v>40.769150910077698</v>
      </c>
      <c r="Y5">
        <v>14.026599411999999</v>
      </c>
      <c r="Z5">
        <v>0</v>
      </c>
    </row>
    <row r="6" spans="1:26" x14ac:dyDescent="0.3">
      <c r="A6">
        <v>3</v>
      </c>
      <c r="D6" t="s">
        <v>62</v>
      </c>
      <c r="E6">
        <v>3.1179402060000001</v>
      </c>
      <c r="G6" t="s">
        <v>63</v>
      </c>
      <c r="H6">
        <v>104.152</v>
      </c>
      <c r="I6">
        <v>8</v>
      </c>
      <c r="K6">
        <v>7.2797437388131101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U6">
        <v>0.92257469851755103</v>
      </c>
      <c r="V6">
        <v>8.2023184373306606</v>
      </c>
      <c r="W6">
        <v>22.697805692622101</v>
      </c>
      <c r="X6">
        <v>25.574338438168301</v>
      </c>
      <c r="Y6">
        <v>24.465498912000001</v>
      </c>
      <c r="Z6">
        <v>0</v>
      </c>
    </row>
    <row r="7" spans="1:26" x14ac:dyDescent="0.3">
      <c r="A7">
        <v>4</v>
      </c>
      <c r="B7" s="1" t="s">
        <v>64</v>
      </c>
      <c r="C7" t="s">
        <v>65</v>
      </c>
      <c r="D7" t="s">
        <v>66</v>
      </c>
      <c r="E7">
        <v>9.3803662830000007</v>
      </c>
      <c r="F7" t="s">
        <v>67</v>
      </c>
      <c r="G7" t="s">
        <v>68</v>
      </c>
      <c r="H7">
        <v>42.08</v>
      </c>
      <c r="I7">
        <v>3</v>
      </c>
      <c r="J7" t="s">
        <v>69</v>
      </c>
      <c r="K7">
        <v>1.8209974620277001</v>
      </c>
      <c r="L7">
        <v>1.8209974620277001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1.8209974620277001</v>
      </c>
      <c r="U7">
        <v>0.85629752851711005</v>
      </c>
      <c r="V7">
        <v>2.67729499054481</v>
      </c>
      <c r="W7">
        <v>17.081623194233199</v>
      </c>
      <c r="X7">
        <v>25.114007658951401</v>
      </c>
      <c r="Y7">
        <v>27.583439118000001</v>
      </c>
      <c r="Z7">
        <v>0</v>
      </c>
    </row>
    <row r="8" spans="1:26" x14ac:dyDescent="0.3">
      <c r="A8">
        <v>5</v>
      </c>
      <c r="B8" s="1" t="s">
        <v>70</v>
      </c>
      <c r="C8" t="s">
        <v>71</v>
      </c>
      <c r="D8" t="s">
        <v>71</v>
      </c>
      <c r="E8">
        <v>9.2444650080000006</v>
      </c>
      <c r="F8" t="s">
        <v>72</v>
      </c>
      <c r="G8" t="s">
        <v>73</v>
      </c>
      <c r="H8">
        <v>28.05</v>
      </c>
      <c r="I8">
        <v>2</v>
      </c>
      <c r="J8" t="s">
        <v>69</v>
      </c>
      <c r="K8">
        <v>1.82099741698038</v>
      </c>
      <c r="L8">
        <v>0</v>
      </c>
      <c r="M8">
        <v>1.82099741698038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1.82099741698038</v>
      </c>
      <c r="U8">
        <v>0.85639928698752199</v>
      </c>
      <c r="V8">
        <v>2.6773967039678999</v>
      </c>
      <c r="W8">
        <v>16.834146900933501</v>
      </c>
      <c r="X8">
        <v>24.7511001423658</v>
      </c>
      <c r="Y8">
        <v>36.963805401000002</v>
      </c>
      <c r="Z8">
        <v>0</v>
      </c>
    </row>
    <row r="9" spans="1:26" x14ac:dyDescent="0.3">
      <c r="A9">
        <v>6</v>
      </c>
      <c r="D9" t="s">
        <v>74</v>
      </c>
      <c r="E9">
        <v>4.0904822919999999</v>
      </c>
      <c r="G9" t="s">
        <v>75</v>
      </c>
      <c r="H9">
        <v>222.24</v>
      </c>
      <c r="I9">
        <v>12</v>
      </c>
      <c r="K9">
        <v>3.7524038529688202</v>
      </c>
      <c r="L9">
        <v>0</v>
      </c>
      <c r="M9">
        <v>0.30996595558687301</v>
      </c>
      <c r="N9">
        <v>0</v>
      </c>
      <c r="O9">
        <v>0</v>
      </c>
      <c r="P9">
        <v>0</v>
      </c>
      <c r="Q9">
        <v>1.31432967653594</v>
      </c>
      <c r="R9">
        <v>0</v>
      </c>
      <c r="S9">
        <v>0</v>
      </c>
      <c r="U9">
        <v>0.64854211663066896</v>
      </c>
      <c r="V9">
        <v>4.4009459695994897</v>
      </c>
      <c r="W9">
        <v>15.3491415130015</v>
      </c>
      <c r="X9">
        <v>18.001991556695501</v>
      </c>
      <c r="Y9">
        <v>46.208270409000001</v>
      </c>
      <c r="Z9">
        <v>1.31432967653594</v>
      </c>
    </row>
    <row r="10" spans="1:26" x14ac:dyDescent="0.3">
      <c r="A10">
        <v>7</v>
      </c>
      <c r="B10" s="1" t="s">
        <v>76</v>
      </c>
      <c r="C10" t="s">
        <v>77</v>
      </c>
      <c r="D10" t="s">
        <v>77</v>
      </c>
      <c r="E10">
        <v>5.9905709509999996</v>
      </c>
      <c r="F10" t="s">
        <v>78</v>
      </c>
      <c r="G10" t="s">
        <v>79</v>
      </c>
      <c r="H10">
        <v>78.11</v>
      </c>
      <c r="I10">
        <v>6</v>
      </c>
      <c r="J10" t="s">
        <v>69</v>
      </c>
      <c r="K10">
        <v>2.0647593525322399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2.0183985724911402</v>
      </c>
      <c r="T10">
        <v>2.0647593525322399</v>
      </c>
      <c r="U10">
        <v>0.92262194341313497</v>
      </c>
      <c r="V10">
        <v>2.9873812959453798</v>
      </c>
      <c r="W10">
        <v>12.369087398085201</v>
      </c>
      <c r="X10">
        <v>17.896119611051098</v>
      </c>
      <c r="Y10">
        <v>50.298752700999998</v>
      </c>
      <c r="Z10">
        <v>2.0183985724911402</v>
      </c>
    </row>
    <row r="11" spans="1:26" x14ac:dyDescent="0.3">
      <c r="A11">
        <v>8</v>
      </c>
      <c r="D11" t="s">
        <v>80</v>
      </c>
      <c r="E11">
        <v>5.6103659910000001</v>
      </c>
      <c r="G11" t="s">
        <v>81</v>
      </c>
      <c r="H11">
        <v>62.5</v>
      </c>
      <c r="I11">
        <v>2</v>
      </c>
      <c r="K11">
        <v>2.3446041786296199</v>
      </c>
      <c r="L11">
        <v>0</v>
      </c>
      <c r="M11">
        <v>0.76583024347221396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U11">
        <v>0.38435199999999903</v>
      </c>
      <c r="V11">
        <v>2.7289561786296201</v>
      </c>
      <c r="W11">
        <v>13.154087546140101</v>
      </c>
      <c r="X11">
        <v>15.310442935512899</v>
      </c>
      <c r="Y11">
        <v>56.289323652</v>
      </c>
      <c r="Z11">
        <v>0</v>
      </c>
    </row>
    <row r="12" spans="1:26" x14ac:dyDescent="0.3">
      <c r="A12">
        <v>9</v>
      </c>
      <c r="B12" s="1" t="s">
        <v>82</v>
      </c>
      <c r="C12" t="s">
        <v>83</v>
      </c>
      <c r="D12" t="s">
        <v>84</v>
      </c>
      <c r="E12">
        <v>4.0329536580000003</v>
      </c>
      <c r="F12" t="s">
        <v>85</v>
      </c>
      <c r="G12" t="s">
        <v>86</v>
      </c>
      <c r="H12">
        <v>166.13</v>
      </c>
      <c r="I12">
        <v>8</v>
      </c>
      <c r="J12" t="s">
        <v>61</v>
      </c>
      <c r="K12">
        <v>2.5228001947207299</v>
      </c>
      <c r="L12">
        <v>0</v>
      </c>
      <c r="M12">
        <v>0</v>
      </c>
      <c r="N12">
        <v>0</v>
      </c>
      <c r="O12">
        <v>0</v>
      </c>
      <c r="P12">
        <v>0</v>
      </c>
      <c r="Q12">
        <v>1.60283775135176</v>
      </c>
      <c r="R12">
        <v>0</v>
      </c>
      <c r="S12">
        <v>0</v>
      </c>
      <c r="T12">
        <v>2.5228001947207299</v>
      </c>
      <c r="U12">
        <v>0.57839041714320105</v>
      </c>
      <c r="V12">
        <v>3.1011906118639301</v>
      </c>
      <c r="W12">
        <v>10.174336273702099</v>
      </c>
      <c r="X12">
        <v>12.506958022271901</v>
      </c>
      <c r="Y12">
        <v>61.899689643000002</v>
      </c>
      <c r="Z12">
        <v>1.60283775135176</v>
      </c>
    </row>
    <row r="13" spans="1:26" x14ac:dyDescent="0.3">
      <c r="A13">
        <v>10</v>
      </c>
      <c r="B13" s="1" t="s">
        <v>87</v>
      </c>
      <c r="C13" t="s">
        <v>88</v>
      </c>
      <c r="D13" t="s">
        <v>89</v>
      </c>
      <c r="E13">
        <v>1.2566809699999999</v>
      </c>
      <c r="F13" t="s">
        <v>90</v>
      </c>
      <c r="G13" t="s">
        <v>91</v>
      </c>
      <c r="H13">
        <v>582.79999999999995</v>
      </c>
      <c r="I13">
        <v>30</v>
      </c>
      <c r="J13" t="s">
        <v>69</v>
      </c>
      <c r="K13">
        <v>9.3065549100553504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9.3065549100553504</v>
      </c>
      <c r="U13">
        <v>0.61827385037748805</v>
      </c>
      <c r="V13">
        <v>9.92482876043284</v>
      </c>
      <c r="W13">
        <v>11.6953704517266</v>
      </c>
      <c r="X13">
        <v>12.4723434337446</v>
      </c>
      <c r="Y13">
        <v>65.932643300999999</v>
      </c>
      <c r="Z13">
        <v>0</v>
      </c>
    </row>
    <row r="14" spans="1:26" x14ac:dyDescent="0.3">
      <c r="A14">
        <v>11</v>
      </c>
      <c r="B14" s="1" t="s">
        <v>92</v>
      </c>
      <c r="C14" t="s">
        <v>93</v>
      </c>
      <c r="D14" t="s">
        <v>93</v>
      </c>
      <c r="E14">
        <v>2.9922403740000001</v>
      </c>
      <c r="F14" t="s">
        <v>94</v>
      </c>
      <c r="G14" t="s">
        <v>95</v>
      </c>
      <c r="H14">
        <v>104.15</v>
      </c>
      <c r="I14">
        <v>8</v>
      </c>
      <c r="J14" t="s">
        <v>69</v>
      </c>
      <c r="K14">
        <v>3.2202842633719002</v>
      </c>
      <c r="L14">
        <v>0</v>
      </c>
      <c r="M14">
        <v>0.511700274171487</v>
      </c>
      <c r="N14">
        <v>0</v>
      </c>
      <c r="O14">
        <v>0</v>
      </c>
      <c r="P14">
        <v>0</v>
      </c>
      <c r="Q14">
        <v>0</v>
      </c>
      <c r="R14">
        <v>0</v>
      </c>
      <c r="S14">
        <v>1.60844753562261</v>
      </c>
      <c r="T14">
        <v>3.2202842633719002</v>
      </c>
      <c r="U14">
        <v>0.922592414786365</v>
      </c>
      <c r="V14">
        <v>4.1428766781582702</v>
      </c>
      <c r="W14">
        <v>9.6358645886182597</v>
      </c>
      <c r="X14">
        <v>12.396482860888099</v>
      </c>
      <c r="Y14">
        <v>67.189324271000004</v>
      </c>
      <c r="Z14">
        <v>1.60844753562261</v>
      </c>
    </row>
    <row r="15" spans="1:26" x14ac:dyDescent="0.3">
      <c r="A15">
        <v>12</v>
      </c>
      <c r="B15" s="1" t="s">
        <v>96</v>
      </c>
      <c r="C15" t="s">
        <v>97</v>
      </c>
      <c r="D15" t="s">
        <v>98</v>
      </c>
      <c r="E15">
        <v>1.0681788249999999</v>
      </c>
      <c r="F15" t="s">
        <v>99</v>
      </c>
      <c r="G15" t="s">
        <v>100</v>
      </c>
      <c r="H15">
        <v>224.3</v>
      </c>
      <c r="I15">
        <v>12</v>
      </c>
      <c r="J15" t="s">
        <v>69</v>
      </c>
      <c r="K15">
        <v>8.2522598252205395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8.2522598252205395</v>
      </c>
      <c r="U15">
        <v>0.64258582255907204</v>
      </c>
      <c r="V15">
        <v>8.8948456477796096</v>
      </c>
      <c r="W15">
        <v>8.8148892036987796</v>
      </c>
      <c r="X15">
        <v>9.5012857726015891</v>
      </c>
      <c r="Y15">
        <v>70.181564644999995</v>
      </c>
      <c r="Z15">
        <v>0</v>
      </c>
    </row>
    <row r="16" spans="1:26" x14ac:dyDescent="0.3">
      <c r="A16">
        <v>13</v>
      </c>
      <c r="B16" s="1" t="s">
        <v>101</v>
      </c>
      <c r="C16" t="s">
        <v>102</v>
      </c>
      <c r="D16" t="s">
        <v>103</v>
      </c>
      <c r="E16">
        <v>7.1230811449999996</v>
      </c>
      <c r="F16" t="s">
        <v>104</v>
      </c>
      <c r="G16" t="s">
        <v>105</v>
      </c>
      <c r="H16">
        <v>32.042000000000002</v>
      </c>
      <c r="I16">
        <v>1</v>
      </c>
      <c r="J16" t="s">
        <v>69</v>
      </c>
      <c r="K16">
        <v>0.89981634472389505</v>
      </c>
      <c r="L16">
        <v>0</v>
      </c>
      <c r="M16">
        <v>0</v>
      </c>
      <c r="N16">
        <v>0.87093267448659795</v>
      </c>
      <c r="O16">
        <v>0</v>
      </c>
      <c r="P16">
        <v>0</v>
      </c>
      <c r="Q16">
        <v>0</v>
      </c>
      <c r="R16">
        <v>0</v>
      </c>
      <c r="S16">
        <v>0</v>
      </c>
      <c r="T16">
        <v>0.89981634472389505</v>
      </c>
      <c r="U16">
        <v>0.37485175706884699</v>
      </c>
      <c r="V16">
        <v>1.2746681017927399</v>
      </c>
      <c r="W16">
        <v>6.4094648390655902</v>
      </c>
      <c r="X16">
        <v>9.0795643220128195</v>
      </c>
      <c r="Y16">
        <v>71.249743469999999</v>
      </c>
      <c r="Z16">
        <v>0</v>
      </c>
    </row>
    <row r="17" spans="1:26" x14ac:dyDescent="0.3">
      <c r="A17">
        <v>14</v>
      </c>
      <c r="B17" s="1" t="s">
        <v>106</v>
      </c>
      <c r="C17" t="s">
        <v>107</v>
      </c>
      <c r="D17" t="s">
        <v>108</v>
      </c>
      <c r="E17">
        <v>2.0495474279999999</v>
      </c>
      <c r="F17" t="s">
        <v>109</v>
      </c>
      <c r="G17" t="s">
        <v>110</v>
      </c>
      <c r="H17">
        <v>54.09</v>
      </c>
      <c r="I17">
        <v>4</v>
      </c>
      <c r="J17" t="s">
        <v>69</v>
      </c>
      <c r="K17">
        <v>2.6680621959002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2.6680621959002</v>
      </c>
      <c r="U17">
        <v>0.88822333148456201</v>
      </c>
      <c r="V17">
        <v>3.55628552738477</v>
      </c>
      <c r="W17">
        <v>5.4683200113512997</v>
      </c>
      <c r="X17">
        <v>7.2887758558850697</v>
      </c>
      <c r="Y17">
        <v>78.372824614999999</v>
      </c>
      <c r="Z17">
        <v>0</v>
      </c>
    </row>
    <row r="18" spans="1:26" x14ac:dyDescent="0.3">
      <c r="A18">
        <v>15</v>
      </c>
      <c r="B18" s="1" t="s">
        <v>111</v>
      </c>
      <c r="C18" t="s">
        <v>112</v>
      </c>
      <c r="D18" t="s">
        <v>113</v>
      </c>
      <c r="E18">
        <v>1.5120547849999999</v>
      </c>
      <c r="F18" t="s">
        <v>114</v>
      </c>
      <c r="G18" t="s">
        <v>115</v>
      </c>
      <c r="H18">
        <v>58.08</v>
      </c>
      <c r="I18">
        <v>3</v>
      </c>
      <c r="J18" t="s">
        <v>69</v>
      </c>
      <c r="K18">
        <v>3.9587960731779499</v>
      </c>
      <c r="L18">
        <v>1.38942106352714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3.9587960731779499</v>
      </c>
      <c r="U18">
        <v>0.620402892561983</v>
      </c>
      <c r="V18">
        <v>4.5791989657399403</v>
      </c>
      <c r="W18">
        <v>5.9859165452879397</v>
      </c>
      <c r="X18">
        <v>6.9239997076141302</v>
      </c>
      <c r="Y18">
        <v>80.422372042999996</v>
      </c>
      <c r="Z18">
        <v>0</v>
      </c>
    </row>
    <row r="19" spans="1:26" x14ac:dyDescent="0.3">
      <c r="A19">
        <v>16</v>
      </c>
      <c r="D19" t="s">
        <v>116</v>
      </c>
      <c r="E19">
        <v>1.394640922</v>
      </c>
      <c r="G19" t="s">
        <v>117</v>
      </c>
      <c r="H19">
        <v>86.09</v>
      </c>
      <c r="I19">
        <v>4</v>
      </c>
      <c r="K19">
        <v>3.7424134561299001</v>
      </c>
      <c r="L19">
        <v>0</v>
      </c>
      <c r="M19">
        <v>0.60548164114597702</v>
      </c>
      <c r="N19">
        <v>0.42100187141193401</v>
      </c>
      <c r="O19">
        <v>0</v>
      </c>
      <c r="P19">
        <v>0</v>
      </c>
      <c r="Q19">
        <v>0</v>
      </c>
      <c r="R19">
        <v>0</v>
      </c>
      <c r="S19">
        <v>0</v>
      </c>
      <c r="U19">
        <v>0.55806713904053895</v>
      </c>
      <c r="V19">
        <v>4.3004805951704403</v>
      </c>
      <c r="W19">
        <v>5.2193229529622096</v>
      </c>
      <c r="X19">
        <v>5.9976262222916104</v>
      </c>
      <c r="Y19">
        <v>81.934426827999999</v>
      </c>
      <c r="Z19">
        <v>0</v>
      </c>
    </row>
    <row r="20" spans="1:26" x14ac:dyDescent="0.3">
      <c r="A20">
        <v>17</v>
      </c>
      <c r="B20" s="1" t="s">
        <v>118</v>
      </c>
      <c r="C20" t="s">
        <v>119</v>
      </c>
      <c r="D20" t="s">
        <v>120</v>
      </c>
      <c r="E20">
        <v>0.58128906700000005</v>
      </c>
      <c r="F20" t="s">
        <v>121</v>
      </c>
      <c r="G20" t="s">
        <v>122</v>
      </c>
      <c r="H20">
        <v>146.13999999999999</v>
      </c>
      <c r="I20">
        <v>6</v>
      </c>
      <c r="J20" t="s">
        <v>61</v>
      </c>
      <c r="K20">
        <v>9.3705513735792003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1.37261825079021</v>
      </c>
      <c r="T20">
        <v>9.3705513735792003</v>
      </c>
      <c r="U20">
        <v>0.49312987546188503</v>
      </c>
      <c r="V20">
        <v>9.8636812490410897</v>
      </c>
      <c r="W20">
        <v>5.4469990652234204</v>
      </c>
      <c r="X20">
        <v>5.7336500704404898</v>
      </c>
      <c r="Y20">
        <v>83.329067749999993</v>
      </c>
      <c r="Z20">
        <v>1.37261825079021</v>
      </c>
    </row>
    <row r="21" spans="1:26" x14ac:dyDescent="0.3">
      <c r="A21">
        <v>18</v>
      </c>
      <c r="B21" s="1" t="s">
        <v>123</v>
      </c>
      <c r="C21" t="s">
        <v>124</v>
      </c>
      <c r="D21" t="s">
        <v>125</v>
      </c>
      <c r="E21">
        <v>1.8000767280000001</v>
      </c>
      <c r="F21" t="s">
        <v>126</v>
      </c>
      <c r="G21" t="s">
        <v>127</v>
      </c>
      <c r="H21">
        <v>112.21</v>
      </c>
      <c r="I21">
        <v>8</v>
      </c>
      <c r="J21" t="s">
        <v>69</v>
      </c>
      <c r="K21">
        <v>1.8237710289510101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1.8237710289510101</v>
      </c>
      <c r="U21">
        <v>0.85632296586756895</v>
      </c>
      <c r="V21">
        <v>2.6800939948185798</v>
      </c>
      <c r="W21">
        <v>3.2829277864153301</v>
      </c>
      <c r="X21">
        <v>4.82437482892548</v>
      </c>
      <c r="Y21">
        <v>83.910356816999993</v>
      </c>
      <c r="Z21">
        <v>0</v>
      </c>
    </row>
    <row r="22" spans="1:26" x14ac:dyDescent="0.3">
      <c r="A22">
        <v>19</v>
      </c>
      <c r="B22" s="1" t="s">
        <v>128</v>
      </c>
      <c r="C22" t="s">
        <v>129</v>
      </c>
      <c r="D22" t="s">
        <v>130</v>
      </c>
      <c r="E22">
        <v>0.81732564399999996</v>
      </c>
      <c r="F22" t="s">
        <v>131</v>
      </c>
      <c r="G22" t="s">
        <v>132</v>
      </c>
      <c r="H22">
        <v>211.3</v>
      </c>
      <c r="I22">
        <v>15</v>
      </c>
      <c r="J22" t="s">
        <v>61</v>
      </c>
      <c r="K22">
        <v>4.6525060440900097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4.6525060440900097</v>
      </c>
      <c r="U22">
        <v>0.85265026029342095</v>
      </c>
      <c r="V22">
        <v>5.50515630438343</v>
      </c>
      <c r="W22">
        <v>3.80261249869976</v>
      </c>
      <c r="X22">
        <v>4.4995054218008503</v>
      </c>
      <c r="Y22">
        <v>85.710433545000001</v>
      </c>
      <c r="Z22">
        <v>0</v>
      </c>
    </row>
    <row r="23" spans="1:26" x14ac:dyDescent="0.3">
      <c r="A23">
        <v>20</v>
      </c>
      <c r="B23" s="1" t="s">
        <v>133</v>
      </c>
      <c r="C23" t="s">
        <v>134</v>
      </c>
      <c r="D23" t="s">
        <v>135</v>
      </c>
      <c r="E23">
        <v>0.959497198</v>
      </c>
      <c r="F23" t="s">
        <v>136</v>
      </c>
      <c r="G23" t="s">
        <v>137</v>
      </c>
      <c r="H23">
        <v>93.13</v>
      </c>
      <c r="I23">
        <v>6</v>
      </c>
      <c r="J23" t="s">
        <v>69</v>
      </c>
      <c r="K23">
        <v>3.7386742741211001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1.7840067274265601</v>
      </c>
      <c r="T23">
        <v>3.7386742741211001</v>
      </c>
      <c r="U23">
        <v>0.77382153978309898</v>
      </c>
      <c r="V23">
        <v>4.5124958139042004</v>
      </c>
      <c r="W23">
        <v>3.5872474902538798</v>
      </c>
      <c r="X23">
        <v>4.3297270894278101</v>
      </c>
      <c r="Y23">
        <v>86.527759188999994</v>
      </c>
      <c r="Z23">
        <v>1.7840067274265601</v>
      </c>
    </row>
    <row r="24" spans="1:26" x14ac:dyDescent="0.3">
      <c r="A24">
        <v>21</v>
      </c>
      <c r="B24" s="1" t="s">
        <v>138</v>
      </c>
      <c r="C24" t="s">
        <v>139</v>
      </c>
      <c r="D24" t="s">
        <v>140</v>
      </c>
      <c r="E24">
        <v>0.79042917199999996</v>
      </c>
      <c r="F24" t="s">
        <v>141</v>
      </c>
      <c r="G24" t="s">
        <v>142</v>
      </c>
      <c r="H24">
        <v>250.25</v>
      </c>
      <c r="I24">
        <v>15</v>
      </c>
      <c r="J24" t="s">
        <v>69</v>
      </c>
      <c r="K24">
        <v>4.16153384563997</v>
      </c>
      <c r="L24">
        <v>0</v>
      </c>
      <c r="M24">
        <v>0</v>
      </c>
      <c r="N24">
        <v>0.12914344569662201</v>
      </c>
      <c r="O24">
        <v>0</v>
      </c>
      <c r="P24">
        <v>0</v>
      </c>
      <c r="Q24">
        <v>0</v>
      </c>
      <c r="R24">
        <v>0</v>
      </c>
      <c r="S24">
        <v>1.27697085765764</v>
      </c>
      <c r="T24">
        <v>4.16153384563997</v>
      </c>
      <c r="U24">
        <v>0.71994005994005905</v>
      </c>
      <c r="V24">
        <v>4.8814739055800302</v>
      </c>
      <c r="W24">
        <v>3.2893977518591799</v>
      </c>
      <c r="X24">
        <v>3.8584593773272302</v>
      </c>
      <c r="Y24">
        <v>87.487256386999903</v>
      </c>
      <c r="Z24">
        <v>1.27697085765764</v>
      </c>
    </row>
    <row r="25" spans="1:26" x14ac:dyDescent="0.3">
      <c r="A25">
        <v>22</v>
      </c>
      <c r="B25" s="1" t="s">
        <v>143</v>
      </c>
      <c r="C25" t="s">
        <v>144</v>
      </c>
      <c r="D25" t="s">
        <v>144</v>
      </c>
      <c r="E25">
        <v>0.64895442299999995</v>
      </c>
      <c r="F25" t="s">
        <v>145</v>
      </c>
      <c r="G25" t="s">
        <v>146</v>
      </c>
      <c r="H25">
        <v>128.16900000000001</v>
      </c>
      <c r="I25">
        <v>7</v>
      </c>
      <c r="J25" t="s">
        <v>69</v>
      </c>
      <c r="K25">
        <v>4.9269814994193402</v>
      </c>
      <c r="L25">
        <v>1.4671189325806799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4.9269814994193402</v>
      </c>
      <c r="U25">
        <v>0.65598545670169806</v>
      </c>
      <c r="V25">
        <v>5.58296695612104</v>
      </c>
      <c r="W25">
        <v>3.1973864360873501</v>
      </c>
      <c r="X25">
        <v>3.6230910996375898</v>
      </c>
      <c r="Y25">
        <v>88.277685558999906</v>
      </c>
      <c r="Z25">
        <v>0</v>
      </c>
    </row>
    <row r="26" spans="1:26" x14ac:dyDescent="0.3">
      <c r="A26">
        <v>23</v>
      </c>
      <c r="B26" s="1" t="s">
        <v>147</v>
      </c>
      <c r="C26" t="s">
        <v>148</v>
      </c>
      <c r="D26" t="s">
        <v>149</v>
      </c>
      <c r="E26">
        <v>1.4890492239999999</v>
      </c>
      <c r="F26" t="s">
        <v>150</v>
      </c>
      <c r="G26" t="s">
        <v>151</v>
      </c>
      <c r="H26">
        <v>62.07</v>
      </c>
      <c r="I26">
        <v>2</v>
      </c>
      <c r="J26" t="s">
        <v>69</v>
      </c>
      <c r="K26">
        <v>1.9708935487221799</v>
      </c>
      <c r="L26">
        <v>0</v>
      </c>
      <c r="M26">
        <v>1.0325169487802399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1.9708935487221799</v>
      </c>
      <c r="U26">
        <v>0.38701466086676301</v>
      </c>
      <c r="V26">
        <v>2.3579082095889499</v>
      </c>
      <c r="W26">
        <v>2.93475750931138</v>
      </c>
      <c r="X26">
        <v>3.5110413897516501</v>
      </c>
      <c r="Y26">
        <v>88.926639981999998</v>
      </c>
      <c r="Z26">
        <v>0</v>
      </c>
    </row>
    <row r="27" spans="1:26" x14ac:dyDescent="0.3">
      <c r="A27">
        <v>24</v>
      </c>
      <c r="B27" s="1" t="s">
        <v>152</v>
      </c>
      <c r="C27" t="s">
        <v>153</v>
      </c>
      <c r="D27" t="s">
        <v>153</v>
      </c>
      <c r="E27">
        <v>1.037784064</v>
      </c>
      <c r="F27" t="s">
        <v>154</v>
      </c>
      <c r="G27" t="s">
        <v>115</v>
      </c>
      <c r="H27">
        <v>58.08</v>
      </c>
      <c r="I27">
        <v>3</v>
      </c>
      <c r="J27" t="s">
        <v>69</v>
      </c>
      <c r="K27">
        <v>2.3459673994036798</v>
      </c>
      <c r="L27">
        <v>0.45443122133282798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0.905374781303242</v>
      </c>
      <c r="T27">
        <v>2.3459673994036798</v>
      </c>
      <c r="U27">
        <v>0.620402892561983</v>
      </c>
      <c r="V27">
        <v>2.9663702919656698</v>
      </c>
      <c r="W27">
        <v>2.43460758176467</v>
      </c>
      <c r="X27">
        <v>3.0784518169249999</v>
      </c>
      <c r="Y27">
        <v>90.415689205999996</v>
      </c>
      <c r="Z27">
        <v>0.905374781303242</v>
      </c>
    </row>
    <row r="28" spans="1:26" x14ac:dyDescent="0.3">
      <c r="A28">
        <v>25</v>
      </c>
      <c r="B28" s="1" t="s">
        <v>155</v>
      </c>
      <c r="C28" t="s">
        <v>156</v>
      </c>
      <c r="D28" t="s">
        <v>156</v>
      </c>
      <c r="E28">
        <v>0.88939678099999997</v>
      </c>
      <c r="F28" t="s">
        <v>157</v>
      </c>
      <c r="G28" t="s">
        <v>158</v>
      </c>
      <c r="H28">
        <v>60.05</v>
      </c>
      <c r="I28">
        <v>2</v>
      </c>
      <c r="J28" t="s">
        <v>61</v>
      </c>
      <c r="K28">
        <v>2.6002044602800098</v>
      </c>
      <c r="L28">
        <v>0</v>
      </c>
      <c r="M28">
        <v>0</v>
      </c>
      <c r="N28">
        <v>0.60263651791001205</v>
      </c>
      <c r="O28">
        <v>0</v>
      </c>
      <c r="P28">
        <v>0</v>
      </c>
      <c r="Q28">
        <v>0</v>
      </c>
      <c r="R28">
        <v>0</v>
      </c>
      <c r="S28">
        <v>0</v>
      </c>
      <c r="T28">
        <v>2.6002044602800098</v>
      </c>
      <c r="U28">
        <v>0.400033305578684</v>
      </c>
      <c r="V28">
        <v>3.0002377658586901</v>
      </c>
      <c r="W28">
        <v>2.3126134769148798</v>
      </c>
      <c r="X28">
        <v>2.6684018111893502</v>
      </c>
      <c r="Y28">
        <v>91.453473269999904</v>
      </c>
      <c r="Z28">
        <v>0</v>
      </c>
    </row>
    <row r="29" spans="1:26" x14ac:dyDescent="0.3">
      <c r="A29">
        <v>26</v>
      </c>
      <c r="B29" s="1" t="s">
        <v>159</v>
      </c>
      <c r="C29" t="s">
        <v>160</v>
      </c>
      <c r="D29" t="s">
        <v>161</v>
      </c>
      <c r="E29">
        <v>0.39469454100000001</v>
      </c>
      <c r="F29" t="s">
        <v>162</v>
      </c>
      <c r="G29" t="s">
        <v>163</v>
      </c>
      <c r="H29">
        <v>100.12</v>
      </c>
      <c r="I29">
        <v>5</v>
      </c>
      <c r="J29" t="s">
        <v>69</v>
      </c>
      <c r="K29">
        <v>6.04923857868389</v>
      </c>
      <c r="L29">
        <v>0.44342191266727499</v>
      </c>
      <c r="M29">
        <v>0</v>
      </c>
      <c r="N29">
        <v>0.28109785704233697</v>
      </c>
      <c r="O29">
        <v>0</v>
      </c>
      <c r="P29">
        <v>0</v>
      </c>
      <c r="Q29">
        <v>0</v>
      </c>
      <c r="R29">
        <v>0</v>
      </c>
      <c r="S29">
        <v>0.42354903090597501</v>
      </c>
      <c r="T29">
        <v>6.04923857868389</v>
      </c>
      <c r="U29">
        <v>0.59983020375549301</v>
      </c>
      <c r="V29">
        <v>6.6490687824393797</v>
      </c>
      <c r="W29">
        <v>2.3876014442131299</v>
      </c>
      <c r="X29">
        <v>2.6243511511623399</v>
      </c>
      <c r="Y29">
        <v>92.342870050999906</v>
      </c>
      <c r="Z29">
        <v>0.42354903090597501</v>
      </c>
    </row>
    <row r="30" spans="1:26" x14ac:dyDescent="0.3">
      <c r="A30">
        <v>27</v>
      </c>
      <c r="B30" s="1" t="s">
        <v>164</v>
      </c>
      <c r="C30" t="s">
        <v>165</v>
      </c>
      <c r="D30" t="s">
        <v>165</v>
      </c>
      <c r="E30">
        <v>0.61433399600000005</v>
      </c>
      <c r="F30" t="s">
        <v>166</v>
      </c>
      <c r="G30" t="s">
        <v>167</v>
      </c>
      <c r="H30">
        <v>84.16</v>
      </c>
      <c r="I30">
        <v>6</v>
      </c>
      <c r="J30" t="s">
        <v>61</v>
      </c>
      <c r="K30">
        <v>3.3468109549469101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2.1042734450647602</v>
      </c>
      <c r="T30">
        <v>3.3468109549469101</v>
      </c>
      <c r="U30">
        <v>0.85629752851711005</v>
      </c>
      <c r="V30">
        <v>4.2031084834640202</v>
      </c>
      <c r="W30">
        <v>2.05605974780911</v>
      </c>
      <c r="X30">
        <v>2.5821124302679501</v>
      </c>
      <c r="Y30">
        <v>92.737564591999998</v>
      </c>
      <c r="Z30">
        <v>2.1042734450647602</v>
      </c>
    </row>
    <row r="31" spans="1:26" x14ac:dyDescent="0.3">
      <c r="A31">
        <v>28</v>
      </c>
      <c r="B31" s="1" t="s">
        <v>168</v>
      </c>
      <c r="C31" t="s">
        <v>169</v>
      </c>
      <c r="D31" t="s">
        <v>170</v>
      </c>
      <c r="E31">
        <v>0.41874311800000003</v>
      </c>
      <c r="F31" t="s">
        <v>171</v>
      </c>
      <c r="G31" t="s">
        <v>172</v>
      </c>
      <c r="H31">
        <v>116.2</v>
      </c>
      <c r="I31">
        <v>6</v>
      </c>
      <c r="J31" t="s">
        <v>69</v>
      </c>
      <c r="K31">
        <v>5.5390416699414899</v>
      </c>
      <c r="L31">
        <v>0.40108492587283001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5.5390416699414899</v>
      </c>
      <c r="U31">
        <v>0.62018932874354504</v>
      </c>
      <c r="V31">
        <v>6.1592309986850404</v>
      </c>
      <c r="W31">
        <v>2.31943557960322</v>
      </c>
      <c r="X31">
        <v>2.5791355928716202</v>
      </c>
      <c r="Y31">
        <v>93.351898587999997</v>
      </c>
      <c r="Z31">
        <v>0</v>
      </c>
    </row>
    <row r="32" spans="1:26" x14ac:dyDescent="0.3">
      <c r="A32">
        <v>29</v>
      </c>
      <c r="B32" s="1" t="s">
        <v>173</v>
      </c>
      <c r="C32" t="s">
        <v>174</v>
      </c>
      <c r="D32" t="s">
        <v>174</v>
      </c>
      <c r="E32">
        <v>1.006460688</v>
      </c>
      <c r="F32" t="s">
        <v>175</v>
      </c>
      <c r="G32" t="s">
        <v>176</v>
      </c>
      <c r="H32">
        <v>92.14</v>
      </c>
      <c r="I32">
        <v>7</v>
      </c>
      <c r="J32" t="s">
        <v>69</v>
      </c>
      <c r="K32">
        <v>1.6040022599866599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1.5751177768100899</v>
      </c>
      <c r="S32">
        <v>0</v>
      </c>
      <c r="T32">
        <v>1.6040022599866599</v>
      </c>
      <c r="U32">
        <v>0.912491860212719</v>
      </c>
      <c r="V32">
        <v>2.51649412019938</v>
      </c>
      <c r="W32">
        <v>1.6143652181397301</v>
      </c>
      <c r="X32">
        <v>2.5327524035638298</v>
      </c>
      <c r="Y32">
        <v>93.770641705999907</v>
      </c>
      <c r="Z32">
        <v>1.5751177768100899</v>
      </c>
    </row>
    <row r="33" spans="1:26" x14ac:dyDescent="0.3">
      <c r="A33">
        <v>30</v>
      </c>
      <c r="B33" s="1" t="s">
        <v>177</v>
      </c>
      <c r="C33" t="s">
        <v>178</v>
      </c>
      <c r="D33" t="s">
        <v>179</v>
      </c>
      <c r="E33">
        <v>0.80212793400000004</v>
      </c>
      <c r="F33" t="s">
        <v>180</v>
      </c>
      <c r="G33" t="s">
        <v>181</v>
      </c>
      <c r="H33">
        <v>44.05</v>
      </c>
      <c r="I33">
        <v>2</v>
      </c>
      <c r="J33" t="s">
        <v>69</v>
      </c>
      <c r="K33">
        <v>2.4847650451141901</v>
      </c>
      <c r="L33">
        <v>0</v>
      </c>
      <c r="M33">
        <v>1.44946020264061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2.4847650451141901</v>
      </c>
      <c r="U33">
        <v>0.54533484676503896</v>
      </c>
      <c r="V33">
        <v>3.0300998918792299</v>
      </c>
      <c r="W33">
        <v>1.99309945211286</v>
      </c>
      <c r="X33">
        <v>2.4305277660867102</v>
      </c>
      <c r="Y33">
        <v>94.777102393999996</v>
      </c>
      <c r="Z33">
        <v>0</v>
      </c>
    </row>
    <row r="34" spans="1:26" x14ac:dyDescent="0.3">
      <c r="A34">
        <v>31</v>
      </c>
      <c r="B34" s="1" t="s">
        <v>182</v>
      </c>
      <c r="C34" t="s">
        <v>183</v>
      </c>
      <c r="D34" t="s">
        <v>184</v>
      </c>
      <c r="E34">
        <v>0.67715197900000001</v>
      </c>
      <c r="F34" t="s">
        <v>185</v>
      </c>
      <c r="G34" t="s">
        <v>186</v>
      </c>
      <c r="H34">
        <v>114.14</v>
      </c>
      <c r="I34">
        <v>6</v>
      </c>
      <c r="J34" t="s">
        <v>69</v>
      </c>
      <c r="K34">
        <v>2.7535583061998401</v>
      </c>
      <c r="L34">
        <v>0</v>
      </c>
      <c r="M34">
        <v>1.6613106025404001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2.7535583061998401</v>
      </c>
      <c r="U34">
        <v>0.63138251270369705</v>
      </c>
      <c r="V34">
        <v>3.3849408189035399</v>
      </c>
      <c r="W34">
        <v>1.8645774563351101</v>
      </c>
      <c r="X34">
        <v>2.2921193743184101</v>
      </c>
      <c r="Y34">
        <v>95.579230327999994</v>
      </c>
      <c r="Z34">
        <v>0</v>
      </c>
    </row>
    <row r="35" spans="1:26" x14ac:dyDescent="0.3">
      <c r="A35">
        <v>32</v>
      </c>
      <c r="B35" s="1" t="s">
        <v>187</v>
      </c>
      <c r="C35" t="s">
        <v>188</v>
      </c>
      <c r="D35" t="s">
        <v>188</v>
      </c>
      <c r="E35">
        <v>0.61555055199999997</v>
      </c>
      <c r="F35" t="s">
        <v>189</v>
      </c>
      <c r="G35" t="s">
        <v>190</v>
      </c>
      <c r="H35">
        <v>120.19</v>
      </c>
      <c r="I35">
        <v>9</v>
      </c>
      <c r="J35" t="s">
        <v>69</v>
      </c>
      <c r="K35">
        <v>2.2886916389477499</v>
      </c>
      <c r="L35">
        <v>0.65712947274745703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1.30921561888218</v>
      </c>
      <c r="T35">
        <v>2.2886916389477499</v>
      </c>
      <c r="U35">
        <v>0.89940094849821095</v>
      </c>
      <c r="V35">
        <v>3.18809258744596</v>
      </c>
      <c r="W35">
        <v>1.4088054017120699</v>
      </c>
      <c r="X35">
        <v>1.9624321520294701</v>
      </c>
      <c r="Y35">
        <v>96.256382306999996</v>
      </c>
      <c r="Z35">
        <v>1.30921561888218</v>
      </c>
    </row>
    <row r="36" spans="1:26" x14ac:dyDescent="0.3">
      <c r="A36">
        <v>33</v>
      </c>
      <c r="B36" s="1" t="s">
        <v>191</v>
      </c>
      <c r="C36" t="s">
        <v>192</v>
      </c>
      <c r="D36" t="s">
        <v>193</v>
      </c>
      <c r="E36">
        <v>0.42804819900000002</v>
      </c>
      <c r="F36" t="s">
        <v>194</v>
      </c>
      <c r="G36" t="s">
        <v>195</v>
      </c>
      <c r="H36">
        <v>74.12</v>
      </c>
      <c r="I36">
        <v>4</v>
      </c>
      <c r="J36" t="s">
        <v>61</v>
      </c>
      <c r="K36">
        <v>3.8441285166322898</v>
      </c>
      <c r="L36">
        <v>1.26679165870396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3.8441285166322898</v>
      </c>
      <c r="U36">
        <v>0.64819212088505096</v>
      </c>
      <c r="V36">
        <v>4.4923206375173397</v>
      </c>
      <c r="W36">
        <v>1.6454722882689901</v>
      </c>
      <c r="X36">
        <v>1.9229297582198299</v>
      </c>
      <c r="Y36">
        <v>96.871932858999998</v>
      </c>
      <c r="Z36">
        <v>0</v>
      </c>
    </row>
    <row r="37" spans="1:26" x14ac:dyDescent="0.3">
      <c r="A37">
        <v>34</v>
      </c>
      <c r="B37" s="1" t="s">
        <v>196</v>
      </c>
      <c r="C37" t="s">
        <v>197</v>
      </c>
      <c r="D37" t="s">
        <v>197</v>
      </c>
      <c r="E37">
        <v>0.57909285499999996</v>
      </c>
      <c r="F37" t="s">
        <v>198</v>
      </c>
      <c r="G37" t="s">
        <v>199</v>
      </c>
      <c r="H37">
        <v>106.16</v>
      </c>
      <c r="I37">
        <v>8</v>
      </c>
      <c r="J37" t="s">
        <v>69</v>
      </c>
      <c r="K37">
        <v>2.2558687067023802</v>
      </c>
      <c r="L37">
        <v>0</v>
      </c>
      <c r="M37">
        <v>0</v>
      </c>
      <c r="N37">
        <v>0</v>
      </c>
      <c r="O37">
        <v>0</v>
      </c>
      <c r="P37">
        <v>0</v>
      </c>
      <c r="Q37">
        <v>2.2270498703483699</v>
      </c>
      <c r="R37">
        <v>0</v>
      </c>
      <c r="S37">
        <v>0</v>
      </c>
      <c r="T37">
        <v>2.2558687067023802</v>
      </c>
      <c r="U37">
        <v>0.90512434061793501</v>
      </c>
      <c r="V37">
        <v>3.16099304732032</v>
      </c>
      <c r="W37">
        <v>1.3063574498694399</v>
      </c>
      <c r="X37">
        <v>1.8305084884078699</v>
      </c>
      <c r="Y37">
        <v>97.299981058</v>
      </c>
      <c r="Z37">
        <v>2.2270498703483699</v>
      </c>
    </row>
    <row r="38" spans="1:26" x14ac:dyDescent="0.3">
      <c r="A38">
        <v>35</v>
      </c>
      <c r="B38" s="1" t="s">
        <v>200</v>
      </c>
      <c r="C38" t="s">
        <v>201</v>
      </c>
      <c r="D38" t="s">
        <v>202</v>
      </c>
      <c r="E38">
        <v>0.44189643000000001</v>
      </c>
      <c r="F38" t="s">
        <v>203</v>
      </c>
      <c r="G38" t="s">
        <v>204</v>
      </c>
      <c r="H38">
        <v>76.09</v>
      </c>
      <c r="I38">
        <v>3</v>
      </c>
      <c r="J38" t="s">
        <v>69</v>
      </c>
      <c r="K38">
        <v>3.5984242902017298</v>
      </c>
      <c r="L38">
        <v>1.11570511401229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3.5984242902017298</v>
      </c>
      <c r="U38">
        <v>0.47355762912340599</v>
      </c>
      <c r="V38">
        <v>4.0719819193251299</v>
      </c>
      <c r="W38">
        <v>1.5901308474654201</v>
      </c>
      <c r="X38">
        <v>1.79939427317432</v>
      </c>
      <c r="Y38">
        <v>97.879073912999999</v>
      </c>
      <c r="Z38">
        <v>0</v>
      </c>
    </row>
    <row r="39" spans="1:26" x14ac:dyDescent="0.3">
      <c r="A39">
        <v>36</v>
      </c>
      <c r="B39" s="1" t="s">
        <v>205</v>
      </c>
      <c r="C39" t="s">
        <v>206</v>
      </c>
      <c r="D39" t="s">
        <v>206</v>
      </c>
      <c r="E39">
        <v>0.36364343199999999</v>
      </c>
      <c r="F39" t="s">
        <v>207</v>
      </c>
      <c r="G39" t="s">
        <v>208</v>
      </c>
      <c r="H39">
        <v>53.06</v>
      </c>
      <c r="I39">
        <v>3</v>
      </c>
      <c r="J39" t="s">
        <v>61</v>
      </c>
      <c r="K39">
        <v>4.2530783336652496</v>
      </c>
      <c r="L39">
        <v>2.0256106898100801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4.2530783336652496</v>
      </c>
      <c r="U39">
        <v>0.67909913305691605</v>
      </c>
      <c r="V39">
        <v>4.9321774667221696</v>
      </c>
      <c r="W39">
        <v>1.54660400181887</v>
      </c>
      <c r="X39">
        <v>1.7935539412319099</v>
      </c>
      <c r="Y39">
        <v>98.320970342999999</v>
      </c>
      <c r="Z39">
        <v>0</v>
      </c>
    </row>
    <row r="40" spans="1:26" x14ac:dyDescent="0.3">
      <c r="A40">
        <v>37</v>
      </c>
      <c r="B40" s="1" t="s">
        <v>209</v>
      </c>
      <c r="C40" t="s">
        <v>210</v>
      </c>
      <c r="D40" t="s">
        <v>211</v>
      </c>
      <c r="E40">
        <v>0.63363000199999997</v>
      </c>
      <c r="F40" t="s">
        <v>212</v>
      </c>
      <c r="G40" t="s">
        <v>213</v>
      </c>
      <c r="H40">
        <v>60.1</v>
      </c>
      <c r="I40">
        <v>3</v>
      </c>
      <c r="J40" t="s">
        <v>69</v>
      </c>
      <c r="K40">
        <v>2.2287465892522</v>
      </c>
      <c r="L40">
        <v>1.34207512951441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2.2287465892522</v>
      </c>
      <c r="U40">
        <v>0.59955074875207903</v>
      </c>
      <c r="V40">
        <v>2.8282973380042802</v>
      </c>
      <c r="W40">
        <v>1.4122007058053601</v>
      </c>
      <c r="X40">
        <v>1.7920940479362399</v>
      </c>
      <c r="Y40">
        <v>98.684613775000003</v>
      </c>
      <c r="Z40">
        <v>0</v>
      </c>
    </row>
    <row r="41" spans="1:26" x14ac:dyDescent="0.3">
      <c r="A41">
        <v>38</v>
      </c>
      <c r="B41" s="1" t="s">
        <v>214</v>
      </c>
      <c r="C41" t="s">
        <v>215</v>
      </c>
      <c r="D41" t="s">
        <v>216</v>
      </c>
      <c r="E41">
        <v>0.80778956499999999</v>
      </c>
      <c r="F41" t="s">
        <v>217</v>
      </c>
      <c r="G41" t="s">
        <v>81</v>
      </c>
      <c r="H41">
        <v>62.5</v>
      </c>
      <c r="I41">
        <v>2</v>
      </c>
      <c r="J41" t="s">
        <v>69</v>
      </c>
      <c r="K41">
        <v>1.7300126131057101</v>
      </c>
      <c r="L41">
        <v>0</v>
      </c>
      <c r="M41">
        <v>0.76455919219969704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1.7300126131057101</v>
      </c>
      <c r="U41">
        <v>0.38435199999999903</v>
      </c>
      <c r="V41">
        <v>2.1143646131057099</v>
      </c>
      <c r="W41">
        <v>1.39748613618518</v>
      </c>
      <c r="X41">
        <v>1.70796167107206</v>
      </c>
      <c r="Y41">
        <v>99.318243777000006</v>
      </c>
      <c r="Z41">
        <v>0</v>
      </c>
    </row>
    <row r="42" spans="1:26" x14ac:dyDescent="0.3">
      <c r="A42">
        <v>39</v>
      </c>
      <c r="B42" s="1" t="s">
        <v>218</v>
      </c>
      <c r="C42" t="s">
        <v>219</v>
      </c>
      <c r="D42" t="s">
        <v>220</v>
      </c>
      <c r="E42">
        <v>1.018745547</v>
      </c>
      <c r="F42" t="s">
        <v>221</v>
      </c>
      <c r="G42" t="s">
        <v>222</v>
      </c>
      <c r="H42">
        <v>98.96</v>
      </c>
      <c r="I42">
        <v>2</v>
      </c>
      <c r="J42" t="s">
        <v>69</v>
      </c>
      <c r="K42">
        <v>1.3553484654855199</v>
      </c>
      <c r="L42">
        <v>0</v>
      </c>
      <c r="M42">
        <v>0.54886278155380097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1.3553484654855199</v>
      </c>
      <c r="U42">
        <v>0.242744543249797</v>
      </c>
      <c r="V42">
        <v>1.59809300873532</v>
      </c>
      <c r="W42">
        <v>1.3807552138466599</v>
      </c>
      <c r="X42">
        <v>1.6280501363409401</v>
      </c>
      <c r="Y42">
        <v>100.126033342</v>
      </c>
      <c r="Z42">
        <v>0</v>
      </c>
    </row>
    <row r="43" spans="1:26" x14ac:dyDescent="0.3">
      <c r="A43">
        <v>40</v>
      </c>
      <c r="B43" s="1" t="s">
        <v>223</v>
      </c>
      <c r="C43" t="s">
        <v>224</v>
      </c>
      <c r="D43" t="s">
        <v>225</v>
      </c>
      <c r="E43">
        <v>0.36001179999999999</v>
      </c>
      <c r="F43" t="s">
        <v>194</v>
      </c>
      <c r="G43" t="s">
        <v>226</v>
      </c>
      <c r="H43">
        <v>72.11</v>
      </c>
      <c r="I43">
        <v>4</v>
      </c>
      <c r="J43" t="s">
        <v>61</v>
      </c>
      <c r="K43">
        <v>3.8441285166322898</v>
      </c>
      <c r="L43">
        <v>1.26679165870396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3.8441285166322898</v>
      </c>
      <c r="U43">
        <v>0.66625988073776099</v>
      </c>
      <c r="V43">
        <v>4.5103883973700496</v>
      </c>
      <c r="W43">
        <v>1.38393162670412</v>
      </c>
      <c r="X43">
        <v>1.6237930456363101</v>
      </c>
      <c r="Y43">
        <v>101.14477888899999</v>
      </c>
      <c r="Z43">
        <v>0</v>
      </c>
    </row>
    <row r="44" spans="1:26" x14ac:dyDescent="0.3">
      <c r="A44">
        <v>41</v>
      </c>
      <c r="B44" s="1" t="s">
        <v>227</v>
      </c>
      <c r="C44" t="s">
        <v>228</v>
      </c>
      <c r="D44" t="s">
        <v>228</v>
      </c>
      <c r="E44">
        <v>0.44353240700000002</v>
      </c>
      <c r="F44" t="s">
        <v>229</v>
      </c>
      <c r="G44" t="s">
        <v>199</v>
      </c>
      <c r="H44">
        <v>106.16</v>
      </c>
      <c r="I44">
        <v>8</v>
      </c>
      <c r="J44" t="s">
        <v>69</v>
      </c>
      <c r="K44">
        <v>2.6724138348512101</v>
      </c>
      <c r="L44">
        <v>0</v>
      </c>
      <c r="M44">
        <v>9.5745513550181099E-2</v>
      </c>
      <c r="N44">
        <v>0</v>
      </c>
      <c r="O44">
        <v>0</v>
      </c>
      <c r="P44">
        <v>0</v>
      </c>
      <c r="Q44">
        <v>0</v>
      </c>
      <c r="R44">
        <v>0</v>
      </c>
      <c r="S44">
        <v>1.41579414002311</v>
      </c>
      <c r="T44">
        <v>2.6724138348512101</v>
      </c>
      <c r="U44">
        <v>0.90512434061793501</v>
      </c>
      <c r="V44">
        <v>3.5775381754691402</v>
      </c>
      <c r="W44">
        <v>1.18530214067165</v>
      </c>
      <c r="X44">
        <v>1.5867541181002101</v>
      </c>
      <c r="Y44">
        <v>101.50479068899899</v>
      </c>
      <c r="Z44">
        <v>1.41579414002311</v>
      </c>
    </row>
    <row r="45" spans="1:26" x14ac:dyDescent="0.3">
      <c r="A45">
        <v>42</v>
      </c>
      <c r="B45" s="1" t="s">
        <v>230</v>
      </c>
      <c r="C45" t="s">
        <v>231</v>
      </c>
      <c r="D45" t="s">
        <v>231</v>
      </c>
      <c r="E45">
        <v>0.34131204900000001</v>
      </c>
      <c r="F45" t="s">
        <v>232</v>
      </c>
      <c r="G45" t="s">
        <v>233</v>
      </c>
      <c r="H45">
        <v>88.11</v>
      </c>
      <c r="I45">
        <v>4</v>
      </c>
      <c r="J45" t="s">
        <v>61</v>
      </c>
      <c r="K45">
        <v>3.9863813884265999</v>
      </c>
      <c r="L45">
        <v>0</v>
      </c>
      <c r="M45">
        <v>0.436658259413571</v>
      </c>
      <c r="N45">
        <v>0.214365789449148</v>
      </c>
      <c r="O45">
        <v>0</v>
      </c>
      <c r="P45">
        <v>0</v>
      </c>
      <c r="Q45">
        <v>0</v>
      </c>
      <c r="R45">
        <v>0</v>
      </c>
      <c r="S45">
        <v>0</v>
      </c>
      <c r="T45">
        <v>3.9863813884265999</v>
      </c>
      <c r="U45">
        <v>0.54527295426171796</v>
      </c>
      <c r="V45">
        <v>4.53165434268832</v>
      </c>
      <c r="W45">
        <v>1.3605999997793401</v>
      </c>
      <c r="X45">
        <v>1.5467082290626899</v>
      </c>
      <c r="Y45">
        <v>101.948323096</v>
      </c>
      <c r="Z45">
        <v>0</v>
      </c>
    </row>
    <row r="46" spans="1:26" x14ac:dyDescent="0.3">
      <c r="A46">
        <v>43</v>
      </c>
      <c r="B46" s="1" t="s">
        <v>234</v>
      </c>
      <c r="C46" t="s">
        <v>235</v>
      </c>
      <c r="D46" t="s">
        <v>236</v>
      </c>
      <c r="E46">
        <v>0.210079972</v>
      </c>
      <c r="F46" t="s">
        <v>237</v>
      </c>
      <c r="G46" t="s">
        <v>238</v>
      </c>
      <c r="H46">
        <v>100.117</v>
      </c>
      <c r="I46">
        <v>5</v>
      </c>
      <c r="J46" t="s">
        <v>69</v>
      </c>
      <c r="K46">
        <v>6.6884241618031099</v>
      </c>
      <c r="L46">
        <v>0.46909370768118303</v>
      </c>
      <c r="M46">
        <v>0</v>
      </c>
      <c r="N46">
        <v>0.29737194354706697</v>
      </c>
      <c r="O46">
        <v>0</v>
      </c>
      <c r="P46">
        <v>0</v>
      </c>
      <c r="Q46">
        <v>0</v>
      </c>
      <c r="R46">
        <v>0</v>
      </c>
      <c r="S46">
        <v>0.44807029065688198</v>
      </c>
      <c r="T46">
        <v>6.6884241618031099</v>
      </c>
      <c r="U46">
        <v>0.59984817763217002</v>
      </c>
      <c r="V46">
        <v>7.28827233943528</v>
      </c>
      <c r="W46">
        <v>1.4051039606357201</v>
      </c>
      <c r="X46">
        <v>1.5311200489969301</v>
      </c>
      <c r="Y46">
        <v>102.289635144999</v>
      </c>
      <c r="Z46">
        <v>0.44807029065688198</v>
      </c>
    </row>
    <row r="47" spans="1:26" x14ac:dyDescent="0.3">
      <c r="A47">
        <v>44</v>
      </c>
      <c r="B47" s="1" t="s">
        <v>239</v>
      </c>
      <c r="C47" t="s">
        <v>240</v>
      </c>
      <c r="D47" t="s">
        <v>241</v>
      </c>
      <c r="E47">
        <v>0.237128752</v>
      </c>
      <c r="F47" t="s">
        <v>242</v>
      </c>
      <c r="G47" t="s">
        <v>243</v>
      </c>
      <c r="H47">
        <v>174.16</v>
      </c>
      <c r="I47">
        <v>9</v>
      </c>
      <c r="J47" t="s">
        <v>69</v>
      </c>
      <c r="K47">
        <v>5.6195464009115499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0.91824774270938003</v>
      </c>
      <c r="S47">
        <v>0</v>
      </c>
      <c r="T47">
        <v>5.6195464009115499</v>
      </c>
      <c r="U47">
        <v>0.62068787322002705</v>
      </c>
      <c r="V47">
        <v>6.2402342741315797</v>
      </c>
      <c r="W47">
        <v>1.3325560248542401</v>
      </c>
      <c r="X47">
        <v>1.47973896561244</v>
      </c>
      <c r="Y47">
        <v>102.49971511699999</v>
      </c>
      <c r="Z47">
        <v>0.91824774270938003</v>
      </c>
    </row>
    <row r="48" spans="1:26" x14ac:dyDescent="0.3">
      <c r="A48">
        <v>45</v>
      </c>
      <c r="B48" s="1" t="s">
        <v>244</v>
      </c>
      <c r="C48" t="s">
        <v>245</v>
      </c>
      <c r="D48" t="s">
        <v>246</v>
      </c>
      <c r="E48">
        <v>0.35609374900000001</v>
      </c>
      <c r="F48" t="s">
        <v>247</v>
      </c>
      <c r="G48" t="s">
        <v>248</v>
      </c>
      <c r="H48">
        <v>30.026</v>
      </c>
      <c r="I48">
        <v>1</v>
      </c>
      <c r="K48">
        <v>3.64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3.64</v>
      </c>
      <c r="U48">
        <v>0.40001998268167499</v>
      </c>
      <c r="V48">
        <v>4.0400199826816703</v>
      </c>
      <c r="W48">
        <v>1.29618124636</v>
      </c>
      <c r="X48">
        <v>1.4386258616680301</v>
      </c>
      <c r="Y48">
        <v>102.736843869</v>
      </c>
      <c r="Z48">
        <v>0</v>
      </c>
    </row>
    <row r="49" spans="1:26" x14ac:dyDescent="0.3">
      <c r="A49">
        <v>46</v>
      </c>
      <c r="B49" s="1" t="s">
        <v>249</v>
      </c>
      <c r="C49" t="s">
        <v>250</v>
      </c>
      <c r="D49" t="s">
        <v>251</v>
      </c>
      <c r="E49">
        <v>0.89854172300000001</v>
      </c>
      <c r="F49" t="s">
        <v>252</v>
      </c>
      <c r="G49" t="s">
        <v>253</v>
      </c>
      <c r="H49">
        <v>30.026</v>
      </c>
      <c r="I49">
        <v>1</v>
      </c>
      <c r="J49" t="s">
        <v>69</v>
      </c>
      <c r="K49">
        <v>1.16018484441526</v>
      </c>
      <c r="L49">
        <v>0</v>
      </c>
      <c r="M49">
        <v>0</v>
      </c>
      <c r="N49">
        <v>0.93556175458811996</v>
      </c>
      <c r="O49">
        <v>0</v>
      </c>
      <c r="P49">
        <v>0</v>
      </c>
      <c r="Q49">
        <v>0</v>
      </c>
      <c r="R49">
        <v>0</v>
      </c>
      <c r="S49">
        <v>0</v>
      </c>
      <c r="T49">
        <v>1.16018484441526</v>
      </c>
      <c r="U49">
        <v>0.40001998268167499</v>
      </c>
      <c r="V49">
        <v>1.56020482709693</v>
      </c>
      <c r="W49">
        <v>1.04247448909937</v>
      </c>
      <c r="X49">
        <v>1.4019091335725899</v>
      </c>
      <c r="Y49">
        <v>103.09293761799999</v>
      </c>
      <c r="Z49">
        <v>0</v>
      </c>
    </row>
    <row r="50" spans="1:26" x14ac:dyDescent="0.3">
      <c r="A50">
        <v>47</v>
      </c>
      <c r="B50" s="1" t="s">
        <v>254</v>
      </c>
      <c r="C50" t="s">
        <v>255</v>
      </c>
      <c r="D50" t="s">
        <v>255</v>
      </c>
      <c r="E50">
        <v>0.21224747299999999</v>
      </c>
      <c r="F50" t="s">
        <v>256</v>
      </c>
      <c r="G50" t="s">
        <v>257</v>
      </c>
      <c r="H50">
        <v>102.09</v>
      </c>
      <c r="I50">
        <v>4</v>
      </c>
      <c r="J50" t="s">
        <v>61</v>
      </c>
      <c r="K50">
        <v>5.1742298606148598</v>
      </c>
      <c r="L50">
        <v>0</v>
      </c>
      <c r="M50">
        <v>0.177203198460884</v>
      </c>
      <c r="N50">
        <v>0.45158409770132102</v>
      </c>
      <c r="O50">
        <v>0</v>
      </c>
      <c r="P50">
        <v>0</v>
      </c>
      <c r="Q50">
        <v>0</v>
      </c>
      <c r="R50">
        <v>0</v>
      </c>
      <c r="S50">
        <v>0</v>
      </c>
      <c r="T50">
        <v>5.1742298606148598</v>
      </c>
      <c r="U50">
        <v>0.47060436869428901</v>
      </c>
      <c r="V50">
        <v>5.6448342293091498</v>
      </c>
      <c r="W50">
        <v>1.0982172126366401</v>
      </c>
      <c r="X50">
        <v>1.1981018006747699</v>
      </c>
      <c r="Y50">
        <v>103.99147934099901</v>
      </c>
      <c r="Z50">
        <v>0</v>
      </c>
    </row>
    <row r="51" spans="1:26" x14ac:dyDescent="0.3">
      <c r="A51">
        <v>48</v>
      </c>
      <c r="B51" s="1" t="s">
        <v>258</v>
      </c>
      <c r="C51" t="s">
        <v>259</v>
      </c>
      <c r="D51" t="s">
        <v>260</v>
      </c>
      <c r="E51">
        <v>0.442926298</v>
      </c>
      <c r="F51" t="s">
        <v>261</v>
      </c>
      <c r="G51" t="s">
        <v>262</v>
      </c>
      <c r="H51">
        <v>46.024999999999999</v>
      </c>
      <c r="I51">
        <v>1</v>
      </c>
      <c r="J51" t="s">
        <v>69</v>
      </c>
      <c r="K51">
        <v>2.3218990931004799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2.3218990931004799</v>
      </c>
      <c r="U51">
        <v>0.26096686583378598</v>
      </c>
      <c r="V51">
        <v>2.5828659589342702</v>
      </c>
      <c r="W51">
        <v>1.0284301696365501</v>
      </c>
      <c r="X51">
        <v>1.14401925742097</v>
      </c>
      <c r="Y51">
        <v>104.203726813999</v>
      </c>
      <c r="Z51">
        <v>0</v>
      </c>
    </row>
    <row r="52" spans="1:26" x14ac:dyDescent="0.3">
      <c r="A52">
        <v>49</v>
      </c>
      <c r="B52" s="1" t="s">
        <v>263</v>
      </c>
      <c r="C52" t="s">
        <v>264</v>
      </c>
      <c r="D52" t="s">
        <v>265</v>
      </c>
      <c r="E52">
        <v>0.21313040699999999</v>
      </c>
      <c r="F52" t="s">
        <v>266</v>
      </c>
      <c r="G52" t="s">
        <v>267</v>
      </c>
      <c r="H52">
        <v>228.29</v>
      </c>
      <c r="I52">
        <v>15</v>
      </c>
      <c r="J52" t="s">
        <v>69</v>
      </c>
      <c r="K52">
        <v>3.7960644379702799</v>
      </c>
      <c r="L52">
        <v>0.50046778263326097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1.17115901282775</v>
      </c>
      <c r="T52">
        <v>3.7960644379702799</v>
      </c>
      <c r="U52">
        <v>0.78919356958254805</v>
      </c>
      <c r="V52">
        <v>4.58525800755283</v>
      </c>
      <c r="W52">
        <v>0.809056758662832</v>
      </c>
      <c r="X52">
        <v>0.97725790534974399</v>
      </c>
      <c r="Y52">
        <v>104.646653112</v>
      </c>
      <c r="Z52">
        <v>1.17115901282775</v>
      </c>
    </row>
    <row r="53" spans="1:26" x14ac:dyDescent="0.3">
      <c r="A53">
        <v>50</v>
      </c>
      <c r="B53" s="1" t="s">
        <v>268</v>
      </c>
      <c r="C53" t="s">
        <v>269</v>
      </c>
      <c r="D53" t="s">
        <v>270</v>
      </c>
      <c r="E53">
        <v>0.40359997399999997</v>
      </c>
      <c r="F53" t="s">
        <v>271</v>
      </c>
      <c r="G53" t="s">
        <v>199</v>
      </c>
      <c r="H53">
        <v>106.16</v>
      </c>
      <c r="I53">
        <v>8</v>
      </c>
      <c r="J53" t="s">
        <v>69</v>
      </c>
      <c r="K53">
        <v>1.5157137686267099</v>
      </c>
      <c r="L53">
        <v>0</v>
      </c>
      <c r="M53">
        <v>0</v>
      </c>
      <c r="N53">
        <v>0</v>
      </c>
      <c r="O53">
        <v>1.48682925619951</v>
      </c>
      <c r="P53">
        <v>0</v>
      </c>
      <c r="Q53">
        <v>0</v>
      </c>
      <c r="R53">
        <v>0</v>
      </c>
      <c r="S53">
        <v>0</v>
      </c>
      <c r="T53">
        <v>1.5157137686267099</v>
      </c>
      <c r="U53">
        <v>0.90512434061793501</v>
      </c>
      <c r="V53">
        <v>2.4208381092446398</v>
      </c>
      <c r="W53">
        <v>0.611742037609183</v>
      </c>
      <c r="X53">
        <v>0.977050197949348</v>
      </c>
      <c r="Y53">
        <v>104.859783518999</v>
      </c>
      <c r="Z53">
        <v>1.48682925619951</v>
      </c>
    </row>
    <row r="54" spans="1:26" x14ac:dyDescent="0.3">
      <c r="A54">
        <v>51</v>
      </c>
      <c r="B54" s="1" t="s">
        <v>272</v>
      </c>
      <c r="C54" t="s">
        <v>273</v>
      </c>
      <c r="D54" t="s">
        <v>274</v>
      </c>
      <c r="E54">
        <v>0.32842485399999999</v>
      </c>
      <c r="F54" t="s">
        <v>275</v>
      </c>
      <c r="G54" t="s">
        <v>276</v>
      </c>
      <c r="H54">
        <v>106.12</v>
      </c>
      <c r="I54">
        <v>4</v>
      </c>
      <c r="J54" t="s">
        <v>69</v>
      </c>
      <c r="K54">
        <v>2.3006687163338002</v>
      </c>
      <c r="L54">
        <v>0</v>
      </c>
      <c r="M54">
        <v>1.20785001555424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2.3006687163338002</v>
      </c>
      <c r="U54">
        <v>0.452732755371277</v>
      </c>
      <c r="V54">
        <v>2.7534014717050801</v>
      </c>
      <c r="W54">
        <v>0.75559678726429802</v>
      </c>
      <c r="X54">
        <v>0.90428547634812795</v>
      </c>
      <c r="Y54">
        <v>105.263383492999</v>
      </c>
      <c r="Z54">
        <v>0</v>
      </c>
    </row>
    <row r="55" spans="1:26" x14ac:dyDescent="0.3">
      <c r="A55">
        <v>52</v>
      </c>
      <c r="B55" s="1" t="s">
        <v>277</v>
      </c>
      <c r="C55" t="s">
        <v>278</v>
      </c>
      <c r="D55" t="s">
        <v>278</v>
      </c>
      <c r="E55">
        <v>0.26076013100000001</v>
      </c>
      <c r="F55" t="s">
        <v>279</v>
      </c>
      <c r="G55" t="s">
        <v>199</v>
      </c>
      <c r="H55">
        <v>106.16</v>
      </c>
      <c r="I55">
        <v>8</v>
      </c>
      <c r="J55" t="s">
        <v>69</v>
      </c>
      <c r="K55">
        <v>2.2791966537602999</v>
      </c>
      <c r="L55">
        <v>0</v>
      </c>
      <c r="M55">
        <v>0</v>
      </c>
      <c r="N55">
        <v>0</v>
      </c>
      <c r="O55">
        <v>0</v>
      </c>
      <c r="P55">
        <v>2.2503777410814498</v>
      </c>
      <c r="Q55">
        <v>0</v>
      </c>
      <c r="R55">
        <v>0</v>
      </c>
      <c r="S55">
        <v>0</v>
      </c>
      <c r="T55">
        <v>2.2791966537602999</v>
      </c>
      <c r="U55">
        <v>0.90512434061793501</v>
      </c>
      <c r="V55">
        <v>3.18432099437823</v>
      </c>
      <c r="W55">
        <v>0.594323618009298</v>
      </c>
      <c r="X55">
        <v>0.83034395964011998</v>
      </c>
      <c r="Y55">
        <v>105.591808347</v>
      </c>
      <c r="Z55">
        <v>2.2503777410814498</v>
      </c>
    </row>
    <row r="56" spans="1:26" x14ac:dyDescent="0.3">
      <c r="A56">
        <v>53</v>
      </c>
      <c r="B56" s="1" t="s">
        <v>280</v>
      </c>
      <c r="C56" t="s">
        <v>281</v>
      </c>
      <c r="D56" t="s">
        <v>282</v>
      </c>
      <c r="E56">
        <v>0.23232725400000001</v>
      </c>
      <c r="F56" t="s">
        <v>283</v>
      </c>
      <c r="G56" t="s">
        <v>284</v>
      </c>
      <c r="H56">
        <v>122.12</v>
      </c>
      <c r="I56">
        <v>7</v>
      </c>
      <c r="J56" t="s">
        <v>69</v>
      </c>
      <c r="K56">
        <v>1.7857288579521899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1.3794419435885299</v>
      </c>
      <c r="S56">
        <v>0</v>
      </c>
      <c r="T56">
        <v>1.7857288579521899</v>
      </c>
      <c r="U56">
        <v>0.68847854569276101</v>
      </c>
      <c r="V56">
        <v>2.4742074036449502</v>
      </c>
      <c r="W56">
        <v>0.41487348195659002</v>
      </c>
      <c r="X56">
        <v>0.57482581191530202</v>
      </c>
      <c r="Y56">
        <v>105.85256847799999</v>
      </c>
      <c r="Z56">
        <v>1.3794419435885299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89e107a-002f-47cb-94f0-e5bf57bc2a72" xsi:nil="true"/>
    <lcf76f155ced4ddcb4097134ff3c332f xmlns="e3526620-295c-4e7a-bc15-71d5d129bc8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AF39AFB91D254FB182AF94C5DC49BB" ma:contentTypeVersion="11" ma:contentTypeDescription="Crée un document." ma:contentTypeScope="" ma:versionID="dbf3a68182155b17bdc3666382daf776">
  <xsd:schema xmlns:xsd="http://www.w3.org/2001/XMLSchema" xmlns:xs="http://www.w3.org/2001/XMLSchema" xmlns:p="http://schemas.microsoft.com/office/2006/metadata/properties" xmlns:ns2="e3526620-295c-4e7a-bc15-71d5d129bc8a" xmlns:ns3="f89e107a-002f-47cb-94f0-e5bf57bc2a72" targetNamespace="http://schemas.microsoft.com/office/2006/metadata/properties" ma:root="true" ma:fieldsID="ccb4e8835da535e86e7998c3a5e457f2" ns2:_="" ns3:_="">
    <xsd:import namespace="e3526620-295c-4e7a-bc15-71d5d129bc8a"/>
    <xsd:import namespace="f89e107a-002f-47cb-94f0-e5bf57bc2a7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526620-295c-4e7a-bc15-71d5d129bc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89d98ed-d87d-4b5f-8cfd-2c453ac98c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e107a-002f-47cb-94f0-e5bf57bc2a7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39249a1-d208-40d2-81eb-01a4abb22e02}" ma:internalName="TaxCatchAll" ma:showField="CatchAllData" ma:web="f89e107a-002f-47cb-94f0-e5bf57bc2a7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1C0DBCB-3D5C-4C6E-BB20-3FBB6EA99F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201825-E6AC-4921-997C-6D5C57E9EAE5}">
  <ds:schemaRefs>
    <ds:schemaRef ds:uri="http://schemas.microsoft.com/office/2006/metadata/properties"/>
    <ds:schemaRef ds:uri="http://schemas.microsoft.com/office/infopath/2007/PartnerControls"/>
    <ds:schemaRef ds:uri="f89e107a-002f-47cb-94f0-e5bf57bc2a72"/>
    <ds:schemaRef ds:uri="e3526620-295c-4e7a-bc15-71d5d129bc8a"/>
  </ds:schemaRefs>
</ds:datastoreItem>
</file>

<file path=customXml/itemProps3.xml><?xml version="1.0" encoding="utf-8"?>
<ds:datastoreItem xmlns:ds="http://schemas.openxmlformats.org/officeDocument/2006/customXml" ds:itemID="{2C14E0D2-7C99-4782-8FA8-7A925306F29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3526620-295c-4e7a-bc15-71d5d129bc8a"/>
    <ds:schemaRef ds:uri="f89e107a-002f-47cb-94f0-e5bf57bc2a7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Figure 2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Lienart</dc:creator>
  <cp:keywords/>
  <dc:description/>
  <cp:lastModifiedBy>Nicolas Lienart</cp:lastModifiedBy>
  <cp:revision/>
  <dcterms:created xsi:type="dcterms:W3CDTF">2026-05-05T08:18:00Z</dcterms:created>
  <dcterms:modified xsi:type="dcterms:W3CDTF">2026-08-14T15:28:43Z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0x010100E4AF39AFB91D254FB182AF94C5DC49BB</vt:lpwstr>
  </property>
  <property fmtid="{D5CDD505-2E9C-101B-9397-08002B2CF9AE}" pid="3" name="MediaServiceImageTags">
    <vt:lpwstr/>
  </property>
</Properties>
</file>