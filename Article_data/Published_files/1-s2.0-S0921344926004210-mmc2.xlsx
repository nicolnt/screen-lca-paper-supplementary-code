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omments1.xml" ContentType="application/vnd.openxmlformats-officedocument.spreadsheetml.comments+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omments2.xml" ContentType="application/vnd.openxmlformats-officedocument.spreadsheetml.comments+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comments3.xml" ContentType="application/vnd.openxmlformats-officedocument.spreadsheetml.comments+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wsl.localhost\Ubuntu\home\nicolas\projects\202604-paper-1-supplementary-code\Article_data\"/>
    </mc:Choice>
  </mc:AlternateContent>
  <xr:revisionPtr revIDLastSave="0" documentId="13_ncr:1_{4EEBDA3E-E3AF-48C0-918E-55065C2F33A5}" xr6:coauthVersionLast="47" xr6:coauthVersionMax="47" xr10:uidLastSave="{00000000-0000-0000-0000-000000000000}"/>
  <bookViews>
    <workbookView xWindow="-108" yWindow="-108" windowWidth="23256" windowHeight="12456" tabRatio="728" xr2:uid="{E8C36369-1168-414C-8171-B068121F2D07}"/>
  </bookViews>
  <sheets>
    <sheet name="README" sheetId="8" r:id="rId1"/>
    <sheet name="1.1 Y_FR_imports_2019" sheetId="2" r:id="rId2"/>
    <sheet name="1.2 Z_FR_imports_2019" sheetId="3" r:id="rId3"/>
    <sheet name="2.1 Y_FR_production_2019" sheetId="5" r:id="rId4"/>
    <sheet name="2.2 Z_FR_production_2019" sheetId="4" r:id="rId5"/>
    <sheet name="Summary_FR_2019" sheetId="18" r:id="rId6"/>
    <sheet name="1.1 Y_FR_imports_2022" sheetId="14" r:id="rId7"/>
    <sheet name="1.2 Z_FR_imports_2022" sheetId="15" r:id="rId8"/>
    <sheet name="2.1 Y_FR_production_2022" sheetId="16" r:id="rId9"/>
    <sheet name="2.2 Z_FR_production_2022" sheetId="17" r:id="rId10"/>
    <sheet name="Summary_FR_2022" sheetId="6" r:id="rId11"/>
    <sheet name="1.1 Y_EU27_imports_2019" sheetId="9" r:id="rId12"/>
    <sheet name="1.2 Z_EU27_imports_2019" sheetId="10" r:id="rId13"/>
    <sheet name="2.1 Y_EU27_production_2019" sheetId="11" r:id="rId14"/>
    <sheet name="2.2 Z_EU27_production_2019" sheetId="12" r:id="rId15"/>
    <sheet name="Summary_EU27_2019" sheetId="13" r:id="rId16"/>
    <sheet name="1.1 Y_EU27_imports_2022" sheetId="19" r:id="rId17"/>
    <sheet name="1.2 Z_EU27_imports_2022" sheetId="20" r:id="rId18"/>
    <sheet name="2.1 Y_EU27_production_2022" sheetId="21" r:id="rId19"/>
    <sheet name="2.2 Z_EU27_production_2022" sheetId="22" r:id="rId20"/>
    <sheet name="Summary_EU27_2022" sheetId="23" r:id="rId21"/>
  </sheets>
  <definedNames>
    <definedName name="_xlnm._FilterDatabase" localSheetId="15" hidden="1">Summary_EU27_2019!$A$9:$H$9</definedName>
    <definedName name="_xlnm._FilterDatabase" localSheetId="20" hidden="1">Summary_EU27_2022!$A$9:$H$9</definedName>
    <definedName name="_xlnm._FilterDatabase" localSheetId="5" hidden="1">Summary_FR_2019!$A$9:$H$9</definedName>
    <definedName name="_xlnm._FilterDatabase" localSheetId="10" hidden="1">Summary_FR_2022!$A$9:$H$9</definedName>
    <definedName name="ExternalData_1" localSheetId="11" hidden="1">'1.1 Y_EU27_imports_2019'!$A$4:$B$204</definedName>
    <definedName name="ExternalData_1" localSheetId="16" hidden="1">'1.1 Y_EU27_imports_2022'!$A$4:$B$204</definedName>
    <definedName name="ExternalData_1" localSheetId="1" hidden="1">'1.1 Y_FR_imports_2019'!$A$4:$B$204</definedName>
    <definedName name="ExternalData_1" localSheetId="6" hidden="1">'1.1 Y_FR_imports_2022'!$A$4:$B$204</definedName>
    <definedName name="ExternalData_1" localSheetId="12" hidden="1">'1.2 Z_EU27_imports_2019'!$A$4:$B$204</definedName>
    <definedName name="ExternalData_1" localSheetId="17" hidden="1">'1.2 Z_EU27_imports_2022'!$A$4:$B$204</definedName>
    <definedName name="ExternalData_1" localSheetId="2" hidden="1">'1.2 Z_FR_imports_2019'!$A$4:$B$204</definedName>
    <definedName name="ExternalData_1" localSheetId="7" hidden="1">'1.2 Z_FR_imports_2022'!$A$4:$B$204</definedName>
    <definedName name="ExternalData_1" localSheetId="13" hidden="1">'2.1 Y_EU27_production_2019'!$A$4:$B$204</definedName>
    <definedName name="ExternalData_1" localSheetId="18" hidden="1">'2.1 Y_EU27_production_2022'!$A$4:$B$204</definedName>
    <definedName name="ExternalData_1" localSheetId="3" hidden="1">'2.1 Y_FR_production_2019'!$A$4:$B$204</definedName>
    <definedName name="ExternalData_1" localSheetId="8" hidden="1">'2.1 Y_FR_production_2022'!$A$4:$B$204</definedName>
    <definedName name="ExternalData_1" localSheetId="14" hidden="1">'2.2 Z_EU27_production_2019'!$A$4:$B$204</definedName>
    <definedName name="ExternalData_1" localSheetId="19" hidden="1">'2.2 Z_EU27_production_2022'!$A$4:$B$204</definedName>
    <definedName name="ExternalData_1" localSheetId="4" hidden="1">'2.2 Z_FR_production_2019'!$A$4:$B$204</definedName>
    <definedName name="ExternalData_1" localSheetId="9" hidden="1">'2.2 Z_FR_production_2022'!$A$4:$B$204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0" i="8" l="1"/>
  <c r="C49" i="8"/>
  <c r="C48" i="8"/>
  <c r="C47" i="8"/>
  <c r="C46" i="8"/>
  <c r="C45" i="8"/>
  <c r="C44" i="8"/>
  <c r="C43" i="8"/>
  <c r="C42" i="8"/>
  <c r="C41" i="8"/>
  <c r="C40" i="8"/>
  <c r="C39" i="8"/>
  <c r="C38" i="8"/>
  <c r="C37" i="8"/>
  <c r="C36" i="8"/>
  <c r="C35" i="8"/>
  <c r="C34" i="8"/>
  <c r="C33" i="8"/>
  <c r="C32" i="8"/>
  <c r="C31" i="8"/>
  <c r="E7" i="23" l="1"/>
  <c r="D7" i="23"/>
  <c r="E6" i="23"/>
  <c r="D6" i="23"/>
  <c r="E5" i="23"/>
  <c r="D5" i="23"/>
  <c r="E7" i="13"/>
  <c r="D7" i="13"/>
  <c r="E6" i="13"/>
  <c r="D6" i="13"/>
  <c r="E5" i="13"/>
  <c r="D5" i="13"/>
  <c r="D6" i="6"/>
  <c r="E6" i="6"/>
  <c r="D7" i="6"/>
  <c r="E7" i="6"/>
  <c r="E5" i="6"/>
  <c r="D5" i="6"/>
  <c r="C10" i="23"/>
  <c r="B10" i="23" s="1"/>
  <c r="G10" i="23" s="1"/>
  <c r="D10" i="23"/>
  <c r="E10" i="23"/>
  <c r="F10" i="23"/>
  <c r="C12" i="23"/>
  <c r="D12" i="23"/>
  <c r="E12" i="23"/>
  <c r="F12" i="23"/>
  <c r="C15" i="23"/>
  <c r="D15" i="23"/>
  <c r="E15" i="23"/>
  <c r="F15" i="23"/>
  <c r="B15" i="23" s="1"/>
  <c r="G15" i="23" s="1"/>
  <c r="C32" i="23"/>
  <c r="D32" i="23"/>
  <c r="E32" i="23"/>
  <c r="F32" i="23"/>
  <c r="C13" i="23"/>
  <c r="D13" i="23"/>
  <c r="E13" i="23"/>
  <c r="F13" i="23"/>
  <c r="C14" i="23"/>
  <c r="D14" i="23"/>
  <c r="E14" i="23"/>
  <c r="F14" i="23"/>
  <c r="B14" i="23" s="1"/>
  <c r="G14" i="23" s="1"/>
  <c r="C30" i="23"/>
  <c r="B30" i="23" s="1"/>
  <c r="H30" i="23" s="1"/>
  <c r="D30" i="23"/>
  <c r="E30" i="23"/>
  <c r="F30" i="23"/>
  <c r="C16" i="23"/>
  <c r="D16" i="23"/>
  <c r="E16" i="23"/>
  <c r="F16" i="23"/>
  <c r="C22" i="23"/>
  <c r="D22" i="23"/>
  <c r="E22" i="23"/>
  <c r="F22" i="23"/>
  <c r="C25" i="23"/>
  <c r="D25" i="23"/>
  <c r="E25" i="23"/>
  <c r="F25" i="23"/>
  <c r="C17" i="23"/>
  <c r="D17" i="23"/>
  <c r="E17" i="23"/>
  <c r="F17" i="23"/>
  <c r="B17" i="23" s="1"/>
  <c r="C31" i="23"/>
  <c r="D31" i="23"/>
  <c r="E31" i="23"/>
  <c r="F31" i="23"/>
  <c r="C20" i="23"/>
  <c r="D20" i="23"/>
  <c r="E20" i="23"/>
  <c r="F20" i="23"/>
  <c r="C19" i="23"/>
  <c r="D19" i="23"/>
  <c r="E19" i="23"/>
  <c r="F19" i="23"/>
  <c r="C23" i="23"/>
  <c r="D23" i="23"/>
  <c r="E23" i="23"/>
  <c r="F23" i="23"/>
  <c r="C26" i="23"/>
  <c r="D26" i="23"/>
  <c r="B26" i="23" s="1"/>
  <c r="H26" i="23" s="1"/>
  <c r="E26" i="23"/>
  <c r="F26" i="23"/>
  <c r="C24" i="23"/>
  <c r="B24" i="23" s="1"/>
  <c r="G24" i="23" s="1"/>
  <c r="D24" i="23"/>
  <c r="E24" i="23"/>
  <c r="F24" i="23"/>
  <c r="C64" i="23"/>
  <c r="D64" i="23"/>
  <c r="E64" i="23"/>
  <c r="F64" i="23"/>
  <c r="C18" i="23"/>
  <c r="D18" i="23"/>
  <c r="E18" i="23"/>
  <c r="F18" i="23"/>
  <c r="C27" i="23"/>
  <c r="D27" i="23"/>
  <c r="E27" i="23"/>
  <c r="F27" i="23"/>
  <c r="C29" i="23"/>
  <c r="D29" i="23"/>
  <c r="E29" i="23"/>
  <c r="F29" i="23"/>
  <c r="C40" i="23"/>
  <c r="D40" i="23"/>
  <c r="E40" i="23"/>
  <c r="F40" i="23"/>
  <c r="C50" i="23"/>
  <c r="D50" i="23"/>
  <c r="E50" i="23"/>
  <c r="F50" i="23"/>
  <c r="B50" i="23" s="1"/>
  <c r="G50" i="23" s="1"/>
  <c r="C21" i="23"/>
  <c r="D21" i="23"/>
  <c r="E21" i="23"/>
  <c r="F21" i="23"/>
  <c r="C44" i="23"/>
  <c r="D44" i="23"/>
  <c r="E44" i="23"/>
  <c r="F44" i="23"/>
  <c r="C51" i="23"/>
  <c r="D51" i="23"/>
  <c r="E51" i="23"/>
  <c r="F51" i="23"/>
  <c r="B51" i="23" s="1"/>
  <c r="H51" i="23" s="1"/>
  <c r="C33" i="23"/>
  <c r="D33" i="23"/>
  <c r="E33" i="23"/>
  <c r="F33" i="23"/>
  <c r="C39" i="23"/>
  <c r="D39" i="23"/>
  <c r="E39" i="23"/>
  <c r="F39" i="23"/>
  <c r="C57" i="23"/>
  <c r="D57" i="23"/>
  <c r="E57" i="23"/>
  <c r="F57" i="23"/>
  <c r="C35" i="23"/>
  <c r="D35" i="23"/>
  <c r="E35" i="23"/>
  <c r="F35" i="23"/>
  <c r="C28" i="23"/>
  <c r="B28" i="23" s="1"/>
  <c r="D28" i="23"/>
  <c r="E28" i="23"/>
  <c r="F28" i="23"/>
  <c r="C34" i="23"/>
  <c r="D34" i="23"/>
  <c r="E34" i="23"/>
  <c r="F34" i="23"/>
  <c r="C58" i="23"/>
  <c r="D58" i="23"/>
  <c r="E58" i="23"/>
  <c r="F58" i="23"/>
  <c r="B58" i="23" s="1"/>
  <c r="C37" i="23"/>
  <c r="D37" i="23"/>
  <c r="E37" i="23"/>
  <c r="F37" i="23"/>
  <c r="C41" i="23"/>
  <c r="D41" i="23"/>
  <c r="E41" i="23"/>
  <c r="F41" i="23"/>
  <c r="C43" i="23"/>
  <c r="D43" i="23"/>
  <c r="E43" i="23"/>
  <c r="F43" i="23"/>
  <c r="C55" i="23"/>
  <c r="D55" i="23"/>
  <c r="E55" i="23"/>
  <c r="F55" i="23"/>
  <c r="C38" i="23"/>
  <c r="D38" i="23"/>
  <c r="E38" i="23"/>
  <c r="F38" i="23"/>
  <c r="C72" i="23"/>
  <c r="D72" i="23"/>
  <c r="E72" i="23"/>
  <c r="F72" i="23"/>
  <c r="C42" i="23"/>
  <c r="D42" i="23"/>
  <c r="E42" i="23"/>
  <c r="F42" i="23"/>
  <c r="C47" i="23"/>
  <c r="D47" i="23"/>
  <c r="E47" i="23"/>
  <c r="F47" i="23"/>
  <c r="C53" i="23"/>
  <c r="D53" i="23"/>
  <c r="E53" i="23"/>
  <c r="B53" i="23" s="1"/>
  <c r="F53" i="23"/>
  <c r="C61" i="23"/>
  <c r="D61" i="23"/>
  <c r="E61" i="23"/>
  <c r="F61" i="23"/>
  <c r="C54" i="23"/>
  <c r="D54" i="23"/>
  <c r="E54" i="23"/>
  <c r="F54" i="23"/>
  <c r="C36" i="23"/>
  <c r="D36" i="23"/>
  <c r="E36" i="23"/>
  <c r="F36" i="23"/>
  <c r="C45" i="23"/>
  <c r="D45" i="23"/>
  <c r="E45" i="23"/>
  <c r="F45" i="23"/>
  <c r="C56" i="23"/>
  <c r="B56" i="23" s="1"/>
  <c r="G56" i="23" s="1"/>
  <c r="D56" i="23"/>
  <c r="E56" i="23"/>
  <c r="F56" i="23"/>
  <c r="C90" i="23"/>
  <c r="D90" i="23"/>
  <c r="E90" i="23"/>
  <c r="F90" i="23"/>
  <c r="C52" i="23"/>
  <c r="D52" i="23"/>
  <c r="E52" i="23"/>
  <c r="F52" i="23"/>
  <c r="C49" i="23"/>
  <c r="D49" i="23"/>
  <c r="E49" i="23"/>
  <c r="F49" i="23"/>
  <c r="C46" i="23"/>
  <c r="D46" i="23"/>
  <c r="E46" i="23"/>
  <c r="F46" i="23"/>
  <c r="B46" i="23" s="1"/>
  <c r="C59" i="23"/>
  <c r="D59" i="23"/>
  <c r="E59" i="23"/>
  <c r="F59" i="23"/>
  <c r="C65" i="23"/>
  <c r="D65" i="23"/>
  <c r="E65" i="23"/>
  <c r="F65" i="23"/>
  <c r="C66" i="23"/>
  <c r="D66" i="23"/>
  <c r="E66" i="23"/>
  <c r="F66" i="23"/>
  <c r="C62" i="23"/>
  <c r="D62" i="23"/>
  <c r="E62" i="23"/>
  <c r="F62" i="23"/>
  <c r="C70" i="23"/>
  <c r="D70" i="23"/>
  <c r="E70" i="23"/>
  <c r="F70" i="23"/>
  <c r="C60" i="23"/>
  <c r="D60" i="23"/>
  <c r="E60" i="23"/>
  <c r="F60" i="23"/>
  <c r="C48" i="23"/>
  <c r="D48" i="23"/>
  <c r="E48" i="23"/>
  <c r="F48" i="23"/>
  <c r="C67" i="23"/>
  <c r="D67" i="23"/>
  <c r="E67" i="23"/>
  <c r="F67" i="23"/>
  <c r="C78" i="23"/>
  <c r="D78" i="23"/>
  <c r="E78" i="23"/>
  <c r="F78" i="23"/>
  <c r="C69" i="23"/>
  <c r="B69" i="23" s="1"/>
  <c r="G69" i="23" s="1"/>
  <c r="D69" i="23"/>
  <c r="E69" i="23"/>
  <c r="F69" i="23"/>
  <c r="C73" i="23"/>
  <c r="D73" i="23"/>
  <c r="E73" i="23"/>
  <c r="F73" i="23"/>
  <c r="C71" i="23"/>
  <c r="D71" i="23"/>
  <c r="E71" i="23"/>
  <c r="F71" i="23"/>
  <c r="C68" i="23"/>
  <c r="D68" i="23"/>
  <c r="E68" i="23"/>
  <c r="F68" i="23"/>
  <c r="C76" i="23"/>
  <c r="D76" i="23"/>
  <c r="E76" i="23"/>
  <c r="F76" i="23"/>
  <c r="C77" i="23"/>
  <c r="D77" i="23"/>
  <c r="E77" i="23"/>
  <c r="F77" i="23"/>
  <c r="B77" i="23" s="1"/>
  <c r="G77" i="23" s="1"/>
  <c r="C74" i="23"/>
  <c r="B74" i="23" s="1"/>
  <c r="G74" i="23" s="1"/>
  <c r="D74" i="23"/>
  <c r="E74" i="23"/>
  <c r="F74" i="23"/>
  <c r="C83" i="23"/>
  <c r="D83" i="23"/>
  <c r="E83" i="23"/>
  <c r="F83" i="23"/>
  <c r="C79" i="23"/>
  <c r="D79" i="23"/>
  <c r="E79" i="23"/>
  <c r="F79" i="23"/>
  <c r="C81" i="23"/>
  <c r="D81" i="23"/>
  <c r="E81" i="23"/>
  <c r="F81" i="23"/>
  <c r="C89" i="23"/>
  <c r="D89" i="23"/>
  <c r="E89" i="23"/>
  <c r="F89" i="23"/>
  <c r="C94" i="23"/>
  <c r="D94" i="23"/>
  <c r="E94" i="23"/>
  <c r="F94" i="23"/>
  <c r="C75" i="23"/>
  <c r="D75" i="23"/>
  <c r="E75" i="23"/>
  <c r="F75" i="23"/>
  <c r="C84" i="23"/>
  <c r="B84" i="23" s="1"/>
  <c r="D84" i="23"/>
  <c r="E84" i="23"/>
  <c r="F84" i="23"/>
  <c r="C63" i="23"/>
  <c r="D63" i="23"/>
  <c r="E63" i="23"/>
  <c r="F63" i="23"/>
  <c r="C87" i="23"/>
  <c r="B87" i="23" s="1"/>
  <c r="D87" i="23"/>
  <c r="E87" i="23"/>
  <c r="F87" i="23"/>
  <c r="C82" i="23"/>
  <c r="B82" i="23" s="1"/>
  <c r="G82" i="23" s="1"/>
  <c r="D82" i="23"/>
  <c r="E82" i="23"/>
  <c r="F82" i="23"/>
  <c r="C93" i="23"/>
  <c r="D93" i="23"/>
  <c r="E93" i="23"/>
  <c r="F93" i="23"/>
  <c r="C85" i="23"/>
  <c r="D85" i="23"/>
  <c r="E85" i="23"/>
  <c r="F85" i="23"/>
  <c r="C98" i="23"/>
  <c r="D98" i="23"/>
  <c r="E98" i="23"/>
  <c r="F98" i="23"/>
  <c r="C88" i="23"/>
  <c r="D88" i="23"/>
  <c r="E88" i="23"/>
  <c r="F88" i="23"/>
  <c r="C105" i="23"/>
  <c r="D105" i="23"/>
  <c r="E105" i="23"/>
  <c r="F105" i="23"/>
  <c r="C91" i="23"/>
  <c r="D91" i="23"/>
  <c r="E91" i="23"/>
  <c r="F91" i="23"/>
  <c r="C92" i="23"/>
  <c r="D92" i="23"/>
  <c r="E92" i="23"/>
  <c r="F92" i="23"/>
  <c r="C86" i="23"/>
  <c r="D86" i="23"/>
  <c r="E86" i="23"/>
  <c r="F86" i="23"/>
  <c r="B86" i="23" s="1"/>
  <c r="C97" i="23"/>
  <c r="D97" i="23"/>
  <c r="B97" i="23" s="1"/>
  <c r="G97" i="23" s="1"/>
  <c r="E97" i="23"/>
  <c r="F97" i="23"/>
  <c r="C99" i="23"/>
  <c r="D99" i="23"/>
  <c r="E99" i="23"/>
  <c r="F99" i="23"/>
  <c r="C111" i="23"/>
  <c r="D111" i="23"/>
  <c r="E111" i="23"/>
  <c r="F111" i="23"/>
  <c r="C96" i="23"/>
  <c r="D96" i="23"/>
  <c r="E96" i="23"/>
  <c r="F96" i="23"/>
  <c r="C106" i="23"/>
  <c r="D106" i="23"/>
  <c r="E106" i="23"/>
  <c r="F106" i="23"/>
  <c r="C127" i="23"/>
  <c r="D127" i="23"/>
  <c r="E127" i="23"/>
  <c r="F127" i="23"/>
  <c r="C95" i="23"/>
  <c r="D95" i="23"/>
  <c r="E95" i="23"/>
  <c r="F95" i="23"/>
  <c r="C116" i="23"/>
  <c r="D116" i="23"/>
  <c r="E116" i="23"/>
  <c r="F116" i="23"/>
  <c r="C107" i="23"/>
  <c r="D107" i="23"/>
  <c r="E107" i="23"/>
  <c r="F107" i="23"/>
  <c r="C101" i="23"/>
  <c r="D101" i="23"/>
  <c r="E101" i="23"/>
  <c r="F101" i="23"/>
  <c r="C80" i="23"/>
  <c r="D80" i="23"/>
  <c r="E80" i="23"/>
  <c r="F80" i="23"/>
  <c r="C117" i="23"/>
  <c r="B117" i="23" s="1"/>
  <c r="G117" i="23" s="1"/>
  <c r="D117" i="23"/>
  <c r="E117" i="23"/>
  <c r="F117" i="23"/>
  <c r="C100" i="23"/>
  <c r="D100" i="23"/>
  <c r="E100" i="23"/>
  <c r="F100" i="23"/>
  <c r="B100" i="23" s="1"/>
  <c r="G100" i="23" s="1"/>
  <c r="C109" i="23"/>
  <c r="D109" i="23"/>
  <c r="E109" i="23"/>
  <c r="F109" i="23"/>
  <c r="C114" i="23"/>
  <c r="D114" i="23"/>
  <c r="E114" i="23"/>
  <c r="F114" i="23"/>
  <c r="C102" i="23"/>
  <c r="D102" i="23"/>
  <c r="E102" i="23"/>
  <c r="F102" i="23"/>
  <c r="B102" i="23" s="1"/>
  <c r="G102" i="23" s="1"/>
  <c r="C115" i="23"/>
  <c r="D115" i="23"/>
  <c r="E115" i="23"/>
  <c r="F115" i="23"/>
  <c r="C126" i="23"/>
  <c r="D126" i="23"/>
  <c r="E126" i="23"/>
  <c r="F126" i="23"/>
  <c r="C112" i="23"/>
  <c r="D112" i="23"/>
  <c r="E112" i="23"/>
  <c r="F112" i="23"/>
  <c r="C129" i="23"/>
  <c r="D129" i="23"/>
  <c r="E129" i="23"/>
  <c r="F129" i="23"/>
  <c r="C110" i="23"/>
  <c r="D110" i="23"/>
  <c r="E110" i="23"/>
  <c r="F110" i="23"/>
  <c r="B110" i="23" s="1"/>
  <c r="H110" i="23" s="1"/>
  <c r="C143" i="23"/>
  <c r="D143" i="23"/>
  <c r="E143" i="23"/>
  <c r="F143" i="23"/>
  <c r="C130" i="23"/>
  <c r="D130" i="23"/>
  <c r="E130" i="23"/>
  <c r="F130" i="23"/>
  <c r="C134" i="23"/>
  <c r="D134" i="23"/>
  <c r="E134" i="23"/>
  <c r="F134" i="23"/>
  <c r="C104" i="23"/>
  <c r="D104" i="23"/>
  <c r="E104" i="23"/>
  <c r="F104" i="23"/>
  <c r="C124" i="23"/>
  <c r="B124" i="23" s="1"/>
  <c r="D124" i="23"/>
  <c r="E124" i="23"/>
  <c r="F124" i="23"/>
  <c r="C103" i="23"/>
  <c r="D103" i="23"/>
  <c r="E103" i="23"/>
  <c r="F103" i="23"/>
  <c r="C138" i="23"/>
  <c r="D138" i="23"/>
  <c r="E138" i="23"/>
  <c r="F138" i="23"/>
  <c r="C113" i="23"/>
  <c r="D113" i="23"/>
  <c r="E113" i="23"/>
  <c r="F113" i="23"/>
  <c r="C131" i="23"/>
  <c r="D131" i="23"/>
  <c r="E131" i="23"/>
  <c r="F131" i="23"/>
  <c r="C108" i="23"/>
  <c r="D108" i="23"/>
  <c r="E108" i="23"/>
  <c r="F108" i="23"/>
  <c r="B108" i="23" s="1"/>
  <c r="G108" i="23" s="1"/>
  <c r="C139" i="23"/>
  <c r="D139" i="23"/>
  <c r="E139" i="23"/>
  <c r="F139" i="23"/>
  <c r="C122" i="23"/>
  <c r="D122" i="23"/>
  <c r="E122" i="23"/>
  <c r="F122" i="23"/>
  <c r="C135" i="23"/>
  <c r="D135" i="23"/>
  <c r="E135" i="23"/>
  <c r="F135" i="23"/>
  <c r="C119" i="23"/>
  <c r="D119" i="23"/>
  <c r="E119" i="23"/>
  <c r="F119" i="23"/>
  <c r="C140" i="23"/>
  <c r="D140" i="23"/>
  <c r="E140" i="23"/>
  <c r="F140" i="23"/>
  <c r="B140" i="23" s="1"/>
  <c r="G140" i="23" s="1"/>
  <c r="C147" i="23"/>
  <c r="D147" i="23"/>
  <c r="E147" i="23"/>
  <c r="F147" i="23"/>
  <c r="C118" i="23"/>
  <c r="D118" i="23"/>
  <c r="E118" i="23"/>
  <c r="F118" i="23"/>
  <c r="C136" i="23"/>
  <c r="D136" i="23"/>
  <c r="E136" i="23"/>
  <c r="F136" i="23"/>
  <c r="C148" i="23"/>
  <c r="D148" i="23"/>
  <c r="E148" i="23"/>
  <c r="F148" i="23"/>
  <c r="C158" i="23"/>
  <c r="D158" i="23"/>
  <c r="E158" i="23"/>
  <c r="F158" i="23"/>
  <c r="B158" i="23" s="1"/>
  <c r="C146" i="23"/>
  <c r="B146" i="23" s="1"/>
  <c r="H146" i="23" s="1"/>
  <c r="D146" i="23"/>
  <c r="E146" i="23"/>
  <c r="F146" i="23"/>
  <c r="C128" i="23"/>
  <c r="D128" i="23"/>
  <c r="E128" i="23"/>
  <c r="F128" i="23"/>
  <c r="C121" i="23"/>
  <c r="D121" i="23"/>
  <c r="E121" i="23"/>
  <c r="F121" i="23"/>
  <c r="C123" i="23"/>
  <c r="D123" i="23"/>
  <c r="E123" i="23"/>
  <c r="F123" i="23"/>
  <c r="C145" i="23"/>
  <c r="D145" i="23"/>
  <c r="E145" i="23"/>
  <c r="F145" i="23"/>
  <c r="B145" i="23" s="1"/>
  <c r="C120" i="23"/>
  <c r="D120" i="23"/>
  <c r="E120" i="23"/>
  <c r="F120" i="23"/>
  <c r="C125" i="23"/>
  <c r="D125" i="23"/>
  <c r="E125" i="23"/>
  <c r="F125" i="23"/>
  <c r="C132" i="23"/>
  <c r="D132" i="23"/>
  <c r="E132" i="23"/>
  <c r="F132" i="23"/>
  <c r="C153" i="23"/>
  <c r="D153" i="23"/>
  <c r="E153" i="23"/>
  <c r="F153" i="23"/>
  <c r="C137" i="23"/>
  <c r="D137" i="23"/>
  <c r="E137" i="23"/>
  <c r="F137" i="23"/>
  <c r="C166" i="23"/>
  <c r="D166" i="23"/>
  <c r="E166" i="23"/>
  <c r="F166" i="23"/>
  <c r="B166" i="23" s="1"/>
  <c r="C159" i="23"/>
  <c r="D159" i="23"/>
  <c r="E159" i="23"/>
  <c r="F159" i="23"/>
  <c r="C152" i="23"/>
  <c r="D152" i="23"/>
  <c r="E152" i="23"/>
  <c r="F152" i="23"/>
  <c r="C154" i="23"/>
  <c r="D154" i="23"/>
  <c r="E154" i="23"/>
  <c r="F154" i="23"/>
  <c r="C144" i="23"/>
  <c r="D144" i="23"/>
  <c r="E144" i="23"/>
  <c r="F144" i="23"/>
  <c r="C157" i="23"/>
  <c r="B157" i="23" s="1"/>
  <c r="G157" i="23" s="1"/>
  <c r="D157" i="23"/>
  <c r="E157" i="23"/>
  <c r="F157" i="23"/>
  <c r="C142" i="23"/>
  <c r="D142" i="23"/>
  <c r="E142" i="23"/>
  <c r="F142" i="23"/>
  <c r="C156" i="23"/>
  <c r="D156" i="23"/>
  <c r="E156" i="23"/>
  <c r="F156" i="23"/>
  <c r="C133" i="23"/>
  <c r="D133" i="23"/>
  <c r="E133" i="23"/>
  <c r="F133" i="23"/>
  <c r="C160" i="23"/>
  <c r="D160" i="23"/>
  <c r="E160" i="23"/>
  <c r="B160" i="23" s="1"/>
  <c r="G160" i="23" s="1"/>
  <c r="F160" i="23"/>
  <c r="C168" i="23"/>
  <c r="B168" i="23" s="1"/>
  <c r="H168" i="23" s="1"/>
  <c r="D168" i="23"/>
  <c r="E168" i="23"/>
  <c r="F168" i="23"/>
  <c r="C164" i="23"/>
  <c r="D164" i="23"/>
  <c r="E164" i="23"/>
  <c r="F164" i="23"/>
  <c r="C167" i="23"/>
  <c r="D167" i="23"/>
  <c r="E167" i="23"/>
  <c r="F167" i="23"/>
  <c r="C165" i="23"/>
  <c r="D165" i="23"/>
  <c r="E165" i="23"/>
  <c r="F165" i="23"/>
  <c r="C150" i="23"/>
  <c r="D150" i="23"/>
  <c r="E150" i="23"/>
  <c r="F150" i="23"/>
  <c r="C161" i="23"/>
  <c r="D161" i="23"/>
  <c r="E161" i="23"/>
  <c r="F161" i="23"/>
  <c r="C149" i="23"/>
  <c r="D149" i="23"/>
  <c r="E149" i="23"/>
  <c r="F149" i="23"/>
  <c r="C163" i="23"/>
  <c r="D163" i="23"/>
  <c r="E163" i="23"/>
  <c r="F163" i="23"/>
  <c r="C141" i="23"/>
  <c r="D141" i="23"/>
  <c r="E141" i="23"/>
  <c r="F141" i="23"/>
  <c r="C151" i="23"/>
  <c r="D151" i="23"/>
  <c r="E151" i="23"/>
  <c r="F151" i="23"/>
  <c r="B151" i="23" s="1"/>
  <c r="G151" i="23" s="1"/>
  <c r="C175" i="23"/>
  <c r="D175" i="23"/>
  <c r="E175" i="23"/>
  <c r="F175" i="23"/>
  <c r="C162" i="23"/>
  <c r="D162" i="23"/>
  <c r="E162" i="23"/>
  <c r="F162" i="23"/>
  <c r="C155" i="23"/>
  <c r="D155" i="23"/>
  <c r="E155" i="23"/>
  <c r="F155" i="23"/>
  <c r="C172" i="23"/>
  <c r="D172" i="23"/>
  <c r="E172" i="23"/>
  <c r="F172" i="23"/>
  <c r="C171" i="23"/>
  <c r="D171" i="23"/>
  <c r="E171" i="23"/>
  <c r="F171" i="23"/>
  <c r="C169" i="23"/>
  <c r="D169" i="23"/>
  <c r="E169" i="23"/>
  <c r="F169" i="23"/>
  <c r="C173" i="23"/>
  <c r="D173" i="23"/>
  <c r="E173" i="23"/>
  <c r="F173" i="23"/>
  <c r="B173" i="23" s="1"/>
  <c r="C174" i="23"/>
  <c r="D174" i="23"/>
  <c r="E174" i="23"/>
  <c r="F174" i="23"/>
  <c r="C187" i="23"/>
  <c r="D187" i="23"/>
  <c r="E187" i="23"/>
  <c r="F187" i="23"/>
  <c r="C170" i="23"/>
  <c r="D170" i="23"/>
  <c r="E170" i="23"/>
  <c r="F170" i="23"/>
  <c r="C178" i="23"/>
  <c r="B178" i="23" s="1"/>
  <c r="D178" i="23"/>
  <c r="E178" i="23"/>
  <c r="F178" i="23"/>
  <c r="C180" i="23"/>
  <c r="D180" i="23"/>
  <c r="E180" i="23"/>
  <c r="F180" i="23"/>
  <c r="C176" i="23"/>
  <c r="D176" i="23"/>
  <c r="E176" i="23"/>
  <c r="F176" i="23"/>
  <c r="C182" i="23"/>
  <c r="D182" i="23"/>
  <c r="E182" i="23"/>
  <c r="F182" i="23"/>
  <c r="C184" i="23"/>
  <c r="D184" i="23"/>
  <c r="E184" i="23"/>
  <c r="F184" i="23"/>
  <c r="C179" i="23"/>
  <c r="D179" i="23"/>
  <c r="E179" i="23"/>
  <c r="F179" i="23"/>
  <c r="C177" i="23"/>
  <c r="D177" i="23"/>
  <c r="E177" i="23"/>
  <c r="F177" i="23"/>
  <c r="C185" i="23"/>
  <c r="D185" i="23"/>
  <c r="E185" i="23"/>
  <c r="F185" i="23"/>
  <c r="C183" i="23"/>
  <c r="D183" i="23"/>
  <c r="E183" i="23"/>
  <c r="F183" i="23"/>
  <c r="C190" i="23"/>
  <c r="D190" i="23"/>
  <c r="E190" i="23"/>
  <c r="F190" i="23"/>
  <c r="C188" i="23"/>
  <c r="D188" i="23"/>
  <c r="E188" i="23"/>
  <c r="F188" i="23"/>
  <c r="C181" i="23"/>
  <c r="D181" i="23"/>
  <c r="E181" i="23"/>
  <c r="F181" i="23"/>
  <c r="C189" i="23"/>
  <c r="D189" i="23"/>
  <c r="E189" i="23"/>
  <c r="F189" i="23"/>
  <c r="C191" i="23"/>
  <c r="D191" i="23"/>
  <c r="E191" i="23"/>
  <c r="F191" i="23"/>
  <c r="C186" i="23"/>
  <c r="D186" i="23"/>
  <c r="E186" i="23"/>
  <c r="F186" i="23"/>
  <c r="B186" i="23" s="1"/>
  <c r="H186" i="23" s="1"/>
  <c r="C192" i="23"/>
  <c r="D192" i="23"/>
  <c r="E192" i="23"/>
  <c r="F192" i="23"/>
  <c r="C193" i="23"/>
  <c r="D193" i="23"/>
  <c r="E193" i="23"/>
  <c r="F193" i="23"/>
  <c r="C194" i="23"/>
  <c r="D194" i="23"/>
  <c r="E194" i="23"/>
  <c r="F194" i="23"/>
  <c r="C195" i="23"/>
  <c r="D195" i="23"/>
  <c r="E195" i="23"/>
  <c r="F195" i="23"/>
  <c r="C196" i="23"/>
  <c r="D196" i="23"/>
  <c r="E196" i="23"/>
  <c r="F196" i="23"/>
  <c r="C197" i="23"/>
  <c r="D197" i="23"/>
  <c r="E197" i="23"/>
  <c r="F197" i="23"/>
  <c r="C198" i="23"/>
  <c r="D198" i="23"/>
  <c r="E198" i="23"/>
  <c r="F198" i="23"/>
  <c r="C199" i="23"/>
  <c r="D199" i="23"/>
  <c r="E199" i="23"/>
  <c r="F199" i="23"/>
  <c r="C200" i="23"/>
  <c r="D200" i="23"/>
  <c r="E200" i="23"/>
  <c r="F200" i="23"/>
  <c r="C201" i="23"/>
  <c r="D201" i="23"/>
  <c r="E201" i="23"/>
  <c r="F201" i="23"/>
  <c r="C202" i="23"/>
  <c r="D202" i="23"/>
  <c r="E202" i="23"/>
  <c r="F202" i="23"/>
  <c r="C203" i="23"/>
  <c r="D203" i="23"/>
  <c r="E203" i="23"/>
  <c r="F203" i="23"/>
  <c r="C204" i="23"/>
  <c r="D204" i="23"/>
  <c r="E204" i="23"/>
  <c r="F204" i="23"/>
  <c r="C205" i="23"/>
  <c r="D205" i="23"/>
  <c r="E205" i="23"/>
  <c r="F205" i="23"/>
  <c r="C206" i="23"/>
  <c r="D206" i="23"/>
  <c r="E206" i="23"/>
  <c r="F206" i="23"/>
  <c r="C207" i="23"/>
  <c r="D207" i="23"/>
  <c r="E207" i="23"/>
  <c r="F207" i="23"/>
  <c r="C208" i="23"/>
  <c r="D208" i="23"/>
  <c r="E208" i="23"/>
  <c r="F208" i="23"/>
  <c r="C209" i="23"/>
  <c r="D209" i="23"/>
  <c r="E209" i="23"/>
  <c r="F209" i="23"/>
  <c r="F11" i="23"/>
  <c r="E11" i="23"/>
  <c r="D11" i="23"/>
  <c r="C11" i="23"/>
  <c r="B11" i="23" s="1"/>
  <c r="H11" i="23" s="1"/>
  <c r="B142" i="23"/>
  <c r="G142" i="23" s="1"/>
  <c r="B120" i="23"/>
  <c r="G120" i="23" s="1"/>
  <c r="B111" i="23"/>
  <c r="B93" i="23"/>
  <c r="G93" i="23" s="1"/>
  <c r="B48" i="23"/>
  <c r="G48" i="23" s="1"/>
  <c r="B65" i="23"/>
  <c r="H65" i="23" s="1"/>
  <c r="B90" i="23"/>
  <c r="H90" i="23" s="1"/>
  <c r="B47" i="23"/>
  <c r="G47" i="23" s="1"/>
  <c r="B38" i="23"/>
  <c r="H38" i="23" s="1"/>
  <c r="B43" i="23"/>
  <c r="G43" i="23" s="1"/>
  <c r="B64" i="23"/>
  <c r="G64" i="23" s="1"/>
  <c r="C11" i="13"/>
  <c r="D11" i="13"/>
  <c r="E11" i="13"/>
  <c r="F11" i="13"/>
  <c r="C12" i="13"/>
  <c r="D12" i="13"/>
  <c r="E12" i="13"/>
  <c r="F12" i="13"/>
  <c r="C13" i="13"/>
  <c r="D13" i="13"/>
  <c r="E13" i="13"/>
  <c r="F13" i="13"/>
  <c r="C14" i="13"/>
  <c r="D14" i="13"/>
  <c r="E14" i="13"/>
  <c r="F14" i="13"/>
  <c r="C15" i="13"/>
  <c r="D15" i="13"/>
  <c r="E15" i="13"/>
  <c r="F15" i="13"/>
  <c r="C16" i="13"/>
  <c r="D16" i="13"/>
  <c r="E16" i="13"/>
  <c r="F16" i="13"/>
  <c r="C17" i="13"/>
  <c r="D17" i="13"/>
  <c r="E17" i="13"/>
  <c r="F17" i="13"/>
  <c r="C18" i="13"/>
  <c r="D18" i="13"/>
  <c r="E18" i="13"/>
  <c r="F18" i="13"/>
  <c r="C19" i="13"/>
  <c r="D19" i="13"/>
  <c r="E19" i="13"/>
  <c r="F19" i="13"/>
  <c r="C20" i="13"/>
  <c r="D20" i="13"/>
  <c r="E20" i="13"/>
  <c r="F20" i="13"/>
  <c r="C21" i="13"/>
  <c r="D21" i="13"/>
  <c r="E21" i="13"/>
  <c r="F21" i="13"/>
  <c r="C22" i="13"/>
  <c r="D22" i="13"/>
  <c r="E22" i="13"/>
  <c r="F22" i="13"/>
  <c r="C23" i="13"/>
  <c r="D23" i="13"/>
  <c r="E23" i="13"/>
  <c r="F23" i="13"/>
  <c r="C24" i="13"/>
  <c r="D24" i="13"/>
  <c r="E24" i="13"/>
  <c r="F24" i="13"/>
  <c r="C25" i="13"/>
  <c r="D25" i="13"/>
  <c r="E25" i="13"/>
  <c r="F25" i="13"/>
  <c r="C26" i="13"/>
  <c r="D26" i="13"/>
  <c r="E26" i="13"/>
  <c r="F26" i="13"/>
  <c r="C27" i="13"/>
  <c r="D27" i="13"/>
  <c r="E27" i="13"/>
  <c r="F27" i="13"/>
  <c r="B27" i="13" s="1"/>
  <c r="H27" i="13" s="1"/>
  <c r="C28" i="13"/>
  <c r="D28" i="13"/>
  <c r="E28" i="13"/>
  <c r="F28" i="13"/>
  <c r="C29" i="13"/>
  <c r="D29" i="13"/>
  <c r="E29" i="13"/>
  <c r="F29" i="13"/>
  <c r="C30" i="13"/>
  <c r="D30" i="13"/>
  <c r="E30" i="13"/>
  <c r="F30" i="13"/>
  <c r="C31" i="13"/>
  <c r="D31" i="13"/>
  <c r="E31" i="13"/>
  <c r="F31" i="13"/>
  <c r="C32" i="13"/>
  <c r="D32" i="13"/>
  <c r="E32" i="13"/>
  <c r="F32" i="13"/>
  <c r="C33" i="13"/>
  <c r="D33" i="13"/>
  <c r="E33" i="13"/>
  <c r="F33" i="13"/>
  <c r="C34" i="13"/>
  <c r="D34" i="13"/>
  <c r="E34" i="13"/>
  <c r="F34" i="13"/>
  <c r="C35" i="13"/>
  <c r="D35" i="13"/>
  <c r="E35" i="13"/>
  <c r="F35" i="13"/>
  <c r="C36" i="13"/>
  <c r="D36" i="13"/>
  <c r="E36" i="13"/>
  <c r="F36" i="13"/>
  <c r="C37" i="13"/>
  <c r="D37" i="13"/>
  <c r="E37" i="13"/>
  <c r="F37" i="13"/>
  <c r="C38" i="13"/>
  <c r="D38" i="13"/>
  <c r="E38" i="13"/>
  <c r="F38" i="13"/>
  <c r="C39" i="13"/>
  <c r="D39" i="13"/>
  <c r="E39" i="13"/>
  <c r="F39" i="13"/>
  <c r="C40" i="13"/>
  <c r="D40" i="13"/>
  <c r="E40" i="13"/>
  <c r="F40" i="13"/>
  <c r="C41" i="13"/>
  <c r="D41" i="13"/>
  <c r="E41" i="13"/>
  <c r="F41" i="13"/>
  <c r="C42" i="13"/>
  <c r="D42" i="13"/>
  <c r="E42" i="13"/>
  <c r="F42" i="13"/>
  <c r="C43" i="13"/>
  <c r="D43" i="13"/>
  <c r="E43" i="13"/>
  <c r="F43" i="13"/>
  <c r="C44" i="13"/>
  <c r="D44" i="13"/>
  <c r="E44" i="13"/>
  <c r="F44" i="13"/>
  <c r="C45" i="13"/>
  <c r="D45" i="13"/>
  <c r="E45" i="13"/>
  <c r="F45" i="13"/>
  <c r="C46" i="13"/>
  <c r="D46" i="13"/>
  <c r="E46" i="13"/>
  <c r="F46" i="13"/>
  <c r="C47" i="13"/>
  <c r="D47" i="13"/>
  <c r="E47" i="13"/>
  <c r="F47" i="13"/>
  <c r="C48" i="13"/>
  <c r="D48" i="13"/>
  <c r="E48" i="13"/>
  <c r="F48" i="13"/>
  <c r="C49" i="13"/>
  <c r="D49" i="13"/>
  <c r="E49" i="13"/>
  <c r="F49" i="13"/>
  <c r="C50" i="13"/>
  <c r="D50" i="13"/>
  <c r="E50" i="13"/>
  <c r="F50" i="13"/>
  <c r="C51" i="13"/>
  <c r="D51" i="13"/>
  <c r="E51" i="13"/>
  <c r="F51" i="13"/>
  <c r="C52" i="13"/>
  <c r="D52" i="13"/>
  <c r="E52" i="13"/>
  <c r="F52" i="13"/>
  <c r="C53" i="13"/>
  <c r="D53" i="13"/>
  <c r="E53" i="13"/>
  <c r="F53" i="13"/>
  <c r="C54" i="13"/>
  <c r="D54" i="13"/>
  <c r="E54" i="13"/>
  <c r="F54" i="13"/>
  <c r="C55" i="13"/>
  <c r="D55" i="13"/>
  <c r="E55" i="13"/>
  <c r="F55" i="13"/>
  <c r="C56" i="13"/>
  <c r="D56" i="13"/>
  <c r="E56" i="13"/>
  <c r="F56" i="13"/>
  <c r="C57" i="13"/>
  <c r="D57" i="13"/>
  <c r="E57" i="13"/>
  <c r="F57" i="13"/>
  <c r="C58" i="13"/>
  <c r="D58" i="13"/>
  <c r="E58" i="13"/>
  <c r="F58" i="13"/>
  <c r="C59" i="13"/>
  <c r="D59" i="13"/>
  <c r="E59" i="13"/>
  <c r="F59" i="13"/>
  <c r="C60" i="13"/>
  <c r="D60" i="13"/>
  <c r="E60" i="13"/>
  <c r="F60" i="13"/>
  <c r="C61" i="13"/>
  <c r="D61" i="13"/>
  <c r="E61" i="13"/>
  <c r="F61" i="13"/>
  <c r="C62" i="13"/>
  <c r="D62" i="13"/>
  <c r="E62" i="13"/>
  <c r="F62" i="13"/>
  <c r="C63" i="13"/>
  <c r="D63" i="13"/>
  <c r="E63" i="13"/>
  <c r="F63" i="13"/>
  <c r="C64" i="13"/>
  <c r="D64" i="13"/>
  <c r="E64" i="13"/>
  <c r="F64" i="13"/>
  <c r="C65" i="13"/>
  <c r="D65" i="13"/>
  <c r="E65" i="13"/>
  <c r="F65" i="13"/>
  <c r="C66" i="13"/>
  <c r="D66" i="13"/>
  <c r="E66" i="13"/>
  <c r="F66" i="13"/>
  <c r="C67" i="13"/>
  <c r="D67" i="13"/>
  <c r="E67" i="13"/>
  <c r="F67" i="13"/>
  <c r="C68" i="13"/>
  <c r="D68" i="13"/>
  <c r="E68" i="13"/>
  <c r="F68" i="13"/>
  <c r="C69" i="13"/>
  <c r="D69" i="13"/>
  <c r="E69" i="13"/>
  <c r="F69" i="13"/>
  <c r="C70" i="13"/>
  <c r="D70" i="13"/>
  <c r="E70" i="13"/>
  <c r="F70" i="13"/>
  <c r="C71" i="13"/>
  <c r="D71" i="13"/>
  <c r="E71" i="13"/>
  <c r="F71" i="13"/>
  <c r="C72" i="13"/>
  <c r="D72" i="13"/>
  <c r="E72" i="13"/>
  <c r="F72" i="13"/>
  <c r="C73" i="13"/>
  <c r="D73" i="13"/>
  <c r="E73" i="13"/>
  <c r="F73" i="13"/>
  <c r="C74" i="13"/>
  <c r="D74" i="13"/>
  <c r="E74" i="13"/>
  <c r="F74" i="13"/>
  <c r="C75" i="13"/>
  <c r="D75" i="13"/>
  <c r="E75" i="13"/>
  <c r="F75" i="13"/>
  <c r="C76" i="13"/>
  <c r="D76" i="13"/>
  <c r="E76" i="13"/>
  <c r="F76" i="13"/>
  <c r="C77" i="13"/>
  <c r="D77" i="13"/>
  <c r="E77" i="13"/>
  <c r="F77" i="13"/>
  <c r="C78" i="13"/>
  <c r="D78" i="13"/>
  <c r="E78" i="13"/>
  <c r="F78" i="13"/>
  <c r="C79" i="13"/>
  <c r="D79" i="13"/>
  <c r="E79" i="13"/>
  <c r="F79" i="13"/>
  <c r="C80" i="13"/>
  <c r="D80" i="13"/>
  <c r="E80" i="13"/>
  <c r="F80" i="13"/>
  <c r="C81" i="13"/>
  <c r="D81" i="13"/>
  <c r="E81" i="13"/>
  <c r="F81" i="13"/>
  <c r="C82" i="13"/>
  <c r="D82" i="13"/>
  <c r="E82" i="13"/>
  <c r="F82" i="13"/>
  <c r="C83" i="13"/>
  <c r="D83" i="13"/>
  <c r="E83" i="13"/>
  <c r="F83" i="13"/>
  <c r="C84" i="13"/>
  <c r="D84" i="13"/>
  <c r="E84" i="13"/>
  <c r="F84" i="13"/>
  <c r="C85" i="13"/>
  <c r="D85" i="13"/>
  <c r="E85" i="13"/>
  <c r="F85" i="13"/>
  <c r="C86" i="13"/>
  <c r="D86" i="13"/>
  <c r="E86" i="13"/>
  <c r="F86" i="13"/>
  <c r="C87" i="13"/>
  <c r="D87" i="13"/>
  <c r="E87" i="13"/>
  <c r="F87" i="13"/>
  <c r="C88" i="13"/>
  <c r="D88" i="13"/>
  <c r="E88" i="13"/>
  <c r="F88" i="13"/>
  <c r="C89" i="13"/>
  <c r="D89" i="13"/>
  <c r="E89" i="13"/>
  <c r="F89" i="13"/>
  <c r="C90" i="13"/>
  <c r="D90" i="13"/>
  <c r="E90" i="13"/>
  <c r="F90" i="13"/>
  <c r="C91" i="13"/>
  <c r="D91" i="13"/>
  <c r="E91" i="13"/>
  <c r="F91" i="13"/>
  <c r="C92" i="13"/>
  <c r="D92" i="13"/>
  <c r="E92" i="13"/>
  <c r="F92" i="13"/>
  <c r="C93" i="13"/>
  <c r="D93" i="13"/>
  <c r="E93" i="13"/>
  <c r="F93" i="13"/>
  <c r="C94" i="13"/>
  <c r="D94" i="13"/>
  <c r="E94" i="13"/>
  <c r="F94" i="13"/>
  <c r="C95" i="13"/>
  <c r="D95" i="13"/>
  <c r="E95" i="13"/>
  <c r="F95" i="13"/>
  <c r="C96" i="13"/>
  <c r="D96" i="13"/>
  <c r="E96" i="13"/>
  <c r="F96" i="13"/>
  <c r="C97" i="13"/>
  <c r="D97" i="13"/>
  <c r="E97" i="13"/>
  <c r="F97" i="13"/>
  <c r="C98" i="13"/>
  <c r="D98" i="13"/>
  <c r="E98" i="13"/>
  <c r="F98" i="13"/>
  <c r="C99" i="13"/>
  <c r="D99" i="13"/>
  <c r="E99" i="13"/>
  <c r="F99" i="13"/>
  <c r="C100" i="13"/>
  <c r="D100" i="13"/>
  <c r="E100" i="13"/>
  <c r="F100" i="13"/>
  <c r="C101" i="13"/>
  <c r="D101" i="13"/>
  <c r="E101" i="13"/>
  <c r="F101" i="13"/>
  <c r="C102" i="13"/>
  <c r="D102" i="13"/>
  <c r="E102" i="13"/>
  <c r="F102" i="13"/>
  <c r="C103" i="13"/>
  <c r="D103" i="13"/>
  <c r="E103" i="13"/>
  <c r="F103" i="13"/>
  <c r="C104" i="13"/>
  <c r="D104" i="13"/>
  <c r="E104" i="13"/>
  <c r="F104" i="13"/>
  <c r="C105" i="13"/>
  <c r="D105" i="13"/>
  <c r="E105" i="13"/>
  <c r="F105" i="13"/>
  <c r="C106" i="13"/>
  <c r="D106" i="13"/>
  <c r="E106" i="13"/>
  <c r="F106" i="13"/>
  <c r="C107" i="13"/>
  <c r="D107" i="13"/>
  <c r="E107" i="13"/>
  <c r="F107" i="13"/>
  <c r="C108" i="13"/>
  <c r="D108" i="13"/>
  <c r="E108" i="13"/>
  <c r="F108" i="13"/>
  <c r="C109" i="13"/>
  <c r="D109" i="13"/>
  <c r="E109" i="13"/>
  <c r="F109" i="13"/>
  <c r="C110" i="13"/>
  <c r="D110" i="13"/>
  <c r="E110" i="13"/>
  <c r="F110" i="13"/>
  <c r="C111" i="13"/>
  <c r="D111" i="13"/>
  <c r="E111" i="13"/>
  <c r="F111" i="13"/>
  <c r="C112" i="13"/>
  <c r="D112" i="13"/>
  <c r="E112" i="13"/>
  <c r="F112" i="13"/>
  <c r="C113" i="13"/>
  <c r="D113" i="13"/>
  <c r="E113" i="13"/>
  <c r="F113" i="13"/>
  <c r="C114" i="13"/>
  <c r="D114" i="13"/>
  <c r="E114" i="13"/>
  <c r="F114" i="13"/>
  <c r="C115" i="13"/>
  <c r="D115" i="13"/>
  <c r="E115" i="13"/>
  <c r="F115" i="13"/>
  <c r="C116" i="13"/>
  <c r="D116" i="13"/>
  <c r="E116" i="13"/>
  <c r="F116" i="13"/>
  <c r="C117" i="13"/>
  <c r="D117" i="13"/>
  <c r="E117" i="13"/>
  <c r="F117" i="13"/>
  <c r="C118" i="13"/>
  <c r="D118" i="13"/>
  <c r="E118" i="13"/>
  <c r="F118" i="13"/>
  <c r="C119" i="13"/>
  <c r="D119" i="13"/>
  <c r="E119" i="13"/>
  <c r="F119" i="13"/>
  <c r="C120" i="13"/>
  <c r="D120" i="13"/>
  <c r="E120" i="13"/>
  <c r="F120" i="13"/>
  <c r="C121" i="13"/>
  <c r="D121" i="13"/>
  <c r="E121" i="13"/>
  <c r="F121" i="13"/>
  <c r="C122" i="13"/>
  <c r="D122" i="13"/>
  <c r="E122" i="13"/>
  <c r="F122" i="13"/>
  <c r="C123" i="13"/>
  <c r="D123" i="13"/>
  <c r="E123" i="13"/>
  <c r="F123" i="13"/>
  <c r="C124" i="13"/>
  <c r="D124" i="13"/>
  <c r="E124" i="13"/>
  <c r="F124" i="13"/>
  <c r="C125" i="13"/>
  <c r="D125" i="13"/>
  <c r="E125" i="13"/>
  <c r="F125" i="13"/>
  <c r="C126" i="13"/>
  <c r="D126" i="13"/>
  <c r="E126" i="13"/>
  <c r="F126" i="13"/>
  <c r="C127" i="13"/>
  <c r="D127" i="13"/>
  <c r="E127" i="13"/>
  <c r="F127" i="13"/>
  <c r="C128" i="13"/>
  <c r="D128" i="13"/>
  <c r="E128" i="13"/>
  <c r="F128" i="13"/>
  <c r="C129" i="13"/>
  <c r="D129" i="13"/>
  <c r="E129" i="13"/>
  <c r="F129" i="13"/>
  <c r="C130" i="13"/>
  <c r="D130" i="13"/>
  <c r="E130" i="13"/>
  <c r="F130" i="13"/>
  <c r="C131" i="13"/>
  <c r="D131" i="13"/>
  <c r="E131" i="13"/>
  <c r="F131" i="13"/>
  <c r="C132" i="13"/>
  <c r="D132" i="13"/>
  <c r="E132" i="13"/>
  <c r="F132" i="13"/>
  <c r="C133" i="13"/>
  <c r="D133" i="13"/>
  <c r="E133" i="13"/>
  <c r="F133" i="13"/>
  <c r="C134" i="13"/>
  <c r="D134" i="13"/>
  <c r="E134" i="13"/>
  <c r="F134" i="13"/>
  <c r="C135" i="13"/>
  <c r="D135" i="13"/>
  <c r="E135" i="13"/>
  <c r="F135" i="13"/>
  <c r="C136" i="13"/>
  <c r="D136" i="13"/>
  <c r="E136" i="13"/>
  <c r="F136" i="13"/>
  <c r="C137" i="13"/>
  <c r="D137" i="13"/>
  <c r="E137" i="13"/>
  <c r="F137" i="13"/>
  <c r="C138" i="13"/>
  <c r="D138" i="13"/>
  <c r="E138" i="13"/>
  <c r="F138" i="13"/>
  <c r="C139" i="13"/>
  <c r="D139" i="13"/>
  <c r="E139" i="13"/>
  <c r="F139" i="13"/>
  <c r="C140" i="13"/>
  <c r="D140" i="13"/>
  <c r="E140" i="13"/>
  <c r="F140" i="13"/>
  <c r="C141" i="13"/>
  <c r="D141" i="13"/>
  <c r="E141" i="13"/>
  <c r="F141" i="13"/>
  <c r="C142" i="13"/>
  <c r="D142" i="13"/>
  <c r="E142" i="13"/>
  <c r="F142" i="13"/>
  <c r="C143" i="13"/>
  <c r="D143" i="13"/>
  <c r="E143" i="13"/>
  <c r="F143" i="13"/>
  <c r="C144" i="13"/>
  <c r="D144" i="13"/>
  <c r="E144" i="13"/>
  <c r="F144" i="13"/>
  <c r="C145" i="13"/>
  <c r="D145" i="13"/>
  <c r="E145" i="13"/>
  <c r="F145" i="13"/>
  <c r="C146" i="13"/>
  <c r="D146" i="13"/>
  <c r="E146" i="13"/>
  <c r="F146" i="13"/>
  <c r="C147" i="13"/>
  <c r="D147" i="13"/>
  <c r="E147" i="13"/>
  <c r="F147" i="13"/>
  <c r="C148" i="13"/>
  <c r="D148" i="13"/>
  <c r="E148" i="13"/>
  <c r="F148" i="13"/>
  <c r="C149" i="13"/>
  <c r="D149" i="13"/>
  <c r="E149" i="13"/>
  <c r="F149" i="13"/>
  <c r="C150" i="13"/>
  <c r="D150" i="13"/>
  <c r="E150" i="13"/>
  <c r="F150" i="13"/>
  <c r="C151" i="13"/>
  <c r="D151" i="13"/>
  <c r="E151" i="13"/>
  <c r="F151" i="13"/>
  <c r="C152" i="13"/>
  <c r="D152" i="13"/>
  <c r="E152" i="13"/>
  <c r="F152" i="13"/>
  <c r="C153" i="13"/>
  <c r="D153" i="13"/>
  <c r="E153" i="13"/>
  <c r="F153" i="13"/>
  <c r="C154" i="13"/>
  <c r="D154" i="13"/>
  <c r="E154" i="13"/>
  <c r="F154" i="13"/>
  <c r="C155" i="13"/>
  <c r="D155" i="13"/>
  <c r="E155" i="13"/>
  <c r="F155" i="13"/>
  <c r="C156" i="13"/>
  <c r="D156" i="13"/>
  <c r="E156" i="13"/>
  <c r="F156" i="13"/>
  <c r="C157" i="13"/>
  <c r="D157" i="13"/>
  <c r="E157" i="13"/>
  <c r="F157" i="13"/>
  <c r="C158" i="13"/>
  <c r="D158" i="13"/>
  <c r="E158" i="13"/>
  <c r="F158" i="13"/>
  <c r="C159" i="13"/>
  <c r="D159" i="13"/>
  <c r="E159" i="13"/>
  <c r="F159" i="13"/>
  <c r="C160" i="13"/>
  <c r="D160" i="13"/>
  <c r="E160" i="13"/>
  <c r="F160" i="13"/>
  <c r="C161" i="13"/>
  <c r="D161" i="13"/>
  <c r="E161" i="13"/>
  <c r="F161" i="13"/>
  <c r="C162" i="13"/>
  <c r="D162" i="13"/>
  <c r="E162" i="13"/>
  <c r="F162" i="13"/>
  <c r="C163" i="13"/>
  <c r="D163" i="13"/>
  <c r="E163" i="13"/>
  <c r="F163" i="13"/>
  <c r="C164" i="13"/>
  <c r="D164" i="13"/>
  <c r="E164" i="13"/>
  <c r="F164" i="13"/>
  <c r="C165" i="13"/>
  <c r="D165" i="13"/>
  <c r="E165" i="13"/>
  <c r="F165" i="13"/>
  <c r="C166" i="13"/>
  <c r="D166" i="13"/>
  <c r="E166" i="13"/>
  <c r="F166" i="13"/>
  <c r="C167" i="13"/>
  <c r="D167" i="13"/>
  <c r="E167" i="13"/>
  <c r="F167" i="13"/>
  <c r="C168" i="13"/>
  <c r="D168" i="13"/>
  <c r="E168" i="13"/>
  <c r="F168" i="13"/>
  <c r="C169" i="13"/>
  <c r="D169" i="13"/>
  <c r="E169" i="13"/>
  <c r="F169" i="13"/>
  <c r="C170" i="13"/>
  <c r="D170" i="13"/>
  <c r="E170" i="13"/>
  <c r="F170" i="13"/>
  <c r="C171" i="13"/>
  <c r="D171" i="13"/>
  <c r="E171" i="13"/>
  <c r="F171" i="13"/>
  <c r="C172" i="13"/>
  <c r="D172" i="13"/>
  <c r="E172" i="13"/>
  <c r="F172" i="13"/>
  <c r="C173" i="13"/>
  <c r="D173" i="13"/>
  <c r="E173" i="13"/>
  <c r="F173" i="13"/>
  <c r="C174" i="13"/>
  <c r="D174" i="13"/>
  <c r="E174" i="13"/>
  <c r="F174" i="13"/>
  <c r="C175" i="13"/>
  <c r="D175" i="13"/>
  <c r="E175" i="13"/>
  <c r="F175" i="13"/>
  <c r="C176" i="13"/>
  <c r="D176" i="13"/>
  <c r="E176" i="13"/>
  <c r="F176" i="13"/>
  <c r="C177" i="13"/>
  <c r="D177" i="13"/>
  <c r="E177" i="13"/>
  <c r="F177" i="13"/>
  <c r="C178" i="13"/>
  <c r="D178" i="13"/>
  <c r="E178" i="13"/>
  <c r="F178" i="13"/>
  <c r="C179" i="13"/>
  <c r="D179" i="13"/>
  <c r="E179" i="13"/>
  <c r="F179" i="13"/>
  <c r="C180" i="13"/>
  <c r="D180" i="13"/>
  <c r="E180" i="13"/>
  <c r="F180" i="13"/>
  <c r="C181" i="13"/>
  <c r="D181" i="13"/>
  <c r="E181" i="13"/>
  <c r="F181" i="13"/>
  <c r="C182" i="13"/>
  <c r="D182" i="13"/>
  <c r="E182" i="13"/>
  <c r="F182" i="13"/>
  <c r="C183" i="13"/>
  <c r="D183" i="13"/>
  <c r="E183" i="13"/>
  <c r="F183" i="13"/>
  <c r="C184" i="13"/>
  <c r="D184" i="13"/>
  <c r="E184" i="13"/>
  <c r="F184" i="13"/>
  <c r="C185" i="13"/>
  <c r="D185" i="13"/>
  <c r="E185" i="13"/>
  <c r="F185" i="13"/>
  <c r="C186" i="13"/>
  <c r="D186" i="13"/>
  <c r="E186" i="13"/>
  <c r="F186" i="13"/>
  <c r="C187" i="13"/>
  <c r="D187" i="13"/>
  <c r="E187" i="13"/>
  <c r="F187" i="13"/>
  <c r="C188" i="13"/>
  <c r="D188" i="13"/>
  <c r="E188" i="13"/>
  <c r="F188" i="13"/>
  <c r="C189" i="13"/>
  <c r="D189" i="13"/>
  <c r="E189" i="13"/>
  <c r="F189" i="13"/>
  <c r="C190" i="13"/>
  <c r="D190" i="13"/>
  <c r="E190" i="13"/>
  <c r="F190" i="13"/>
  <c r="C191" i="13"/>
  <c r="D191" i="13"/>
  <c r="E191" i="13"/>
  <c r="F191" i="13"/>
  <c r="C192" i="13"/>
  <c r="D192" i="13"/>
  <c r="E192" i="13"/>
  <c r="F192" i="13"/>
  <c r="C193" i="13"/>
  <c r="D193" i="13"/>
  <c r="E193" i="13"/>
  <c r="F193" i="13"/>
  <c r="C194" i="13"/>
  <c r="D194" i="13"/>
  <c r="E194" i="13"/>
  <c r="F194" i="13"/>
  <c r="C195" i="13"/>
  <c r="D195" i="13"/>
  <c r="E195" i="13"/>
  <c r="F195" i="13"/>
  <c r="C196" i="13"/>
  <c r="D196" i="13"/>
  <c r="E196" i="13"/>
  <c r="F196" i="13"/>
  <c r="C197" i="13"/>
  <c r="D197" i="13"/>
  <c r="E197" i="13"/>
  <c r="F197" i="13"/>
  <c r="C198" i="13"/>
  <c r="D198" i="13"/>
  <c r="E198" i="13"/>
  <c r="F198" i="13"/>
  <c r="C199" i="13"/>
  <c r="D199" i="13"/>
  <c r="E199" i="13"/>
  <c r="F199" i="13"/>
  <c r="C200" i="13"/>
  <c r="D200" i="13"/>
  <c r="E200" i="13"/>
  <c r="F200" i="13"/>
  <c r="C201" i="13"/>
  <c r="D201" i="13"/>
  <c r="E201" i="13"/>
  <c r="F201" i="13"/>
  <c r="C202" i="13"/>
  <c r="D202" i="13"/>
  <c r="E202" i="13"/>
  <c r="F202" i="13"/>
  <c r="C203" i="13"/>
  <c r="D203" i="13"/>
  <c r="E203" i="13"/>
  <c r="F203" i="13"/>
  <c r="C204" i="13"/>
  <c r="D204" i="13"/>
  <c r="E204" i="13"/>
  <c r="F204" i="13"/>
  <c r="C205" i="13"/>
  <c r="D205" i="13"/>
  <c r="E205" i="13"/>
  <c r="F205" i="13"/>
  <c r="C206" i="13"/>
  <c r="D206" i="13"/>
  <c r="E206" i="13"/>
  <c r="F206" i="13"/>
  <c r="C207" i="13"/>
  <c r="D207" i="13"/>
  <c r="E207" i="13"/>
  <c r="F207" i="13"/>
  <c r="C208" i="13"/>
  <c r="D208" i="13"/>
  <c r="E208" i="13"/>
  <c r="F208" i="13"/>
  <c r="C209" i="13"/>
  <c r="D209" i="13"/>
  <c r="E209" i="13"/>
  <c r="F209" i="13"/>
  <c r="C11" i="18"/>
  <c r="D11" i="18"/>
  <c r="E11" i="18"/>
  <c r="F11" i="18"/>
  <c r="C12" i="18"/>
  <c r="D12" i="18"/>
  <c r="E12" i="18"/>
  <c r="F12" i="18"/>
  <c r="C13" i="18"/>
  <c r="D13" i="18"/>
  <c r="E13" i="18"/>
  <c r="F13" i="18"/>
  <c r="C14" i="18"/>
  <c r="D14" i="18"/>
  <c r="E14" i="18"/>
  <c r="F14" i="18"/>
  <c r="C15" i="18"/>
  <c r="D15" i="18"/>
  <c r="E15" i="18"/>
  <c r="F15" i="18"/>
  <c r="C16" i="18"/>
  <c r="D16" i="18"/>
  <c r="E16" i="18"/>
  <c r="F16" i="18"/>
  <c r="C17" i="18"/>
  <c r="D17" i="18"/>
  <c r="E17" i="18"/>
  <c r="F17" i="18"/>
  <c r="C18" i="18"/>
  <c r="D18" i="18"/>
  <c r="E18" i="18"/>
  <c r="F18" i="18"/>
  <c r="C19" i="18"/>
  <c r="D19" i="18"/>
  <c r="E19" i="18"/>
  <c r="F19" i="18"/>
  <c r="C20" i="18"/>
  <c r="D20" i="18"/>
  <c r="E20" i="18"/>
  <c r="F20" i="18"/>
  <c r="C21" i="18"/>
  <c r="B21" i="18" s="1"/>
  <c r="H21" i="18" s="1"/>
  <c r="D21" i="18"/>
  <c r="E21" i="18"/>
  <c r="F21" i="18"/>
  <c r="C22" i="18"/>
  <c r="D22" i="18"/>
  <c r="E22" i="18"/>
  <c r="F22" i="18"/>
  <c r="C23" i="18"/>
  <c r="D23" i="18"/>
  <c r="E23" i="18"/>
  <c r="F23" i="18"/>
  <c r="C24" i="18"/>
  <c r="D24" i="18"/>
  <c r="E24" i="18"/>
  <c r="F24" i="18"/>
  <c r="C25" i="18"/>
  <c r="D25" i="18"/>
  <c r="E25" i="18"/>
  <c r="F25" i="18"/>
  <c r="C26" i="18"/>
  <c r="D26" i="18"/>
  <c r="E26" i="18"/>
  <c r="F26" i="18"/>
  <c r="C27" i="18"/>
  <c r="D27" i="18"/>
  <c r="E27" i="18"/>
  <c r="F27" i="18"/>
  <c r="C28" i="18"/>
  <c r="D28" i="18"/>
  <c r="E28" i="18"/>
  <c r="F28" i="18"/>
  <c r="C29" i="18"/>
  <c r="D29" i="18"/>
  <c r="E29" i="18"/>
  <c r="F29" i="18"/>
  <c r="C30" i="18"/>
  <c r="D30" i="18"/>
  <c r="E30" i="18"/>
  <c r="F30" i="18"/>
  <c r="C31" i="18"/>
  <c r="D31" i="18"/>
  <c r="E31" i="18"/>
  <c r="F31" i="18"/>
  <c r="C32" i="18"/>
  <c r="D32" i="18"/>
  <c r="E32" i="18"/>
  <c r="F32" i="18"/>
  <c r="C33" i="18"/>
  <c r="D33" i="18"/>
  <c r="E33" i="18"/>
  <c r="F33" i="18"/>
  <c r="C34" i="18"/>
  <c r="D34" i="18"/>
  <c r="E34" i="18"/>
  <c r="F34" i="18"/>
  <c r="C35" i="18"/>
  <c r="D35" i="18"/>
  <c r="E35" i="18"/>
  <c r="F35" i="18"/>
  <c r="C36" i="18"/>
  <c r="D36" i="18"/>
  <c r="E36" i="18"/>
  <c r="F36" i="18"/>
  <c r="C37" i="18"/>
  <c r="D37" i="18"/>
  <c r="E37" i="18"/>
  <c r="F37" i="18"/>
  <c r="C38" i="18"/>
  <c r="D38" i="18"/>
  <c r="E38" i="18"/>
  <c r="F38" i="18"/>
  <c r="C39" i="18"/>
  <c r="D39" i="18"/>
  <c r="E39" i="18"/>
  <c r="F39" i="18"/>
  <c r="C40" i="18"/>
  <c r="D40" i="18"/>
  <c r="E40" i="18"/>
  <c r="F40" i="18"/>
  <c r="C41" i="18"/>
  <c r="D41" i="18"/>
  <c r="E41" i="18"/>
  <c r="F41" i="18"/>
  <c r="C42" i="18"/>
  <c r="D42" i="18"/>
  <c r="E42" i="18"/>
  <c r="F42" i="18"/>
  <c r="C43" i="18"/>
  <c r="D43" i="18"/>
  <c r="E43" i="18"/>
  <c r="F43" i="18"/>
  <c r="C44" i="18"/>
  <c r="D44" i="18"/>
  <c r="E44" i="18"/>
  <c r="F44" i="18"/>
  <c r="C45" i="18"/>
  <c r="D45" i="18"/>
  <c r="E45" i="18"/>
  <c r="F45" i="18"/>
  <c r="C46" i="18"/>
  <c r="B46" i="18" s="1"/>
  <c r="H46" i="18" s="1"/>
  <c r="D46" i="18"/>
  <c r="E46" i="18"/>
  <c r="F46" i="18"/>
  <c r="C47" i="18"/>
  <c r="D47" i="18"/>
  <c r="E47" i="18"/>
  <c r="F47" i="18"/>
  <c r="C48" i="18"/>
  <c r="D48" i="18"/>
  <c r="E48" i="18"/>
  <c r="F48" i="18"/>
  <c r="C49" i="18"/>
  <c r="D49" i="18"/>
  <c r="E49" i="18"/>
  <c r="F49" i="18"/>
  <c r="C50" i="18"/>
  <c r="D50" i="18"/>
  <c r="E50" i="18"/>
  <c r="F50" i="18"/>
  <c r="C51" i="18"/>
  <c r="D51" i="18"/>
  <c r="E51" i="18"/>
  <c r="F51" i="18"/>
  <c r="C52" i="18"/>
  <c r="D52" i="18"/>
  <c r="E52" i="18"/>
  <c r="F52" i="18"/>
  <c r="C53" i="18"/>
  <c r="D53" i="18"/>
  <c r="E53" i="18"/>
  <c r="F53" i="18"/>
  <c r="C54" i="18"/>
  <c r="D54" i="18"/>
  <c r="E54" i="18"/>
  <c r="F54" i="18"/>
  <c r="C55" i="18"/>
  <c r="D55" i="18"/>
  <c r="E55" i="18"/>
  <c r="F55" i="18"/>
  <c r="C56" i="18"/>
  <c r="D56" i="18"/>
  <c r="E56" i="18"/>
  <c r="F56" i="18"/>
  <c r="C57" i="18"/>
  <c r="D57" i="18"/>
  <c r="E57" i="18"/>
  <c r="F57" i="18"/>
  <c r="C58" i="18"/>
  <c r="D58" i="18"/>
  <c r="E58" i="18"/>
  <c r="F58" i="18"/>
  <c r="C59" i="18"/>
  <c r="D59" i="18"/>
  <c r="E59" i="18"/>
  <c r="F59" i="18"/>
  <c r="C60" i="18"/>
  <c r="D60" i="18"/>
  <c r="E60" i="18"/>
  <c r="F60" i="18"/>
  <c r="C61" i="18"/>
  <c r="B61" i="18" s="1"/>
  <c r="D61" i="18"/>
  <c r="E61" i="18"/>
  <c r="F61" i="18"/>
  <c r="C62" i="18"/>
  <c r="D62" i="18"/>
  <c r="E62" i="18"/>
  <c r="F62" i="18"/>
  <c r="C63" i="18"/>
  <c r="D63" i="18"/>
  <c r="E63" i="18"/>
  <c r="F63" i="18"/>
  <c r="C64" i="18"/>
  <c r="D64" i="18"/>
  <c r="E64" i="18"/>
  <c r="F64" i="18"/>
  <c r="C65" i="18"/>
  <c r="D65" i="18"/>
  <c r="E65" i="18"/>
  <c r="F65" i="18"/>
  <c r="C66" i="18"/>
  <c r="D66" i="18"/>
  <c r="E66" i="18"/>
  <c r="F66" i="18"/>
  <c r="C67" i="18"/>
  <c r="D67" i="18"/>
  <c r="E67" i="18"/>
  <c r="F67" i="18"/>
  <c r="C68" i="18"/>
  <c r="D68" i="18"/>
  <c r="E68" i="18"/>
  <c r="F68" i="18"/>
  <c r="C69" i="18"/>
  <c r="D69" i="18"/>
  <c r="E69" i="18"/>
  <c r="F69" i="18"/>
  <c r="C70" i="18"/>
  <c r="D70" i="18"/>
  <c r="E70" i="18"/>
  <c r="F70" i="18"/>
  <c r="C71" i="18"/>
  <c r="D71" i="18"/>
  <c r="E71" i="18"/>
  <c r="F71" i="18"/>
  <c r="C72" i="18"/>
  <c r="D72" i="18"/>
  <c r="E72" i="18"/>
  <c r="F72" i="18"/>
  <c r="C73" i="18"/>
  <c r="D73" i="18"/>
  <c r="E73" i="18"/>
  <c r="F73" i="18"/>
  <c r="C74" i="18"/>
  <c r="D74" i="18"/>
  <c r="E74" i="18"/>
  <c r="F74" i="18"/>
  <c r="C75" i="18"/>
  <c r="D75" i="18"/>
  <c r="E75" i="18"/>
  <c r="F75" i="18"/>
  <c r="C76" i="18"/>
  <c r="D76" i="18"/>
  <c r="E76" i="18"/>
  <c r="F76" i="18"/>
  <c r="C77" i="18"/>
  <c r="D77" i="18"/>
  <c r="E77" i="18"/>
  <c r="F77" i="18"/>
  <c r="C78" i="18"/>
  <c r="D78" i="18"/>
  <c r="E78" i="18"/>
  <c r="F78" i="18"/>
  <c r="C79" i="18"/>
  <c r="D79" i="18"/>
  <c r="E79" i="18"/>
  <c r="F79" i="18"/>
  <c r="C80" i="18"/>
  <c r="D80" i="18"/>
  <c r="E80" i="18"/>
  <c r="F80" i="18"/>
  <c r="C81" i="18"/>
  <c r="D81" i="18"/>
  <c r="E81" i="18"/>
  <c r="F81" i="18"/>
  <c r="C82" i="18"/>
  <c r="D82" i="18"/>
  <c r="E82" i="18"/>
  <c r="F82" i="18"/>
  <c r="C83" i="18"/>
  <c r="D83" i="18"/>
  <c r="E83" i="18"/>
  <c r="F83" i="18"/>
  <c r="C84" i="18"/>
  <c r="D84" i="18"/>
  <c r="E84" i="18"/>
  <c r="F84" i="18"/>
  <c r="C85" i="18"/>
  <c r="D85" i="18"/>
  <c r="E85" i="18"/>
  <c r="F85" i="18"/>
  <c r="C86" i="18"/>
  <c r="B86" i="18" s="1"/>
  <c r="D86" i="18"/>
  <c r="E86" i="18"/>
  <c r="F86" i="18"/>
  <c r="C87" i="18"/>
  <c r="D87" i="18"/>
  <c r="E87" i="18"/>
  <c r="F87" i="18"/>
  <c r="C88" i="18"/>
  <c r="D88" i="18"/>
  <c r="E88" i="18"/>
  <c r="F88" i="18"/>
  <c r="C89" i="18"/>
  <c r="D89" i="18"/>
  <c r="E89" i="18"/>
  <c r="F89" i="18"/>
  <c r="C90" i="18"/>
  <c r="D90" i="18"/>
  <c r="E90" i="18"/>
  <c r="F90" i="18"/>
  <c r="C91" i="18"/>
  <c r="D91" i="18"/>
  <c r="B91" i="18" s="1"/>
  <c r="H91" i="18" s="1"/>
  <c r="E91" i="18"/>
  <c r="F91" i="18"/>
  <c r="C92" i="18"/>
  <c r="D92" i="18"/>
  <c r="E92" i="18"/>
  <c r="F92" i="18"/>
  <c r="C93" i="18"/>
  <c r="D93" i="18"/>
  <c r="E93" i="18"/>
  <c r="F93" i="18"/>
  <c r="C94" i="18"/>
  <c r="D94" i="18"/>
  <c r="E94" i="18"/>
  <c r="F94" i="18"/>
  <c r="C95" i="18"/>
  <c r="D95" i="18"/>
  <c r="E95" i="18"/>
  <c r="F95" i="18"/>
  <c r="C96" i="18"/>
  <c r="D96" i="18"/>
  <c r="E96" i="18"/>
  <c r="F96" i="18"/>
  <c r="C97" i="18"/>
  <c r="D97" i="18"/>
  <c r="E97" i="18"/>
  <c r="F97" i="18"/>
  <c r="C98" i="18"/>
  <c r="D98" i="18"/>
  <c r="E98" i="18"/>
  <c r="F98" i="18"/>
  <c r="C99" i="18"/>
  <c r="D99" i="18"/>
  <c r="E99" i="18"/>
  <c r="F99" i="18"/>
  <c r="C100" i="18"/>
  <c r="D100" i="18"/>
  <c r="E100" i="18"/>
  <c r="F100" i="18"/>
  <c r="C101" i="18"/>
  <c r="D101" i="18"/>
  <c r="E101" i="18"/>
  <c r="F101" i="18"/>
  <c r="C102" i="18"/>
  <c r="D102" i="18"/>
  <c r="E102" i="18"/>
  <c r="F102" i="18"/>
  <c r="C103" i="18"/>
  <c r="D103" i="18"/>
  <c r="E103" i="18"/>
  <c r="F103" i="18"/>
  <c r="C104" i="18"/>
  <c r="D104" i="18"/>
  <c r="E104" i="18"/>
  <c r="F104" i="18"/>
  <c r="C105" i="18"/>
  <c r="D105" i="18"/>
  <c r="E105" i="18"/>
  <c r="F105" i="18"/>
  <c r="C106" i="18"/>
  <c r="D106" i="18"/>
  <c r="E106" i="18"/>
  <c r="F106" i="18"/>
  <c r="C107" i="18"/>
  <c r="D107" i="18"/>
  <c r="E107" i="18"/>
  <c r="F107" i="18"/>
  <c r="C108" i="18"/>
  <c r="D108" i="18"/>
  <c r="E108" i="18"/>
  <c r="F108" i="18"/>
  <c r="C109" i="18"/>
  <c r="D109" i="18"/>
  <c r="E109" i="18"/>
  <c r="F109" i="18"/>
  <c r="C110" i="18"/>
  <c r="D110" i="18"/>
  <c r="E110" i="18"/>
  <c r="F110" i="18"/>
  <c r="C111" i="18"/>
  <c r="D111" i="18"/>
  <c r="E111" i="18"/>
  <c r="B111" i="18" s="1"/>
  <c r="F111" i="18"/>
  <c r="C112" i="18"/>
  <c r="D112" i="18"/>
  <c r="E112" i="18"/>
  <c r="F112" i="18"/>
  <c r="C113" i="18"/>
  <c r="D113" i="18"/>
  <c r="E113" i="18"/>
  <c r="F113" i="18"/>
  <c r="C114" i="18"/>
  <c r="D114" i="18"/>
  <c r="E114" i="18"/>
  <c r="F114" i="18"/>
  <c r="C115" i="18"/>
  <c r="D115" i="18"/>
  <c r="E115" i="18"/>
  <c r="F115" i="18"/>
  <c r="C116" i="18"/>
  <c r="D116" i="18"/>
  <c r="E116" i="18"/>
  <c r="F116" i="18"/>
  <c r="C117" i="18"/>
  <c r="D117" i="18"/>
  <c r="E117" i="18"/>
  <c r="F117" i="18"/>
  <c r="C118" i="18"/>
  <c r="D118" i="18"/>
  <c r="E118" i="18"/>
  <c r="F118" i="18"/>
  <c r="C119" i="18"/>
  <c r="D119" i="18"/>
  <c r="E119" i="18"/>
  <c r="F119" i="18"/>
  <c r="C120" i="18"/>
  <c r="D120" i="18"/>
  <c r="E120" i="18"/>
  <c r="F120" i="18"/>
  <c r="C121" i="18"/>
  <c r="D121" i="18"/>
  <c r="E121" i="18"/>
  <c r="F121" i="18"/>
  <c r="C122" i="18"/>
  <c r="D122" i="18"/>
  <c r="E122" i="18"/>
  <c r="F122" i="18"/>
  <c r="C123" i="18"/>
  <c r="D123" i="18"/>
  <c r="E123" i="18"/>
  <c r="F123" i="18"/>
  <c r="C124" i="18"/>
  <c r="D124" i="18"/>
  <c r="E124" i="18"/>
  <c r="F124" i="18"/>
  <c r="C125" i="18"/>
  <c r="D125" i="18"/>
  <c r="E125" i="18"/>
  <c r="F125" i="18"/>
  <c r="C126" i="18"/>
  <c r="D126" i="18"/>
  <c r="E126" i="18"/>
  <c r="F126" i="18"/>
  <c r="C127" i="18"/>
  <c r="D127" i="18"/>
  <c r="E127" i="18"/>
  <c r="F127" i="18"/>
  <c r="C128" i="18"/>
  <c r="D128" i="18"/>
  <c r="E128" i="18"/>
  <c r="F128" i="18"/>
  <c r="C129" i="18"/>
  <c r="D129" i="18"/>
  <c r="E129" i="18"/>
  <c r="F129" i="18"/>
  <c r="C130" i="18"/>
  <c r="D130" i="18"/>
  <c r="E130" i="18"/>
  <c r="F130" i="18"/>
  <c r="C131" i="18"/>
  <c r="D131" i="18"/>
  <c r="E131" i="18"/>
  <c r="B131" i="18" s="1"/>
  <c r="H131" i="18" s="1"/>
  <c r="F131" i="18"/>
  <c r="C132" i="18"/>
  <c r="D132" i="18"/>
  <c r="E132" i="18"/>
  <c r="F132" i="18"/>
  <c r="C133" i="18"/>
  <c r="D133" i="18"/>
  <c r="E133" i="18"/>
  <c r="F133" i="18"/>
  <c r="C134" i="18"/>
  <c r="D134" i="18"/>
  <c r="E134" i="18"/>
  <c r="F134" i="18"/>
  <c r="C135" i="18"/>
  <c r="D135" i="18"/>
  <c r="E135" i="18"/>
  <c r="F135" i="18"/>
  <c r="C136" i="18"/>
  <c r="D136" i="18"/>
  <c r="E136" i="18"/>
  <c r="F136" i="18"/>
  <c r="C137" i="18"/>
  <c r="D137" i="18"/>
  <c r="E137" i="18"/>
  <c r="F137" i="18"/>
  <c r="C138" i="18"/>
  <c r="D138" i="18"/>
  <c r="E138" i="18"/>
  <c r="F138" i="18"/>
  <c r="C139" i="18"/>
  <c r="D139" i="18"/>
  <c r="E139" i="18"/>
  <c r="F139" i="18"/>
  <c r="C140" i="18"/>
  <c r="D140" i="18"/>
  <c r="E140" i="18"/>
  <c r="F140" i="18"/>
  <c r="C141" i="18"/>
  <c r="D141" i="18"/>
  <c r="E141" i="18"/>
  <c r="F141" i="18"/>
  <c r="C142" i="18"/>
  <c r="D142" i="18"/>
  <c r="E142" i="18"/>
  <c r="F142" i="18"/>
  <c r="C143" i="18"/>
  <c r="D143" i="18"/>
  <c r="E143" i="18"/>
  <c r="F143" i="18"/>
  <c r="C144" i="18"/>
  <c r="D144" i="18"/>
  <c r="E144" i="18"/>
  <c r="F144" i="18"/>
  <c r="C145" i="18"/>
  <c r="D145" i="18"/>
  <c r="E145" i="18"/>
  <c r="F145" i="18"/>
  <c r="C146" i="18"/>
  <c r="D146" i="18"/>
  <c r="E146" i="18"/>
  <c r="F146" i="18"/>
  <c r="C147" i="18"/>
  <c r="D147" i="18"/>
  <c r="E147" i="18"/>
  <c r="F147" i="18"/>
  <c r="C148" i="18"/>
  <c r="D148" i="18"/>
  <c r="E148" i="18"/>
  <c r="F148" i="18"/>
  <c r="C149" i="18"/>
  <c r="D149" i="18"/>
  <c r="E149" i="18"/>
  <c r="F149" i="18"/>
  <c r="C150" i="18"/>
  <c r="D150" i="18"/>
  <c r="E150" i="18"/>
  <c r="F150" i="18"/>
  <c r="C151" i="18"/>
  <c r="D151" i="18"/>
  <c r="E151" i="18"/>
  <c r="F151" i="18"/>
  <c r="C152" i="18"/>
  <c r="D152" i="18"/>
  <c r="E152" i="18"/>
  <c r="F152" i="18"/>
  <c r="C153" i="18"/>
  <c r="D153" i="18"/>
  <c r="E153" i="18"/>
  <c r="F153" i="18"/>
  <c r="C154" i="18"/>
  <c r="D154" i="18"/>
  <c r="E154" i="18"/>
  <c r="F154" i="18"/>
  <c r="C155" i="18"/>
  <c r="D155" i="18"/>
  <c r="E155" i="18"/>
  <c r="F155" i="18"/>
  <c r="C156" i="18"/>
  <c r="D156" i="18"/>
  <c r="E156" i="18"/>
  <c r="F156" i="18"/>
  <c r="C157" i="18"/>
  <c r="D157" i="18"/>
  <c r="E157" i="18"/>
  <c r="F157" i="18"/>
  <c r="C158" i="18"/>
  <c r="D158" i="18"/>
  <c r="E158" i="18"/>
  <c r="F158" i="18"/>
  <c r="C159" i="18"/>
  <c r="D159" i="18"/>
  <c r="E159" i="18"/>
  <c r="F159" i="18"/>
  <c r="C160" i="18"/>
  <c r="D160" i="18"/>
  <c r="E160" i="18"/>
  <c r="F160" i="18"/>
  <c r="C161" i="18"/>
  <c r="D161" i="18"/>
  <c r="E161" i="18"/>
  <c r="F161" i="18"/>
  <c r="C162" i="18"/>
  <c r="D162" i="18"/>
  <c r="E162" i="18"/>
  <c r="F162" i="18"/>
  <c r="C163" i="18"/>
  <c r="D163" i="18"/>
  <c r="E163" i="18"/>
  <c r="F163" i="18"/>
  <c r="C164" i="18"/>
  <c r="D164" i="18"/>
  <c r="E164" i="18"/>
  <c r="F164" i="18"/>
  <c r="C165" i="18"/>
  <c r="D165" i="18"/>
  <c r="E165" i="18"/>
  <c r="F165" i="18"/>
  <c r="C166" i="18"/>
  <c r="D166" i="18"/>
  <c r="E166" i="18"/>
  <c r="F166" i="18"/>
  <c r="C167" i="18"/>
  <c r="D167" i="18"/>
  <c r="E167" i="18"/>
  <c r="F167" i="18"/>
  <c r="C168" i="18"/>
  <c r="D168" i="18"/>
  <c r="E168" i="18"/>
  <c r="F168" i="18"/>
  <c r="C169" i="18"/>
  <c r="D169" i="18"/>
  <c r="E169" i="18"/>
  <c r="F169" i="18"/>
  <c r="C170" i="18"/>
  <c r="D170" i="18"/>
  <c r="E170" i="18"/>
  <c r="F170" i="18"/>
  <c r="C171" i="18"/>
  <c r="D171" i="18"/>
  <c r="E171" i="18"/>
  <c r="F171" i="18"/>
  <c r="C172" i="18"/>
  <c r="D172" i="18"/>
  <c r="E172" i="18"/>
  <c r="F172" i="18"/>
  <c r="C173" i="18"/>
  <c r="D173" i="18"/>
  <c r="E173" i="18"/>
  <c r="F173" i="18"/>
  <c r="C174" i="18"/>
  <c r="D174" i="18"/>
  <c r="E174" i="18"/>
  <c r="F174" i="18"/>
  <c r="C175" i="18"/>
  <c r="D175" i="18"/>
  <c r="E175" i="18"/>
  <c r="F175" i="18"/>
  <c r="C176" i="18"/>
  <c r="D176" i="18"/>
  <c r="E176" i="18"/>
  <c r="F176" i="18"/>
  <c r="C177" i="18"/>
  <c r="D177" i="18"/>
  <c r="E177" i="18"/>
  <c r="F177" i="18"/>
  <c r="C178" i="18"/>
  <c r="D178" i="18"/>
  <c r="E178" i="18"/>
  <c r="F178" i="18"/>
  <c r="C179" i="18"/>
  <c r="D179" i="18"/>
  <c r="E179" i="18"/>
  <c r="F179" i="18"/>
  <c r="C180" i="18"/>
  <c r="D180" i="18"/>
  <c r="E180" i="18"/>
  <c r="F180" i="18"/>
  <c r="C181" i="18"/>
  <c r="D181" i="18"/>
  <c r="E181" i="18"/>
  <c r="F181" i="18"/>
  <c r="C182" i="18"/>
  <c r="D182" i="18"/>
  <c r="E182" i="18"/>
  <c r="F182" i="18"/>
  <c r="C183" i="18"/>
  <c r="D183" i="18"/>
  <c r="E183" i="18"/>
  <c r="F183" i="18"/>
  <c r="C184" i="18"/>
  <c r="D184" i="18"/>
  <c r="E184" i="18"/>
  <c r="F184" i="18"/>
  <c r="C185" i="18"/>
  <c r="D185" i="18"/>
  <c r="E185" i="18"/>
  <c r="F185" i="18"/>
  <c r="C186" i="18"/>
  <c r="D186" i="18"/>
  <c r="E186" i="18"/>
  <c r="F186" i="18"/>
  <c r="C187" i="18"/>
  <c r="D187" i="18"/>
  <c r="E187" i="18"/>
  <c r="F187" i="18"/>
  <c r="C188" i="18"/>
  <c r="D188" i="18"/>
  <c r="E188" i="18"/>
  <c r="F188" i="18"/>
  <c r="C189" i="18"/>
  <c r="D189" i="18"/>
  <c r="E189" i="18"/>
  <c r="F189" i="18"/>
  <c r="C190" i="18"/>
  <c r="D190" i="18"/>
  <c r="E190" i="18"/>
  <c r="F190" i="18"/>
  <c r="C191" i="18"/>
  <c r="D191" i="18"/>
  <c r="E191" i="18"/>
  <c r="F191" i="18"/>
  <c r="C192" i="18"/>
  <c r="D192" i="18"/>
  <c r="E192" i="18"/>
  <c r="F192" i="18"/>
  <c r="C193" i="18"/>
  <c r="D193" i="18"/>
  <c r="E193" i="18"/>
  <c r="F193" i="18"/>
  <c r="C194" i="18"/>
  <c r="D194" i="18"/>
  <c r="E194" i="18"/>
  <c r="F194" i="18"/>
  <c r="C195" i="18"/>
  <c r="D195" i="18"/>
  <c r="E195" i="18"/>
  <c r="F195" i="18"/>
  <c r="C196" i="18"/>
  <c r="D196" i="18"/>
  <c r="E196" i="18"/>
  <c r="F196" i="18"/>
  <c r="C197" i="18"/>
  <c r="D197" i="18"/>
  <c r="E197" i="18"/>
  <c r="F197" i="18"/>
  <c r="C198" i="18"/>
  <c r="D198" i="18"/>
  <c r="E198" i="18"/>
  <c r="F198" i="18"/>
  <c r="C199" i="18"/>
  <c r="D199" i="18"/>
  <c r="E199" i="18"/>
  <c r="F199" i="18"/>
  <c r="C200" i="18"/>
  <c r="D200" i="18"/>
  <c r="E200" i="18"/>
  <c r="F200" i="18"/>
  <c r="C201" i="18"/>
  <c r="D201" i="18"/>
  <c r="E201" i="18"/>
  <c r="F201" i="18"/>
  <c r="C202" i="18"/>
  <c r="D202" i="18"/>
  <c r="E202" i="18"/>
  <c r="F202" i="18"/>
  <c r="C203" i="18"/>
  <c r="D203" i="18"/>
  <c r="E203" i="18"/>
  <c r="F203" i="18"/>
  <c r="C204" i="18"/>
  <c r="D204" i="18"/>
  <c r="E204" i="18"/>
  <c r="F204" i="18"/>
  <c r="C205" i="18"/>
  <c r="D205" i="18"/>
  <c r="E205" i="18"/>
  <c r="F205" i="18"/>
  <c r="C206" i="18"/>
  <c r="D206" i="18"/>
  <c r="E206" i="18"/>
  <c r="F206" i="18"/>
  <c r="C207" i="18"/>
  <c r="D207" i="18"/>
  <c r="E207" i="18"/>
  <c r="F207" i="18"/>
  <c r="C208" i="18"/>
  <c r="D208" i="18"/>
  <c r="E208" i="18"/>
  <c r="F208" i="18"/>
  <c r="C209" i="18"/>
  <c r="D209" i="18"/>
  <c r="E209" i="18"/>
  <c r="F209" i="18"/>
  <c r="C11" i="6"/>
  <c r="D11" i="6"/>
  <c r="E11" i="6"/>
  <c r="F11" i="6"/>
  <c r="C12" i="6"/>
  <c r="D12" i="6"/>
  <c r="E12" i="6"/>
  <c r="F12" i="6"/>
  <c r="C13" i="6"/>
  <c r="D13" i="6"/>
  <c r="E13" i="6"/>
  <c r="F13" i="6"/>
  <c r="C14" i="6"/>
  <c r="D14" i="6"/>
  <c r="E14" i="6"/>
  <c r="F14" i="6"/>
  <c r="C15" i="6"/>
  <c r="D15" i="6"/>
  <c r="E15" i="6"/>
  <c r="F15" i="6"/>
  <c r="C16" i="6"/>
  <c r="D16" i="6"/>
  <c r="E16" i="6"/>
  <c r="F16" i="6"/>
  <c r="C17" i="6"/>
  <c r="D17" i="6"/>
  <c r="E17" i="6"/>
  <c r="F17" i="6"/>
  <c r="C18" i="6"/>
  <c r="D18" i="6"/>
  <c r="E18" i="6"/>
  <c r="F18" i="6"/>
  <c r="C19" i="6"/>
  <c r="D19" i="6"/>
  <c r="E19" i="6"/>
  <c r="F19" i="6"/>
  <c r="C20" i="6"/>
  <c r="D20" i="6"/>
  <c r="E20" i="6"/>
  <c r="F20" i="6"/>
  <c r="C21" i="6"/>
  <c r="D21" i="6"/>
  <c r="E21" i="6"/>
  <c r="F21" i="6"/>
  <c r="C22" i="6"/>
  <c r="D22" i="6"/>
  <c r="E22" i="6"/>
  <c r="F22" i="6"/>
  <c r="C23" i="6"/>
  <c r="D23" i="6"/>
  <c r="E23" i="6"/>
  <c r="F23" i="6"/>
  <c r="C24" i="6"/>
  <c r="D24" i="6"/>
  <c r="E24" i="6"/>
  <c r="F24" i="6"/>
  <c r="C25" i="6"/>
  <c r="D25" i="6"/>
  <c r="E25" i="6"/>
  <c r="F25" i="6"/>
  <c r="C26" i="6"/>
  <c r="D26" i="6"/>
  <c r="E26" i="6"/>
  <c r="F26" i="6"/>
  <c r="C27" i="6"/>
  <c r="D27" i="6"/>
  <c r="E27" i="6"/>
  <c r="F27" i="6"/>
  <c r="C28" i="6"/>
  <c r="D28" i="6"/>
  <c r="E28" i="6"/>
  <c r="F28" i="6"/>
  <c r="C29" i="6"/>
  <c r="D29" i="6"/>
  <c r="E29" i="6"/>
  <c r="F29" i="6"/>
  <c r="C30" i="6"/>
  <c r="D30" i="6"/>
  <c r="E30" i="6"/>
  <c r="F30" i="6"/>
  <c r="C31" i="6"/>
  <c r="D31" i="6"/>
  <c r="E31" i="6"/>
  <c r="F31" i="6"/>
  <c r="C32" i="6"/>
  <c r="D32" i="6"/>
  <c r="E32" i="6"/>
  <c r="F32" i="6"/>
  <c r="C33" i="6"/>
  <c r="D33" i="6"/>
  <c r="E33" i="6"/>
  <c r="F33" i="6"/>
  <c r="C34" i="6"/>
  <c r="D34" i="6"/>
  <c r="E34" i="6"/>
  <c r="F34" i="6"/>
  <c r="C35" i="6"/>
  <c r="D35" i="6"/>
  <c r="E35" i="6"/>
  <c r="F35" i="6"/>
  <c r="C36" i="6"/>
  <c r="D36" i="6"/>
  <c r="E36" i="6"/>
  <c r="F36" i="6"/>
  <c r="C37" i="6"/>
  <c r="D37" i="6"/>
  <c r="E37" i="6"/>
  <c r="F37" i="6"/>
  <c r="C38" i="6"/>
  <c r="D38" i="6"/>
  <c r="E38" i="6"/>
  <c r="F38" i="6"/>
  <c r="C39" i="6"/>
  <c r="D39" i="6"/>
  <c r="E39" i="6"/>
  <c r="F39" i="6"/>
  <c r="C40" i="6"/>
  <c r="D40" i="6"/>
  <c r="E40" i="6"/>
  <c r="F40" i="6"/>
  <c r="C41" i="6"/>
  <c r="D41" i="6"/>
  <c r="E41" i="6"/>
  <c r="F41" i="6"/>
  <c r="C42" i="6"/>
  <c r="D42" i="6"/>
  <c r="E42" i="6"/>
  <c r="F42" i="6"/>
  <c r="C43" i="6"/>
  <c r="D43" i="6"/>
  <c r="E43" i="6"/>
  <c r="F43" i="6"/>
  <c r="C44" i="6"/>
  <c r="D44" i="6"/>
  <c r="E44" i="6"/>
  <c r="F44" i="6"/>
  <c r="C45" i="6"/>
  <c r="D45" i="6"/>
  <c r="E45" i="6"/>
  <c r="F45" i="6"/>
  <c r="C46" i="6"/>
  <c r="D46" i="6"/>
  <c r="E46" i="6"/>
  <c r="F46" i="6"/>
  <c r="C47" i="6"/>
  <c r="D47" i="6"/>
  <c r="E47" i="6"/>
  <c r="F47" i="6"/>
  <c r="C48" i="6"/>
  <c r="D48" i="6"/>
  <c r="E48" i="6"/>
  <c r="F48" i="6"/>
  <c r="C49" i="6"/>
  <c r="D49" i="6"/>
  <c r="E49" i="6"/>
  <c r="F49" i="6"/>
  <c r="C50" i="6"/>
  <c r="D50" i="6"/>
  <c r="E50" i="6"/>
  <c r="F50" i="6"/>
  <c r="C51" i="6"/>
  <c r="D51" i="6"/>
  <c r="E51" i="6"/>
  <c r="F51" i="6"/>
  <c r="C52" i="6"/>
  <c r="D52" i="6"/>
  <c r="E52" i="6"/>
  <c r="F52" i="6"/>
  <c r="C53" i="6"/>
  <c r="D53" i="6"/>
  <c r="E53" i="6"/>
  <c r="F53" i="6"/>
  <c r="C54" i="6"/>
  <c r="D54" i="6"/>
  <c r="E54" i="6"/>
  <c r="F54" i="6"/>
  <c r="C55" i="6"/>
  <c r="D55" i="6"/>
  <c r="E55" i="6"/>
  <c r="F55" i="6"/>
  <c r="C56" i="6"/>
  <c r="D56" i="6"/>
  <c r="E56" i="6"/>
  <c r="F56" i="6"/>
  <c r="C57" i="6"/>
  <c r="D57" i="6"/>
  <c r="E57" i="6"/>
  <c r="F57" i="6"/>
  <c r="C58" i="6"/>
  <c r="D58" i="6"/>
  <c r="E58" i="6"/>
  <c r="F58" i="6"/>
  <c r="C59" i="6"/>
  <c r="D59" i="6"/>
  <c r="E59" i="6"/>
  <c r="F59" i="6"/>
  <c r="C60" i="6"/>
  <c r="D60" i="6"/>
  <c r="E60" i="6"/>
  <c r="F60" i="6"/>
  <c r="C61" i="6"/>
  <c r="D61" i="6"/>
  <c r="E61" i="6"/>
  <c r="F61" i="6"/>
  <c r="C62" i="6"/>
  <c r="D62" i="6"/>
  <c r="E62" i="6"/>
  <c r="F62" i="6"/>
  <c r="C63" i="6"/>
  <c r="D63" i="6"/>
  <c r="E63" i="6"/>
  <c r="F63" i="6"/>
  <c r="C64" i="6"/>
  <c r="D64" i="6"/>
  <c r="E64" i="6"/>
  <c r="F64" i="6"/>
  <c r="C65" i="6"/>
  <c r="D65" i="6"/>
  <c r="E65" i="6"/>
  <c r="F65" i="6"/>
  <c r="C66" i="6"/>
  <c r="D66" i="6"/>
  <c r="E66" i="6"/>
  <c r="F66" i="6"/>
  <c r="C67" i="6"/>
  <c r="D67" i="6"/>
  <c r="E67" i="6"/>
  <c r="F67" i="6"/>
  <c r="C68" i="6"/>
  <c r="D68" i="6"/>
  <c r="E68" i="6"/>
  <c r="F68" i="6"/>
  <c r="C69" i="6"/>
  <c r="D69" i="6"/>
  <c r="E69" i="6"/>
  <c r="F69" i="6"/>
  <c r="C70" i="6"/>
  <c r="D70" i="6"/>
  <c r="E70" i="6"/>
  <c r="F70" i="6"/>
  <c r="C71" i="6"/>
  <c r="D71" i="6"/>
  <c r="E71" i="6"/>
  <c r="F71" i="6"/>
  <c r="C72" i="6"/>
  <c r="D72" i="6"/>
  <c r="E72" i="6"/>
  <c r="F72" i="6"/>
  <c r="C73" i="6"/>
  <c r="D73" i="6"/>
  <c r="E73" i="6"/>
  <c r="F73" i="6"/>
  <c r="C74" i="6"/>
  <c r="D74" i="6"/>
  <c r="E74" i="6"/>
  <c r="F74" i="6"/>
  <c r="C75" i="6"/>
  <c r="D75" i="6"/>
  <c r="E75" i="6"/>
  <c r="F75" i="6"/>
  <c r="C76" i="6"/>
  <c r="D76" i="6"/>
  <c r="E76" i="6"/>
  <c r="F76" i="6"/>
  <c r="C77" i="6"/>
  <c r="D77" i="6"/>
  <c r="E77" i="6"/>
  <c r="F77" i="6"/>
  <c r="C78" i="6"/>
  <c r="D78" i="6"/>
  <c r="E78" i="6"/>
  <c r="F78" i="6"/>
  <c r="C79" i="6"/>
  <c r="D79" i="6"/>
  <c r="E79" i="6"/>
  <c r="F79" i="6"/>
  <c r="C80" i="6"/>
  <c r="D80" i="6"/>
  <c r="E80" i="6"/>
  <c r="F80" i="6"/>
  <c r="C81" i="6"/>
  <c r="D81" i="6"/>
  <c r="E81" i="6"/>
  <c r="F81" i="6"/>
  <c r="C82" i="6"/>
  <c r="D82" i="6"/>
  <c r="E82" i="6"/>
  <c r="F82" i="6"/>
  <c r="C83" i="6"/>
  <c r="D83" i="6"/>
  <c r="E83" i="6"/>
  <c r="F83" i="6"/>
  <c r="C84" i="6"/>
  <c r="D84" i="6"/>
  <c r="E84" i="6"/>
  <c r="F84" i="6"/>
  <c r="C85" i="6"/>
  <c r="D85" i="6"/>
  <c r="E85" i="6"/>
  <c r="F85" i="6"/>
  <c r="C86" i="6"/>
  <c r="D86" i="6"/>
  <c r="E86" i="6"/>
  <c r="F86" i="6"/>
  <c r="C87" i="6"/>
  <c r="D87" i="6"/>
  <c r="E87" i="6"/>
  <c r="F87" i="6"/>
  <c r="C88" i="6"/>
  <c r="D88" i="6"/>
  <c r="E88" i="6"/>
  <c r="F88" i="6"/>
  <c r="C89" i="6"/>
  <c r="D89" i="6"/>
  <c r="E89" i="6"/>
  <c r="F89" i="6"/>
  <c r="C90" i="6"/>
  <c r="B90" i="6" s="1"/>
  <c r="H90" i="6" s="1"/>
  <c r="D90" i="6"/>
  <c r="E90" i="6"/>
  <c r="F90" i="6"/>
  <c r="C91" i="6"/>
  <c r="D91" i="6"/>
  <c r="E91" i="6"/>
  <c r="F91" i="6"/>
  <c r="C92" i="6"/>
  <c r="D92" i="6"/>
  <c r="E92" i="6"/>
  <c r="F92" i="6"/>
  <c r="C93" i="6"/>
  <c r="D93" i="6"/>
  <c r="E93" i="6"/>
  <c r="F93" i="6"/>
  <c r="C94" i="6"/>
  <c r="D94" i="6"/>
  <c r="E94" i="6"/>
  <c r="F94" i="6"/>
  <c r="C95" i="6"/>
  <c r="D95" i="6"/>
  <c r="E95" i="6"/>
  <c r="F95" i="6"/>
  <c r="C96" i="6"/>
  <c r="D96" i="6"/>
  <c r="E96" i="6"/>
  <c r="F96" i="6"/>
  <c r="C97" i="6"/>
  <c r="D97" i="6"/>
  <c r="E97" i="6"/>
  <c r="F97" i="6"/>
  <c r="C98" i="6"/>
  <c r="D98" i="6"/>
  <c r="E98" i="6"/>
  <c r="F98" i="6"/>
  <c r="C99" i="6"/>
  <c r="D99" i="6"/>
  <c r="E99" i="6"/>
  <c r="F99" i="6"/>
  <c r="C100" i="6"/>
  <c r="D100" i="6"/>
  <c r="E100" i="6"/>
  <c r="F100" i="6"/>
  <c r="C101" i="6"/>
  <c r="D101" i="6"/>
  <c r="E101" i="6"/>
  <c r="F101" i="6"/>
  <c r="C102" i="6"/>
  <c r="D102" i="6"/>
  <c r="E102" i="6"/>
  <c r="F102" i="6"/>
  <c r="C103" i="6"/>
  <c r="D103" i="6"/>
  <c r="E103" i="6"/>
  <c r="F103" i="6"/>
  <c r="C104" i="6"/>
  <c r="D104" i="6"/>
  <c r="E104" i="6"/>
  <c r="F104" i="6"/>
  <c r="C105" i="6"/>
  <c r="D105" i="6"/>
  <c r="E105" i="6"/>
  <c r="F105" i="6"/>
  <c r="C106" i="6"/>
  <c r="D106" i="6"/>
  <c r="E106" i="6"/>
  <c r="F106" i="6"/>
  <c r="C107" i="6"/>
  <c r="D107" i="6"/>
  <c r="E107" i="6"/>
  <c r="F107" i="6"/>
  <c r="C108" i="6"/>
  <c r="D108" i="6"/>
  <c r="E108" i="6"/>
  <c r="F108" i="6"/>
  <c r="C109" i="6"/>
  <c r="D109" i="6"/>
  <c r="E109" i="6"/>
  <c r="F109" i="6"/>
  <c r="C110" i="6"/>
  <c r="D110" i="6"/>
  <c r="E110" i="6"/>
  <c r="F110" i="6"/>
  <c r="C111" i="6"/>
  <c r="D111" i="6"/>
  <c r="E111" i="6"/>
  <c r="F111" i="6"/>
  <c r="C112" i="6"/>
  <c r="D112" i="6"/>
  <c r="E112" i="6"/>
  <c r="F112" i="6"/>
  <c r="C113" i="6"/>
  <c r="D113" i="6"/>
  <c r="E113" i="6"/>
  <c r="F113" i="6"/>
  <c r="C114" i="6"/>
  <c r="D114" i="6"/>
  <c r="E114" i="6"/>
  <c r="F114" i="6"/>
  <c r="C115" i="6"/>
  <c r="D115" i="6"/>
  <c r="E115" i="6"/>
  <c r="F115" i="6"/>
  <c r="C116" i="6"/>
  <c r="D116" i="6"/>
  <c r="E116" i="6"/>
  <c r="F116" i="6"/>
  <c r="C117" i="6"/>
  <c r="D117" i="6"/>
  <c r="E117" i="6"/>
  <c r="F117" i="6"/>
  <c r="C118" i="6"/>
  <c r="D118" i="6"/>
  <c r="E118" i="6"/>
  <c r="F118" i="6"/>
  <c r="C119" i="6"/>
  <c r="D119" i="6"/>
  <c r="E119" i="6"/>
  <c r="F119" i="6"/>
  <c r="C120" i="6"/>
  <c r="D120" i="6"/>
  <c r="E120" i="6"/>
  <c r="F120" i="6"/>
  <c r="C121" i="6"/>
  <c r="D121" i="6"/>
  <c r="E121" i="6"/>
  <c r="F121" i="6"/>
  <c r="C122" i="6"/>
  <c r="D122" i="6"/>
  <c r="E122" i="6"/>
  <c r="F122" i="6"/>
  <c r="C123" i="6"/>
  <c r="D123" i="6"/>
  <c r="E123" i="6"/>
  <c r="F123" i="6"/>
  <c r="C124" i="6"/>
  <c r="D124" i="6"/>
  <c r="E124" i="6"/>
  <c r="F124" i="6"/>
  <c r="C125" i="6"/>
  <c r="D125" i="6"/>
  <c r="E125" i="6"/>
  <c r="F125" i="6"/>
  <c r="C126" i="6"/>
  <c r="D126" i="6"/>
  <c r="E126" i="6"/>
  <c r="F126" i="6"/>
  <c r="C127" i="6"/>
  <c r="D127" i="6"/>
  <c r="E127" i="6"/>
  <c r="F127" i="6"/>
  <c r="C128" i="6"/>
  <c r="D128" i="6"/>
  <c r="E128" i="6"/>
  <c r="F128" i="6"/>
  <c r="C129" i="6"/>
  <c r="D129" i="6"/>
  <c r="E129" i="6"/>
  <c r="F129" i="6"/>
  <c r="C130" i="6"/>
  <c r="D130" i="6"/>
  <c r="E130" i="6"/>
  <c r="F130" i="6"/>
  <c r="C131" i="6"/>
  <c r="D131" i="6"/>
  <c r="E131" i="6"/>
  <c r="F131" i="6"/>
  <c r="C132" i="6"/>
  <c r="D132" i="6"/>
  <c r="E132" i="6"/>
  <c r="F132" i="6"/>
  <c r="C133" i="6"/>
  <c r="D133" i="6"/>
  <c r="E133" i="6"/>
  <c r="F133" i="6"/>
  <c r="C134" i="6"/>
  <c r="D134" i="6"/>
  <c r="E134" i="6"/>
  <c r="F134" i="6"/>
  <c r="C135" i="6"/>
  <c r="D135" i="6"/>
  <c r="E135" i="6"/>
  <c r="F135" i="6"/>
  <c r="C136" i="6"/>
  <c r="D136" i="6"/>
  <c r="E136" i="6"/>
  <c r="F136" i="6"/>
  <c r="C137" i="6"/>
  <c r="D137" i="6"/>
  <c r="E137" i="6"/>
  <c r="F137" i="6"/>
  <c r="C138" i="6"/>
  <c r="D138" i="6"/>
  <c r="E138" i="6"/>
  <c r="F138" i="6"/>
  <c r="C139" i="6"/>
  <c r="D139" i="6"/>
  <c r="E139" i="6"/>
  <c r="F139" i="6"/>
  <c r="C140" i="6"/>
  <c r="D140" i="6"/>
  <c r="E140" i="6"/>
  <c r="F140" i="6"/>
  <c r="C141" i="6"/>
  <c r="D141" i="6"/>
  <c r="E141" i="6"/>
  <c r="F141" i="6"/>
  <c r="C142" i="6"/>
  <c r="D142" i="6"/>
  <c r="E142" i="6"/>
  <c r="F142" i="6"/>
  <c r="C143" i="6"/>
  <c r="D143" i="6"/>
  <c r="E143" i="6"/>
  <c r="F143" i="6"/>
  <c r="C144" i="6"/>
  <c r="D144" i="6"/>
  <c r="E144" i="6"/>
  <c r="F144" i="6"/>
  <c r="C145" i="6"/>
  <c r="D145" i="6"/>
  <c r="E145" i="6"/>
  <c r="F145" i="6"/>
  <c r="C146" i="6"/>
  <c r="D146" i="6"/>
  <c r="E146" i="6"/>
  <c r="F146" i="6"/>
  <c r="C147" i="6"/>
  <c r="D147" i="6"/>
  <c r="E147" i="6"/>
  <c r="F147" i="6"/>
  <c r="C148" i="6"/>
  <c r="D148" i="6"/>
  <c r="E148" i="6"/>
  <c r="F148" i="6"/>
  <c r="C149" i="6"/>
  <c r="D149" i="6"/>
  <c r="E149" i="6"/>
  <c r="F149" i="6"/>
  <c r="C150" i="6"/>
  <c r="D150" i="6"/>
  <c r="E150" i="6"/>
  <c r="F150" i="6"/>
  <c r="C151" i="6"/>
  <c r="D151" i="6"/>
  <c r="E151" i="6"/>
  <c r="F151" i="6"/>
  <c r="C152" i="6"/>
  <c r="D152" i="6"/>
  <c r="E152" i="6"/>
  <c r="F152" i="6"/>
  <c r="C153" i="6"/>
  <c r="D153" i="6"/>
  <c r="E153" i="6"/>
  <c r="F153" i="6"/>
  <c r="C154" i="6"/>
  <c r="D154" i="6"/>
  <c r="E154" i="6"/>
  <c r="F154" i="6"/>
  <c r="C155" i="6"/>
  <c r="D155" i="6"/>
  <c r="E155" i="6"/>
  <c r="F155" i="6"/>
  <c r="C156" i="6"/>
  <c r="D156" i="6"/>
  <c r="E156" i="6"/>
  <c r="F156" i="6"/>
  <c r="C157" i="6"/>
  <c r="D157" i="6"/>
  <c r="E157" i="6"/>
  <c r="F157" i="6"/>
  <c r="C158" i="6"/>
  <c r="D158" i="6"/>
  <c r="E158" i="6"/>
  <c r="F158" i="6"/>
  <c r="C159" i="6"/>
  <c r="D159" i="6"/>
  <c r="E159" i="6"/>
  <c r="F159" i="6"/>
  <c r="C160" i="6"/>
  <c r="D160" i="6"/>
  <c r="E160" i="6"/>
  <c r="F160" i="6"/>
  <c r="C161" i="6"/>
  <c r="D161" i="6"/>
  <c r="E161" i="6"/>
  <c r="F161" i="6"/>
  <c r="C162" i="6"/>
  <c r="D162" i="6"/>
  <c r="E162" i="6"/>
  <c r="F162" i="6"/>
  <c r="C163" i="6"/>
  <c r="D163" i="6"/>
  <c r="E163" i="6"/>
  <c r="F163" i="6"/>
  <c r="C164" i="6"/>
  <c r="D164" i="6"/>
  <c r="E164" i="6"/>
  <c r="F164" i="6"/>
  <c r="C165" i="6"/>
  <c r="D165" i="6"/>
  <c r="E165" i="6"/>
  <c r="F165" i="6"/>
  <c r="C166" i="6"/>
  <c r="D166" i="6"/>
  <c r="E166" i="6"/>
  <c r="F166" i="6"/>
  <c r="C167" i="6"/>
  <c r="D167" i="6"/>
  <c r="E167" i="6"/>
  <c r="F167" i="6"/>
  <c r="C168" i="6"/>
  <c r="D168" i="6"/>
  <c r="E168" i="6"/>
  <c r="F168" i="6"/>
  <c r="C169" i="6"/>
  <c r="D169" i="6"/>
  <c r="E169" i="6"/>
  <c r="F169" i="6"/>
  <c r="C170" i="6"/>
  <c r="D170" i="6"/>
  <c r="E170" i="6"/>
  <c r="F170" i="6"/>
  <c r="C171" i="6"/>
  <c r="D171" i="6"/>
  <c r="E171" i="6"/>
  <c r="F171" i="6"/>
  <c r="C172" i="6"/>
  <c r="D172" i="6"/>
  <c r="E172" i="6"/>
  <c r="F172" i="6"/>
  <c r="C173" i="6"/>
  <c r="D173" i="6"/>
  <c r="E173" i="6"/>
  <c r="F173" i="6"/>
  <c r="C174" i="6"/>
  <c r="D174" i="6"/>
  <c r="E174" i="6"/>
  <c r="F174" i="6"/>
  <c r="C175" i="6"/>
  <c r="D175" i="6"/>
  <c r="E175" i="6"/>
  <c r="F175" i="6"/>
  <c r="C176" i="6"/>
  <c r="D176" i="6"/>
  <c r="E176" i="6"/>
  <c r="F176" i="6"/>
  <c r="C177" i="6"/>
  <c r="D177" i="6"/>
  <c r="E177" i="6"/>
  <c r="F177" i="6"/>
  <c r="C178" i="6"/>
  <c r="D178" i="6"/>
  <c r="E178" i="6"/>
  <c r="F178" i="6"/>
  <c r="C179" i="6"/>
  <c r="D179" i="6"/>
  <c r="E179" i="6"/>
  <c r="F179" i="6"/>
  <c r="C180" i="6"/>
  <c r="D180" i="6"/>
  <c r="E180" i="6"/>
  <c r="F180" i="6"/>
  <c r="C181" i="6"/>
  <c r="D181" i="6"/>
  <c r="E181" i="6"/>
  <c r="F181" i="6"/>
  <c r="C182" i="6"/>
  <c r="D182" i="6"/>
  <c r="E182" i="6"/>
  <c r="F182" i="6"/>
  <c r="C183" i="6"/>
  <c r="D183" i="6"/>
  <c r="E183" i="6"/>
  <c r="F183" i="6"/>
  <c r="C184" i="6"/>
  <c r="D184" i="6"/>
  <c r="E184" i="6"/>
  <c r="F184" i="6"/>
  <c r="C185" i="6"/>
  <c r="D185" i="6"/>
  <c r="E185" i="6"/>
  <c r="F185" i="6"/>
  <c r="C186" i="6"/>
  <c r="D186" i="6"/>
  <c r="E186" i="6"/>
  <c r="F186" i="6"/>
  <c r="C187" i="6"/>
  <c r="D187" i="6"/>
  <c r="E187" i="6"/>
  <c r="F187" i="6"/>
  <c r="C188" i="6"/>
  <c r="D188" i="6"/>
  <c r="E188" i="6"/>
  <c r="F188" i="6"/>
  <c r="C189" i="6"/>
  <c r="D189" i="6"/>
  <c r="E189" i="6"/>
  <c r="F189" i="6"/>
  <c r="C190" i="6"/>
  <c r="D190" i="6"/>
  <c r="E190" i="6"/>
  <c r="F190" i="6"/>
  <c r="C191" i="6"/>
  <c r="D191" i="6"/>
  <c r="E191" i="6"/>
  <c r="F191" i="6"/>
  <c r="C192" i="6"/>
  <c r="D192" i="6"/>
  <c r="E192" i="6"/>
  <c r="F192" i="6"/>
  <c r="C193" i="6"/>
  <c r="D193" i="6"/>
  <c r="E193" i="6"/>
  <c r="F193" i="6"/>
  <c r="C194" i="6"/>
  <c r="D194" i="6"/>
  <c r="E194" i="6"/>
  <c r="F194" i="6"/>
  <c r="C195" i="6"/>
  <c r="D195" i="6"/>
  <c r="E195" i="6"/>
  <c r="F195" i="6"/>
  <c r="C196" i="6"/>
  <c r="D196" i="6"/>
  <c r="E196" i="6"/>
  <c r="F196" i="6"/>
  <c r="C197" i="6"/>
  <c r="D197" i="6"/>
  <c r="E197" i="6"/>
  <c r="F197" i="6"/>
  <c r="C198" i="6"/>
  <c r="D198" i="6"/>
  <c r="E198" i="6"/>
  <c r="F198" i="6"/>
  <c r="C199" i="6"/>
  <c r="D199" i="6"/>
  <c r="E199" i="6"/>
  <c r="F199" i="6"/>
  <c r="C200" i="6"/>
  <c r="D200" i="6"/>
  <c r="E200" i="6"/>
  <c r="F200" i="6"/>
  <c r="C201" i="6"/>
  <c r="D201" i="6"/>
  <c r="E201" i="6"/>
  <c r="F201" i="6"/>
  <c r="C202" i="6"/>
  <c r="D202" i="6"/>
  <c r="E202" i="6"/>
  <c r="F202" i="6"/>
  <c r="C203" i="6"/>
  <c r="D203" i="6"/>
  <c r="E203" i="6"/>
  <c r="F203" i="6"/>
  <c r="C204" i="6"/>
  <c r="D204" i="6"/>
  <c r="E204" i="6"/>
  <c r="F204" i="6"/>
  <c r="C205" i="6"/>
  <c r="D205" i="6"/>
  <c r="E205" i="6"/>
  <c r="F205" i="6"/>
  <c r="C206" i="6"/>
  <c r="D206" i="6"/>
  <c r="E206" i="6"/>
  <c r="F206" i="6"/>
  <c r="C207" i="6"/>
  <c r="D207" i="6"/>
  <c r="E207" i="6"/>
  <c r="F207" i="6"/>
  <c r="C208" i="6"/>
  <c r="D208" i="6"/>
  <c r="E208" i="6"/>
  <c r="F208" i="6"/>
  <c r="C209" i="6"/>
  <c r="D209" i="6"/>
  <c r="E209" i="6"/>
  <c r="F209" i="6"/>
  <c r="C10" i="6"/>
  <c r="C10" i="18"/>
  <c r="D10" i="18"/>
  <c r="E10" i="18"/>
  <c r="F10" i="18"/>
  <c r="B22" i="18"/>
  <c r="G22" i="18" s="1"/>
  <c r="D10" i="6"/>
  <c r="E10" i="6"/>
  <c r="F10" i="6"/>
  <c r="B32" i="6"/>
  <c r="H32" i="6" s="1"/>
  <c r="B52" i="6"/>
  <c r="G52" i="6" s="1"/>
  <c r="B107" i="6"/>
  <c r="D10" i="13"/>
  <c r="E10" i="13"/>
  <c r="F10" i="13"/>
  <c r="C10" i="13"/>
  <c r="B139" i="23" l="1"/>
  <c r="B103" i="23"/>
  <c r="G103" i="23" s="1"/>
  <c r="B143" i="23"/>
  <c r="B115" i="23"/>
  <c r="B73" i="23"/>
  <c r="B60" i="23"/>
  <c r="G60" i="23" s="1"/>
  <c r="B33" i="23"/>
  <c r="G33" i="23" s="1"/>
  <c r="H69" i="23"/>
  <c r="B169" i="23"/>
  <c r="H169" i="23" s="1"/>
  <c r="B184" i="23"/>
  <c r="G184" i="23" s="1"/>
  <c r="B201" i="23"/>
  <c r="G201" i="23" s="1"/>
  <c r="B44" i="23"/>
  <c r="H44" i="23" s="1"/>
  <c r="B78" i="23"/>
  <c r="H78" i="23" s="1"/>
  <c r="B199" i="23"/>
  <c r="H199" i="23" s="1"/>
  <c r="B92" i="23"/>
  <c r="G92" i="23" s="1"/>
  <c r="B32" i="23"/>
  <c r="G32" i="23" s="1"/>
  <c r="B68" i="23"/>
  <c r="G68" i="23" s="1"/>
  <c r="B66" i="23"/>
  <c r="G66" i="23" s="1"/>
  <c r="B130" i="23"/>
  <c r="G130" i="23" s="1"/>
  <c r="B71" i="23"/>
  <c r="G71" i="23" s="1"/>
  <c r="B39" i="23"/>
  <c r="B194" i="23"/>
  <c r="H194" i="23" s="1"/>
  <c r="B167" i="23"/>
  <c r="B134" i="23"/>
  <c r="B107" i="23"/>
  <c r="G107" i="23" s="1"/>
  <c r="B85" i="23"/>
  <c r="G85" i="23" s="1"/>
  <c r="B19" i="23"/>
  <c r="H19" i="23" s="1"/>
  <c r="B109" i="23"/>
  <c r="G109" i="23" s="1"/>
  <c r="H142" i="23"/>
  <c r="B185" i="23"/>
  <c r="G185" i="23" s="1"/>
  <c r="B37" i="23"/>
  <c r="B176" i="23"/>
  <c r="G176" i="23" s="1"/>
  <c r="B180" i="23"/>
  <c r="B198" i="23"/>
  <c r="G198" i="23" s="1"/>
  <c r="B149" i="23"/>
  <c r="G149" i="23" s="1"/>
  <c r="B118" i="23"/>
  <c r="H118" i="23" s="1"/>
  <c r="B117" i="6"/>
  <c r="H117" i="6" s="1"/>
  <c r="B16" i="6"/>
  <c r="G16" i="6" s="1"/>
  <c r="B106" i="6"/>
  <c r="H106" i="6" s="1"/>
  <c r="B201" i="18"/>
  <c r="G201" i="18" s="1"/>
  <c r="B29" i="18"/>
  <c r="B38" i="18"/>
  <c r="H38" i="18" s="1"/>
  <c r="B33" i="18"/>
  <c r="G33" i="18" s="1"/>
  <c r="B167" i="18"/>
  <c r="H167" i="18" s="1"/>
  <c r="B99" i="18"/>
  <c r="G99" i="18" s="1"/>
  <c r="B53" i="18"/>
  <c r="B168" i="18"/>
  <c r="H168" i="18" s="1"/>
  <c r="B62" i="18"/>
  <c r="H62" i="18" s="1"/>
  <c r="B102" i="18"/>
  <c r="H102" i="18" s="1"/>
  <c r="B57" i="18"/>
  <c r="H57" i="18" s="1"/>
  <c r="B32" i="18"/>
  <c r="H32" i="18" s="1"/>
  <c r="B108" i="18"/>
  <c r="H108" i="18" s="1"/>
  <c r="B202" i="18"/>
  <c r="H202" i="18" s="1"/>
  <c r="B106" i="18"/>
  <c r="H106" i="18" s="1"/>
  <c r="B158" i="18"/>
  <c r="H158" i="18" s="1"/>
  <c r="B103" i="18"/>
  <c r="G103" i="18" s="1"/>
  <c r="B153" i="18"/>
  <c r="G153" i="18" s="1"/>
  <c r="B67" i="18"/>
  <c r="H67" i="18" s="1"/>
  <c r="B117" i="18"/>
  <c r="H117" i="18" s="1"/>
  <c r="B30" i="18"/>
  <c r="B20" i="18"/>
  <c r="H20" i="18" s="1"/>
  <c r="B10" i="18"/>
  <c r="H10" i="18" s="1"/>
  <c r="B54" i="18"/>
  <c r="G54" i="18" s="1"/>
  <c r="B34" i="18"/>
  <c r="G34" i="18" s="1"/>
  <c r="B45" i="18"/>
  <c r="B152" i="18"/>
  <c r="G152" i="18" s="1"/>
  <c r="B107" i="18"/>
  <c r="H107" i="18" s="1"/>
  <c r="B47" i="18"/>
  <c r="G47" i="18" s="1"/>
  <c r="B12" i="18"/>
  <c r="G12" i="18" s="1"/>
  <c r="H158" i="23"/>
  <c r="G158" i="23"/>
  <c r="B76" i="23"/>
  <c r="H76" i="23" s="1"/>
  <c r="B62" i="23"/>
  <c r="B36" i="23"/>
  <c r="H36" i="23" s="1"/>
  <c r="B42" i="23"/>
  <c r="H42" i="23" s="1"/>
  <c r="B41" i="23"/>
  <c r="H41" i="23" s="1"/>
  <c r="B27" i="23"/>
  <c r="H27" i="23" s="1"/>
  <c r="B13" i="23"/>
  <c r="H13" i="23" s="1"/>
  <c r="B205" i="23"/>
  <c r="G205" i="23" s="1"/>
  <c r="B165" i="23"/>
  <c r="G165" i="23" s="1"/>
  <c r="B104" i="23"/>
  <c r="G104" i="23" s="1"/>
  <c r="B156" i="23"/>
  <c r="G156" i="23" s="1"/>
  <c r="B72" i="23"/>
  <c r="H72" i="23" s="1"/>
  <c r="B187" i="23"/>
  <c r="H187" i="23" s="1"/>
  <c r="B119" i="23"/>
  <c r="H119" i="23" s="1"/>
  <c r="B129" i="23"/>
  <c r="B98" i="23"/>
  <c r="H98" i="23" s="1"/>
  <c r="G38" i="23"/>
  <c r="H167" i="23"/>
  <c r="H54" i="23"/>
  <c r="H37" i="23"/>
  <c r="H195" i="23"/>
  <c r="B209" i="23"/>
  <c r="H209" i="23" s="1"/>
  <c r="B112" i="23"/>
  <c r="G112" i="23" s="1"/>
  <c r="H126" i="23"/>
  <c r="H93" i="23"/>
  <c r="H58" i="23"/>
  <c r="H64" i="23"/>
  <c r="B20" i="23"/>
  <c r="H20" i="23" s="1"/>
  <c r="B16" i="23"/>
  <c r="H16" i="23" s="1"/>
  <c r="B204" i="23"/>
  <c r="G204" i="23" s="1"/>
  <c r="B136" i="23"/>
  <c r="G136" i="23" s="1"/>
  <c r="B54" i="23"/>
  <c r="G54" i="23" s="1"/>
  <c r="H48" i="23"/>
  <c r="H50" i="23"/>
  <c r="B161" i="23"/>
  <c r="H161" i="23" s="1"/>
  <c r="B181" i="23"/>
  <c r="H181" i="23" s="1"/>
  <c r="B126" i="23"/>
  <c r="G126" i="23" s="1"/>
  <c r="B91" i="23"/>
  <c r="G91" i="23" s="1"/>
  <c r="B155" i="23"/>
  <c r="G155" i="23" s="1"/>
  <c r="B164" i="23"/>
  <c r="G164" i="23" s="1"/>
  <c r="B83" i="23"/>
  <c r="H83" i="23" s="1"/>
  <c r="B61" i="23"/>
  <c r="G61" i="23" s="1"/>
  <c r="H62" i="23"/>
  <c r="B21" i="23"/>
  <c r="G21" i="23" s="1"/>
  <c r="H207" i="23"/>
  <c r="B192" i="23"/>
  <c r="G192" i="23" s="1"/>
  <c r="H166" i="23"/>
  <c r="H120" i="23"/>
  <c r="H117" i="23"/>
  <c r="B105" i="23"/>
  <c r="G105" i="23" s="1"/>
  <c r="H74" i="23"/>
  <c r="H60" i="23"/>
  <c r="B55" i="23"/>
  <c r="G55" i="23" s="1"/>
  <c r="B40" i="23"/>
  <c r="G40" i="23" s="1"/>
  <c r="B12" i="23"/>
  <c r="G12" i="23" s="1"/>
  <c r="G169" i="23"/>
  <c r="B207" i="23"/>
  <c r="H47" i="23"/>
  <c r="B170" i="23"/>
  <c r="G170" i="23" s="1"/>
  <c r="B80" i="23"/>
  <c r="H80" i="23" s="1"/>
  <c r="B88" i="23"/>
  <c r="G88" i="23" s="1"/>
  <c r="B89" i="23"/>
  <c r="H89" i="23" s="1"/>
  <c r="B45" i="23"/>
  <c r="G45" i="23" s="1"/>
  <c r="H43" i="23"/>
  <c r="H10" i="23"/>
  <c r="B67" i="23"/>
  <c r="G67" i="23" s="1"/>
  <c r="B195" i="23"/>
  <c r="G168" i="23"/>
  <c r="H160" i="23"/>
  <c r="H102" i="23"/>
  <c r="G186" i="23"/>
  <c r="B144" i="23"/>
  <c r="G141" i="23"/>
  <c r="G114" i="23"/>
  <c r="G63" i="23"/>
  <c r="G81" i="23"/>
  <c r="G23" i="23"/>
  <c r="G25" i="23"/>
  <c r="H189" i="23"/>
  <c r="H121" i="23"/>
  <c r="G121" i="23"/>
  <c r="G167" i="23"/>
  <c r="G143" i="23"/>
  <c r="H143" i="23"/>
  <c r="H156" i="23"/>
  <c r="G134" i="23"/>
  <c r="H134" i="23"/>
  <c r="H140" i="23"/>
  <c r="H77" i="23"/>
  <c r="G144" i="23"/>
  <c r="H144" i="23"/>
  <c r="H15" i="23"/>
  <c r="G26" i="23"/>
  <c r="G51" i="23"/>
  <c r="H56" i="23"/>
  <c r="H100" i="23"/>
  <c r="H14" i="23"/>
  <c r="H82" i="23"/>
  <c r="B106" i="23"/>
  <c r="H106" i="23" s="1"/>
  <c r="B121" i="23"/>
  <c r="B141" i="23"/>
  <c r="H141" i="23" s="1"/>
  <c r="B63" i="23"/>
  <c r="H63" i="23" s="1"/>
  <c r="G146" i="23"/>
  <c r="B183" i="23"/>
  <c r="G183" i="23" s="1"/>
  <c r="B25" i="23"/>
  <c r="H25" i="23" s="1"/>
  <c r="G37" i="23"/>
  <c r="G62" i="23"/>
  <c r="B29" i="23"/>
  <c r="G29" i="23" s="1"/>
  <c r="B101" i="23"/>
  <c r="H101" i="23" s="1"/>
  <c r="G195" i="23"/>
  <c r="H97" i="23"/>
  <c r="H24" i="23"/>
  <c r="B189" i="23"/>
  <c r="G189" i="23" s="1"/>
  <c r="B208" i="23"/>
  <c r="G208" i="23" s="1"/>
  <c r="H33" i="23"/>
  <c r="B114" i="23"/>
  <c r="H114" i="23" s="1"/>
  <c r="H103" i="23"/>
  <c r="B154" i="23"/>
  <c r="H154" i="23" s="1"/>
  <c r="B23" i="23"/>
  <c r="H23" i="23" s="1"/>
  <c r="B81" i="23"/>
  <c r="H81" i="23" s="1"/>
  <c r="G110" i="23"/>
  <c r="G11" i="23"/>
  <c r="G87" i="23"/>
  <c r="H87" i="23"/>
  <c r="H49" i="23"/>
  <c r="H35" i="23"/>
  <c r="G72" i="23"/>
  <c r="B75" i="23"/>
  <c r="G75" i="23" s="1"/>
  <c r="B138" i="23"/>
  <c r="G138" i="23" s="1"/>
  <c r="B148" i="23"/>
  <c r="G148" i="23" s="1"/>
  <c r="B125" i="23"/>
  <c r="G115" i="23"/>
  <c r="H139" i="23"/>
  <c r="B147" i="23"/>
  <c r="G147" i="23" s="1"/>
  <c r="B193" i="23"/>
  <c r="G193" i="23" s="1"/>
  <c r="H201" i="23"/>
  <c r="B132" i="23"/>
  <c r="G132" i="23" s="1"/>
  <c r="H157" i="23"/>
  <c r="H193" i="23"/>
  <c r="H12" i="23"/>
  <c r="G19" i="23"/>
  <c r="G44" i="23"/>
  <c r="H109" i="23"/>
  <c r="G76" i="23"/>
  <c r="B191" i="23"/>
  <c r="G191" i="23" s="1"/>
  <c r="B152" i="23"/>
  <c r="H152" i="23" s="1"/>
  <c r="G152" i="23"/>
  <c r="B163" i="23"/>
  <c r="H163" i="23" s="1"/>
  <c r="H73" i="23"/>
  <c r="G84" i="23"/>
  <c r="H111" i="23"/>
  <c r="B135" i="23"/>
  <c r="H135" i="23" s="1"/>
  <c r="G135" i="23"/>
  <c r="G173" i="23"/>
  <c r="H184" i="23"/>
  <c r="G17" i="23"/>
  <c r="G58" i="23"/>
  <c r="G59" i="23"/>
  <c r="B70" i="23"/>
  <c r="G70" i="23" s="1"/>
  <c r="B116" i="23"/>
  <c r="G116" i="23" s="1"/>
  <c r="H104" i="23"/>
  <c r="B123" i="23"/>
  <c r="G123" i="23" s="1"/>
  <c r="B179" i="23"/>
  <c r="G179" i="23" s="1"/>
  <c r="B35" i="23"/>
  <c r="G35" i="23" s="1"/>
  <c r="G90" i="23"/>
  <c r="H67" i="23"/>
  <c r="H84" i="23"/>
  <c r="G86" i="23"/>
  <c r="H173" i="23"/>
  <c r="G30" i="23"/>
  <c r="H17" i="23"/>
  <c r="B18" i="23"/>
  <c r="H18" i="23" s="1"/>
  <c r="G124" i="23"/>
  <c r="G131" i="23"/>
  <c r="G145" i="23"/>
  <c r="B188" i="23"/>
  <c r="G188" i="23" s="1"/>
  <c r="G199" i="23"/>
  <c r="H124" i="23"/>
  <c r="H145" i="23"/>
  <c r="B137" i="23"/>
  <c r="G137" i="23" s="1"/>
  <c r="B202" i="23"/>
  <c r="G202" i="23" s="1"/>
  <c r="H115" i="23"/>
  <c r="B113" i="23"/>
  <c r="G113" i="23" s="1"/>
  <c r="H46" i="23"/>
  <c r="B172" i="23"/>
  <c r="G172" i="23" s="1"/>
  <c r="H105" i="23"/>
  <c r="H39" i="23"/>
  <c r="G65" i="23"/>
  <c r="G53" i="23"/>
  <c r="B49" i="23"/>
  <c r="G49" i="23" s="1"/>
  <c r="H85" i="23"/>
  <c r="H107" i="23"/>
  <c r="H176" i="23"/>
  <c r="B196" i="23"/>
  <c r="G196" i="23" s="1"/>
  <c r="G46" i="23"/>
  <c r="G111" i="23"/>
  <c r="B150" i="23"/>
  <c r="G150" i="23" s="1"/>
  <c r="G119" i="23"/>
  <c r="H108" i="23"/>
  <c r="B128" i="23"/>
  <c r="G128" i="23" s="1"/>
  <c r="H28" i="23"/>
  <c r="H128" i="23"/>
  <c r="G166" i="23"/>
  <c r="B133" i="23"/>
  <c r="H185" i="23"/>
  <c r="G39" i="23"/>
  <c r="G73" i="23"/>
  <c r="H86" i="23"/>
  <c r="G36" i="23"/>
  <c r="H31" i="23"/>
  <c r="G28" i="23"/>
  <c r="H53" i="23"/>
  <c r="B99" i="23"/>
  <c r="G99" i="23" s="1"/>
  <c r="B127" i="23"/>
  <c r="H127" i="23" s="1"/>
  <c r="G139" i="23"/>
  <c r="B175" i="23"/>
  <c r="G175" i="23" s="1"/>
  <c r="H151" i="23"/>
  <c r="G207" i="23"/>
  <c r="B197" i="23"/>
  <c r="H197" i="23" s="1"/>
  <c r="B162" i="23"/>
  <c r="G162" i="23" s="1"/>
  <c r="B182" i="23"/>
  <c r="G182" i="23" s="1"/>
  <c r="B200" i="23"/>
  <c r="G200" i="23" s="1"/>
  <c r="B22" i="23"/>
  <c r="H22" i="23" s="1"/>
  <c r="B57" i="23"/>
  <c r="H57" i="23" s="1"/>
  <c r="B52" i="23"/>
  <c r="H52" i="23" s="1"/>
  <c r="B79" i="23"/>
  <c r="G79" i="23" s="1"/>
  <c r="B96" i="23"/>
  <c r="G96" i="23" s="1"/>
  <c r="B131" i="23"/>
  <c r="H131" i="23" s="1"/>
  <c r="B153" i="23"/>
  <c r="H153" i="23" s="1"/>
  <c r="B171" i="23"/>
  <c r="G171" i="23" s="1"/>
  <c r="B177" i="23"/>
  <c r="G177" i="23" s="1"/>
  <c r="B203" i="23"/>
  <c r="G203" i="23" s="1"/>
  <c r="B31" i="23"/>
  <c r="G31" i="23" s="1"/>
  <c r="B34" i="23"/>
  <c r="H34" i="23" s="1"/>
  <c r="B59" i="23"/>
  <c r="H59" i="23" s="1"/>
  <c r="B94" i="23"/>
  <c r="H94" i="23" s="1"/>
  <c r="B95" i="23"/>
  <c r="H95" i="23" s="1"/>
  <c r="B122" i="23"/>
  <c r="G122" i="23" s="1"/>
  <c r="B159" i="23"/>
  <c r="G159" i="23" s="1"/>
  <c r="B174" i="23"/>
  <c r="H174" i="23" s="1"/>
  <c r="B190" i="23"/>
  <c r="G190" i="23" s="1"/>
  <c r="B206" i="23"/>
  <c r="H206" i="23" s="1"/>
  <c r="G194" i="23"/>
  <c r="B160" i="6"/>
  <c r="G160" i="6" s="1"/>
  <c r="B17" i="6"/>
  <c r="H17" i="6" s="1"/>
  <c r="B50" i="18"/>
  <c r="H50" i="18" s="1"/>
  <c r="B25" i="18"/>
  <c r="G25" i="18" s="1"/>
  <c r="B84" i="18"/>
  <c r="G84" i="18" s="1"/>
  <c r="B139" i="18"/>
  <c r="H139" i="18" s="1"/>
  <c r="B165" i="18"/>
  <c r="G165" i="18" s="1"/>
  <c r="B164" i="18"/>
  <c r="G164" i="18" s="1"/>
  <c r="B119" i="18"/>
  <c r="H119" i="18" s="1"/>
  <c r="B109" i="18"/>
  <c r="G109" i="18" s="1"/>
  <c r="B89" i="18"/>
  <c r="H89" i="18" s="1"/>
  <c r="B79" i="18"/>
  <c r="H79" i="18" s="1"/>
  <c r="B74" i="18"/>
  <c r="H74" i="18" s="1"/>
  <c r="B64" i="18"/>
  <c r="H64" i="18" s="1"/>
  <c r="B39" i="18"/>
  <c r="G39" i="18" s="1"/>
  <c r="B83" i="18"/>
  <c r="G83" i="18" s="1"/>
  <c r="B105" i="18"/>
  <c r="H105" i="18" s="1"/>
  <c r="B180" i="18"/>
  <c r="G180" i="18" s="1"/>
  <c r="B183" i="18"/>
  <c r="H183" i="18" s="1"/>
  <c r="B75" i="18"/>
  <c r="G75" i="18" s="1"/>
  <c r="B42" i="18"/>
  <c r="G42" i="18" s="1"/>
  <c r="B37" i="18"/>
  <c r="H37" i="18" s="1"/>
  <c r="B195" i="18"/>
  <c r="G195" i="18" s="1"/>
  <c r="B196" i="18"/>
  <c r="G196" i="18" s="1"/>
  <c r="B51" i="18"/>
  <c r="H51" i="18" s="1"/>
  <c r="B26" i="18"/>
  <c r="G26" i="18" s="1"/>
  <c r="B137" i="18"/>
  <c r="H137" i="18" s="1"/>
  <c r="B116" i="18"/>
  <c r="H116" i="18" s="1"/>
  <c r="B85" i="18"/>
  <c r="G85" i="18" s="1"/>
  <c r="B127" i="18"/>
  <c r="G127" i="18" s="1"/>
  <c r="B175" i="18"/>
  <c r="G175" i="18" s="1"/>
  <c r="B130" i="18"/>
  <c r="G130" i="18" s="1"/>
  <c r="B177" i="18"/>
  <c r="G177" i="18" s="1"/>
  <c r="B24" i="6"/>
  <c r="G24" i="6" s="1"/>
  <c r="B10" i="6"/>
  <c r="G10" i="6" s="1"/>
  <c r="B161" i="6"/>
  <c r="G161" i="6" s="1"/>
  <c r="G192" i="13"/>
  <c r="H199" i="13"/>
  <c r="B51" i="6"/>
  <c r="G51" i="6" s="1"/>
  <c r="B44" i="18"/>
  <c r="G44" i="18" s="1"/>
  <c r="B78" i="18"/>
  <c r="H78" i="18" s="1"/>
  <c r="B48" i="18"/>
  <c r="G48" i="18" s="1"/>
  <c r="B23" i="18"/>
  <c r="G23" i="18" s="1"/>
  <c r="B189" i="18"/>
  <c r="H189" i="18" s="1"/>
  <c r="B35" i="18"/>
  <c r="H35" i="18" s="1"/>
  <c r="B36" i="18"/>
  <c r="G36" i="18" s="1"/>
  <c r="B185" i="18"/>
  <c r="H185" i="18" s="1"/>
  <c r="B71" i="18"/>
  <c r="H71" i="18" s="1"/>
  <c r="B181" i="18"/>
  <c r="H181" i="18" s="1"/>
  <c r="B182" i="18"/>
  <c r="G182" i="18" s="1"/>
  <c r="B97" i="18"/>
  <c r="G97" i="18" s="1"/>
  <c r="B124" i="18"/>
  <c r="H124" i="18" s="1"/>
  <c r="H22" i="18"/>
  <c r="B11" i="18"/>
  <c r="G11" i="18" s="1"/>
  <c r="B193" i="18"/>
  <c r="G193" i="18" s="1"/>
  <c r="B190" i="18"/>
  <c r="G190" i="18" s="1"/>
  <c r="B171" i="18"/>
  <c r="H171" i="18" s="1"/>
  <c r="B41" i="18"/>
  <c r="G41" i="18" s="1"/>
  <c r="B14" i="18"/>
  <c r="H14" i="18" s="1"/>
  <c r="B112" i="18"/>
  <c r="G112" i="18" s="1"/>
  <c r="B156" i="18"/>
  <c r="H156" i="18" s="1"/>
  <c r="B203" i="18"/>
  <c r="G203" i="18" s="1"/>
  <c r="B134" i="18"/>
  <c r="G134" i="18" s="1"/>
  <c r="B31" i="18"/>
  <c r="G31" i="18" s="1"/>
  <c r="H54" i="18"/>
  <c r="B205" i="18"/>
  <c r="H205" i="18" s="1"/>
  <c r="B166" i="18"/>
  <c r="H166" i="18" s="1"/>
  <c r="B90" i="18"/>
  <c r="G90" i="18" s="1"/>
  <c r="B77" i="18"/>
  <c r="H77" i="18" s="1"/>
  <c r="B172" i="18"/>
  <c r="G172" i="18" s="1"/>
  <c r="B208" i="18"/>
  <c r="G208" i="18" s="1"/>
  <c r="B187" i="18"/>
  <c r="G187" i="18" s="1"/>
  <c r="B87" i="18"/>
  <c r="H87" i="18" s="1"/>
  <c r="B56" i="18"/>
  <c r="G56" i="18" s="1"/>
  <c r="B96" i="18"/>
  <c r="H96" i="18" s="1"/>
  <c r="B28" i="18"/>
  <c r="H195" i="18"/>
  <c r="H111" i="18"/>
  <c r="G111" i="18"/>
  <c r="G45" i="18"/>
  <c r="H45" i="18"/>
  <c r="B24" i="18"/>
  <c r="G24" i="18" s="1"/>
  <c r="G131" i="18"/>
  <c r="H152" i="18"/>
  <c r="B59" i="18"/>
  <c r="G59" i="18" s="1"/>
  <c r="B147" i="18"/>
  <c r="G147" i="18" s="1"/>
  <c r="B200" i="18"/>
  <c r="H200" i="18" s="1"/>
  <c r="G167" i="18"/>
  <c r="B82" i="18"/>
  <c r="H82" i="18" s="1"/>
  <c r="B179" i="18"/>
  <c r="H179" i="18" s="1"/>
  <c r="B104" i="18"/>
  <c r="G104" i="18" s="1"/>
  <c r="B129" i="18"/>
  <c r="H129" i="18" s="1"/>
  <c r="G51" i="18"/>
  <c r="G57" i="18"/>
  <c r="G89" i="18"/>
  <c r="H33" i="18"/>
  <c r="B157" i="18"/>
  <c r="H157" i="18" s="1"/>
  <c r="B81" i="18"/>
  <c r="G81" i="18" s="1"/>
  <c r="B58" i="18"/>
  <c r="G58" i="18" s="1"/>
  <c r="G91" i="18"/>
  <c r="B80" i="18"/>
  <c r="H80" i="18" s="1"/>
  <c r="B148" i="18"/>
  <c r="H148" i="18" s="1"/>
  <c r="B123" i="18"/>
  <c r="G123" i="18" s="1"/>
  <c r="B150" i="18"/>
  <c r="H150" i="18" s="1"/>
  <c r="B43" i="18"/>
  <c r="H43" i="18" s="1"/>
  <c r="B110" i="18"/>
  <c r="H110" i="18" s="1"/>
  <c r="B19" i="18"/>
  <c r="H19" i="18" s="1"/>
  <c r="B49" i="18"/>
  <c r="G49" i="18" s="1"/>
  <c r="B149" i="18"/>
  <c r="H149" i="18" s="1"/>
  <c r="G38" i="18"/>
  <c r="B92" i="18"/>
  <c r="G92" i="18" s="1"/>
  <c r="G77" i="18"/>
  <c r="B122" i="18"/>
  <c r="H122" i="18" s="1"/>
  <c r="B209" i="18"/>
  <c r="H209" i="18" s="1"/>
  <c r="B113" i="18"/>
  <c r="H113" i="18" s="1"/>
  <c r="B60" i="18"/>
  <c r="G60" i="18" s="1"/>
  <c r="B94" i="18"/>
  <c r="H94" i="18" s="1"/>
  <c r="B121" i="18"/>
  <c r="H121" i="18" s="1"/>
  <c r="B142" i="18"/>
  <c r="G142" i="18" s="1"/>
  <c r="B66" i="18"/>
  <c r="G66" i="18" s="1"/>
  <c r="B144" i="18"/>
  <c r="H144" i="18" s="1"/>
  <c r="H201" i="18"/>
  <c r="H30" i="18"/>
  <c r="G30" i="18"/>
  <c r="H53" i="18"/>
  <c r="B207" i="18"/>
  <c r="H207" i="18" s="1"/>
  <c r="B160" i="18"/>
  <c r="G160" i="18" s="1"/>
  <c r="G53" i="18"/>
  <c r="G61" i="18"/>
  <c r="H61" i="18"/>
  <c r="B40" i="18"/>
  <c r="H40" i="18" s="1"/>
  <c r="B128" i="18"/>
  <c r="H128" i="18" s="1"/>
  <c r="B73" i="18"/>
  <c r="H73" i="18" s="1"/>
  <c r="G73" i="18"/>
  <c r="G29" i="18"/>
  <c r="B154" i="18"/>
  <c r="G154" i="18" s="1"/>
  <c r="G21" i="18"/>
  <c r="G86" i="18"/>
  <c r="H127" i="18"/>
  <c r="H29" i="18"/>
  <c r="B69" i="18"/>
  <c r="H69" i="18" s="1"/>
  <c r="H86" i="18"/>
  <c r="B198" i="18"/>
  <c r="G198" i="18" s="1"/>
  <c r="B115" i="18"/>
  <c r="H115" i="18" s="1"/>
  <c r="G115" i="18"/>
  <c r="G116" i="18"/>
  <c r="B161" i="18"/>
  <c r="H161" i="18" s="1"/>
  <c r="B68" i="18"/>
  <c r="H68" i="18" s="1"/>
  <c r="G68" i="18"/>
  <c r="B70" i="18"/>
  <c r="H70" i="18" s="1"/>
  <c r="B204" i="18"/>
  <c r="H204" i="18" s="1"/>
  <c r="G204" i="18"/>
  <c r="H23" i="18"/>
  <c r="B133" i="18"/>
  <c r="G133" i="18" s="1"/>
  <c r="B140" i="18"/>
  <c r="H140" i="18" s="1"/>
  <c r="B188" i="18"/>
  <c r="H188" i="18" s="1"/>
  <c r="G188" i="18"/>
  <c r="B65" i="18"/>
  <c r="G65" i="18" s="1"/>
  <c r="B135" i="18"/>
  <c r="G135" i="18" s="1"/>
  <c r="G46" i="18"/>
  <c r="H99" i="18"/>
  <c r="B186" i="18"/>
  <c r="H186" i="18" s="1"/>
  <c r="B17" i="18"/>
  <c r="G17" i="18" s="1"/>
  <c r="B15" i="18"/>
  <c r="H15" i="18" s="1"/>
  <c r="G107" i="18"/>
  <c r="G102" i="18"/>
  <c r="B169" i="18"/>
  <c r="G169" i="18" s="1"/>
  <c r="B114" i="18"/>
  <c r="H114" i="18" s="1"/>
  <c r="B132" i="18"/>
  <c r="G132" i="18" s="1"/>
  <c r="B151" i="18"/>
  <c r="H151" i="18" s="1"/>
  <c r="B162" i="18"/>
  <c r="G162" i="18" s="1"/>
  <c r="B118" i="18"/>
  <c r="H118" i="18" s="1"/>
  <c r="B163" i="18"/>
  <c r="H163" i="18" s="1"/>
  <c r="B176" i="18"/>
  <c r="G176" i="18" s="1"/>
  <c r="B120" i="18"/>
  <c r="H120" i="18" s="1"/>
  <c r="B141" i="18"/>
  <c r="H141" i="18" s="1"/>
  <c r="B159" i="18"/>
  <c r="H159" i="18" s="1"/>
  <c r="B178" i="18"/>
  <c r="G178" i="18" s="1"/>
  <c r="B199" i="18"/>
  <c r="H199" i="18" s="1"/>
  <c r="B76" i="18"/>
  <c r="G76" i="18" s="1"/>
  <c r="B95" i="18"/>
  <c r="H95" i="18" s="1"/>
  <c r="B98" i="18"/>
  <c r="G98" i="18" s="1"/>
  <c r="B126" i="18"/>
  <c r="H126" i="18" s="1"/>
  <c r="B143" i="18"/>
  <c r="H143" i="18" s="1"/>
  <c r="B170" i="18"/>
  <c r="G170" i="18" s="1"/>
  <c r="B191" i="18"/>
  <c r="H191" i="18" s="1"/>
  <c r="B16" i="18"/>
  <c r="G16" i="18" s="1"/>
  <c r="B13" i="18"/>
  <c r="H13" i="18" s="1"/>
  <c r="B55" i="18"/>
  <c r="G55" i="18" s="1"/>
  <c r="B63" i="18"/>
  <c r="G63" i="18" s="1"/>
  <c r="B88" i="18"/>
  <c r="G88" i="18" s="1"/>
  <c r="B125" i="18"/>
  <c r="H125" i="18" s="1"/>
  <c r="B100" i="18"/>
  <c r="G100" i="18" s="1"/>
  <c r="B136" i="18"/>
  <c r="G136" i="18" s="1"/>
  <c r="B155" i="18"/>
  <c r="G155" i="18" s="1"/>
  <c r="B194" i="18"/>
  <c r="H194" i="18" s="1"/>
  <c r="B138" i="18"/>
  <c r="H138" i="18" s="1"/>
  <c r="B173" i="18"/>
  <c r="H173" i="18" s="1"/>
  <c r="B197" i="18"/>
  <c r="H197" i="18" s="1"/>
  <c r="B184" i="18"/>
  <c r="H184" i="18" s="1"/>
  <c r="B206" i="18"/>
  <c r="H206" i="18" s="1"/>
  <c r="B18" i="18"/>
  <c r="H18" i="18" s="1"/>
  <c r="B27" i="18"/>
  <c r="H27" i="18" s="1"/>
  <c r="B52" i="18"/>
  <c r="H52" i="18" s="1"/>
  <c r="B72" i="18"/>
  <c r="H72" i="18" s="1"/>
  <c r="B93" i="18"/>
  <c r="H93" i="18" s="1"/>
  <c r="B101" i="18"/>
  <c r="H101" i="18" s="1"/>
  <c r="B145" i="18"/>
  <c r="H145" i="18" s="1"/>
  <c r="B146" i="18"/>
  <c r="H146" i="18" s="1"/>
  <c r="B174" i="18"/>
  <c r="H174" i="18" s="1"/>
  <c r="B192" i="18"/>
  <c r="H192" i="18" s="1"/>
  <c r="B67" i="6"/>
  <c r="G67" i="6" s="1"/>
  <c r="B12" i="6"/>
  <c r="G12" i="6" s="1"/>
  <c r="B173" i="6"/>
  <c r="H173" i="6" s="1"/>
  <c r="B154" i="6"/>
  <c r="H154" i="6" s="1"/>
  <c r="B98" i="6"/>
  <c r="H98" i="6" s="1"/>
  <c r="B81" i="6"/>
  <c r="G81" i="6" s="1"/>
  <c r="B19" i="6"/>
  <c r="G19" i="6" s="1"/>
  <c r="B157" i="6"/>
  <c r="G157" i="6" s="1"/>
  <c r="B71" i="6"/>
  <c r="H71" i="6" s="1"/>
  <c r="B69" i="6"/>
  <c r="H69" i="6" s="1"/>
  <c r="B124" i="6"/>
  <c r="G124" i="6" s="1"/>
  <c r="B162" i="6"/>
  <c r="G162" i="6" s="1"/>
  <c r="B164" i="6"/>
  <c r="G164" i="6" s="1"/>
  <c r="B42" i="6"/>
  <c r="H42" i="6" s="1"/>
  <c r="B152" i="6"/>
  <c r="G152" i="6" s="1"/>
  <c r="B191" i="6"/>
  <c r="H191" i="6" s="1"/>
  <c r="B145" i="6"/>
  <c r="H145" i="6" s="1"/>
  <c r="B200" i="6"/>
  <c r="H200" i="6" s="1"/>
  <c r="B115" i="6"/>
  <c r="H115" i="6" s="1"/>
  <c r="B108" i="6"/>
  <c r="G108" i="6" s="1"/>
  <c r="B109" i="6"/>
  <c r="G109" i="6" s="1"/>
  <c r="B159" i="6"/>
  <c r="G159" i="6" s="1"/>
  <c r="B29" i="6"/>
  <c r="H29" i="6" s="1"/>
  <c r="B191" i="13"/>
  <c r="H191" i="13" s="1"/>
  <c r="B130" i="13"/>
  <c r="H130" i="13" s="1"/>
  <c r="B104" i="13"/>
  <c r="H104" i="13" s="1"/>
  <c r="B44" i="13"/>
  <c r="G44" i="13" s="1"/>
  <c r="B208" i="13"/>
  <c r="G208" i="13" s="1"/>
  <c r="B100" i="13"/>
  <c r="G100" i="13" s="1"/>
  <c r="B168" i="13"/>
  <c r="H168" i="13" s="1"/>
  <c r="B24" i="13"/>
  <c r="H24" i="13" s="1"/>
  <c r="B206" i="13"/>
  <c r="B125" i="13"/>
  <c r="G125" i="13" s="1"/>
  <c r="B92" i="13"/>
  <c r="G92" i="13" s="1"/>
  <c r="B88" i="13"/>
  <c r="G88" i="13" s="1"/>
  <c r="B90" i="13"/>
  <c r="H90" i="13" s="1"/>
  <c r="B57" i="13"/>
  <c r="H57" i="13" s="1"/>
  <c r="B109" i="13"/>
  <c r="H109" i="13" s="1"/>
  <c r="B47" i="13"/>
  <c r="H47" i="13" s="1"/>
  <c r="B155" i="13"/>
  <c r="B81" i="13"/>
  <c r="H81" i="13" s="1"/>
  <c r="B48" i="13"/>
  <c r="G48" i="13" s="1"/>
  <c r="B35" i="13"/>
  <c r="G35" i="13" s="1"/>
  <c r="B18" i="13"/>
  <c r="H18" i="13" s="1"/>
  <c r="B17" i="13"/>
  <c r="H17" i="13" s="1"/>
  <c r="B40" i="13"/>
  <c r="G40" i="13" s="1"/>
  <c r="B15" i="13"/>
  <c r="G15" i="13" s="1"/>
  <c r="B99" i="13"/>
  <c r="H99" i="13" s="1"/>
  <c r="B51" i="13"/>
  <c r="G51" i="13" s="1"/>
  <c r="B145" i="13"/>
  <c r="G145" i="13" s="1"/>
  <c r="B55" i="13"/>
  <c r="G55" i="13" s="1"/>
  <c r="B195" i="13"/>
  <c r="G195" i="13" s="1"/>
  <c r="B126" i="13"/>
  <c r="G126" i="13" s="1"/>
  <c r="B178" i="13"/>
  <c r="B112" i="13"/>
  <c r="G112" i="13" s="1"/>
  <c r="B139" i="13"/>
  <c r="H139" i="13" s="1"/>
  <c r="B204" i="13"/>
  <c r="H204" i="13" s="1"/>
  <c r="B205" i="13"/>
  <c r="G205" i="13" s="1"/>
  <c r="B177" i="13"/>
  <c r="B187" i="13"/>
  <c r="H187" i="13" s="1"/>
  <c r="B140" i="13"/>
  <c r="H140" i="13" s="1"/>
  <c r="B73" i="13"/>
  <c r="H73" i="13" s="1"/>
  <c r="B58" i="13"/>
  <c r="H58" i="13" s="1"/>
  <c r="B189" i="13"/>
  <c r="G189" i="13" s="1"/>
  <c r="B41" i="13"/>
  <c r="G41" i="13" s="1"/>
  <c r="B203" i="13"/>
  <c r="H203" i="13" s="1"/>
  <c r="B10" i="13"/>
  <c r="H10" i="13" s="1"/>
  <c r="B198" i="13"/>
  <c r="H198" i="13" s="1"/>
  <c r="B196" i="13"/>
  <c r="B115" i="13"/>
  <c r="B131" i="13"/>
  <c r="H131" i="13" s="1"/>
  <c r="B163" i="13"/>
  <c r="H163" i="13" s="1"/>
  <c r="B105" i="13"/>
  <c r="G105" i="13" s="1"/>
  <c r="B101" i="13"/>
  <c r="H101" i="13" s="1"/>
  <c r="B72" i="13"/>
  <c r="G72" i="13" s="1"/>
  <c r="B64" i="13"/>
  <c r="H64" i="13" s="1"/>
  <c r="B43" i="13"/>
  <c r="G43" i="13" s="1"/>
  <c r="B45" i="13"/>
  <c r="G45" i="13" s="1"/>
  <c r="B19" i="13"/>
  <c r="H19" i="13" s="1"/>
  <c r="B11" i="13"/>
  <c r="G11" i="13" s="1"/>
  <c r="B201" i="13"/>
  <c r="B132" i="13"/>
  <c r="G132" i="13" s="1"/>
  <c r="B133" i="13"/>
  <c r="H133" i="13" s="1"/>
  <c r="B83" i="13"/>
  <c r="H83" i="13" s="1"/>
  <c r="B202" i="13"/>
  <c r="G202" i="13" s="1"/>
  <c r="B188" i="13"/>
  <c r="H188" i="13" s="1"/>
  <c r="B182" i="13"/>
  <c r="H182" i="13" s="1"/>
  <c r="B200" i="13"/>
  <c r="G200" i="13" s="1"/>
  <c r="B194" i="13"/>
  <c r="G194" i="13" s="1"/>
  <c r="B160" i="13"/>
  <c r="G160" i="13" s="1"/>
  <c r="B106" i="13"/>
  <c r="G106" i="13" s="1"/>
  <c r="B161" i="13"/>
  <c r="H161" i="13" s="1"/>
  <c r="B74" i="13"/>
  <c r="G74" i="13" s="1"/>
  <c r="B193" i="13"/>
  <c r="G193" i="13" s="1"/>
  <c r="B197" i="13"/>
  <c r="H197" i="13" s="1"/>
  <c r="B135" i="13"/>
  <c r="G135" i="13" s="1"/>
  <c r="B141" i="13"/>
  <c r="H141" i="13" s="1"/>
  <c r="B120" i="13"/>
  <c r="H120" i="13" s="1"/>
  <c r="B53" i="13"/>
  <c r="G53" i="13" s="1"/>
  <c r="B59" i="13"/>
  <c r="H59" i="13" s="1"/>
  <c r="B33" i="13"/>
  <c r="H33" i="13" s="1"/>
  <c r="B207" i="13"/>
  <c r="G207" i="13" s="1"/>
  <c r="B119" i="13"/>
  <c r="G119" i="13" s="1"/>
  <c r="B66" i="13"/>
  <c r="G66" i="13" s="1"/>
  <c r="B30" i="13"/>
  <c r="G30" i="13" s="1"/>
  <c r="B123" i="13"/>
  <c r="H123" i="13" s="1"/>
  <c r="B78" i="13"/>
  <c r="H78" i="13" s="1"/>
  <c r="B186" i="13"/>
  <c r="H186" i="13" s="1"/>
  <c r="B60" i="13"/>
  <c r="G60" i="13" s="1"/>
  <c r="B147" i="13"/>
  <c r="H147" i="13" s="1"/>
  <c r="B13" i="13"/>
  <c r="H13" i="13" s="1"/>
  <c r="B117" i="13"/>
  <c r="G117" i="13" s="1"/>
  <c r="B37" i="13"/>
  <c r="H37" i="13" s="1"/>
  <c r="B192" i="13"/>
  <c r="H192" i="13" s="1"/>
  <c r="B172" i="13"/>
  <c r="G172" i="13" s="1"/>
  <c r="B199" i="13"/>
  <c r="G199" i="13" s="1"/>
  <c r="B124" i="13"/>
  <c r="G124" i="13" s="1"/>
  <c r="B170" i="13"/>
  <c r="H170" i="13" s="1"/>
  <c r="B190" i="13"/>
  <c r="G190" i="13" s="1"/>
  <c r="B173" i="13"/>
  <c r="H173" i="13" s="1"/>
  <c r="B169" i="13"/>
  <c r="H169" i="13" s="1"/>
  <c r="B174" i="13"/>
  <c r="H174" i="13" s="1"/>
  <c r="B153" i="13"/>
  <c r="G153" i="13" s="1"/>
  <c r="B94" i="13"/>
  <c r="G94" i="13" s="1"/>
  <c r="B39" i="13"/>
  <c r="H39" i="13" s="1"/>
  <c r="B138" i="13"/>
  <c r="G138" i="13" s="1"/>
  <c r="B209" i="13"/>
  <c r="G209" i="13" s="1"/>
  <c r="B167" i="13"/>
  <c r="G167" i="13" s="1"/>
  <c r="B16" i="13"/>
  <c r="G16" i="13" s="1"/>
  <c r="B111" i="13"/>
  <c r="H111" i="13" s="1"/>
  <c r="B162" i="13"/>
  <c r="H162" i="13" s="1"/>
  <c r="B42" i="13"/>
  <c r="H42" i="13" s="1"/>
  <c r="B65" i="13"/>
  <c r="G65" i="13" s="1"/>
  <c r="B164" i="13"/>
  <c r="H164" i="13" s="1"/>
  <c r="B116" i="13"/>
  <c r="H116" i="13" s="1"/>
  <c r="B80" i="13"/>
  <c r="H80" i="13" s="1"/>
  <c r="B93" i="13"/>
  <c r="G93" i="13" s="1"/>
  <c r="B82" i="13"/>
  <c r="G82" i="13" s="1"/>
  <c r="B56" i="13"/>
  <c r="G56" i="13" s="1"/>
  <c r="B96" i="13"/>
  <c r="G96" i="13" s="1"/>
  <c r="B154" i="13"/>
  <c r="G154" i="13" s="1"/>
  <c r="B171" i="13"/>
  <c r="G171" i="13" s="1"/>
  <c r="B156" i="13"/>
  <c r="H156" i="13" s="1"/>
  <c r="B46" i="13"/>
  <c r="G46" i="13" s="1"/>
  <c r="B122" i="13"/>
  <c r="G122" i="13" s="1"/>
  <c r="B31" i="13"/>
  <c r="G31" i="13" s="1"/>
  <c r="B14" i="13"/>
  <c r="G14" i="13" s="1"/>
  <c r="G27" i="13"/>
  <c r="B38" i="13"/>
  <c r="H38" i="13" s="1"/>
  <c r="B49" i="13"/>
  <c r="G49" i="13" s="1"/>
  <c r="B87" i="13"/>
  <c r="H87" i="13" s="1"/>
  <c r="B12" i="13"/>
  <c r="H12" i="13" s="1"/>
  <c r="B91" i="13"/>
  <c r="G91" i="13" s="1"/>
  <c r="B149" i="13"/>
  <c r="H149" i="13" s="1"/>
  <c r="B148" i="13"/>
  <c r="G148" i="13" s="1"/>
  <c r="B157" i="13"/>
  <c r="H157" i="13" s="1"/>
  <c r="B127" i="13"/>
  <c r="G127" i="13" s="1"/>
  <c r="B129" i="13"/>
  <c r="G129" i="13" s="1"/>
  <c r="B128" i="13"/>
  <c r="G128" i="13" s="1"/>
  <c r="B63" i="13"/>
  <c r="G63" i="13" s="1"/>
  <c r="B69" i="13"/>
  <c r="H69" i="13" s="1"/>
  <c r="B75" i="13"/>
  <c r="H75" i="13" s="1"/>
  <c r="B85" i="13"/>
  <c r="H85" i="13" s="1"/>
  <c r="B142" i="13"/>
  <c r="H142" i="13" s="1"/>
  <c r="B150" i="13"/>
  <c r="G150" i="13" s="1"/>
  <c r="B184" i="13"/>
  <c r="G184" i="13" s="1"/>
  <c r="B67" i="13"/>
  <c r="G67" i="13" s="1"/>
  <c r="B71" i="13"/>
  <c r="G71" i="13" s="1"/>
  <c r="B137" i="13"/>
  <c r="G137" i="13" s="1"/>
  <c r="B22" i="13"/>
  <c r="H22" i="13" s="1"/>
  <c r="B23" i="13"/>
  <c r="G23" i="13" s="1"/>
  <c r="B29" i="13"/>
  <c r="H29" i="13" s="1"/>
  <c r="B54" i="13"/>
  <c r="H54" i="13" s="1"/>
  <c r="B61" i="13"/>
  <c r="H61" i="13" s="1"/>
  <c r="B84" i="13"/>
  <c r="H84" i="13" s="1"/>
  <c r="B121" i="13"/>
  <c r="H121" i="13" s="1"/>
  <c r="B86" i="13"/>
  <c r="H86" i="13" s="1"/>
  <c r="B136" i="13"/>
  <c r="G136" i="13" s="1"/>
  <c r="B176" i="13"/>
  <c r="G176" i="13" s="1"/>
  <c r="B179" i="13"/>
  <c r="G179" i="13" s="1"/>
  <c r="B21" i="13"/>
  <c r="H21" i="13" s="1"/>
  <c r="B36" i="13"/>
  <c r="H36" i="13" s="1"/>
  <c r="B113" i="13"/>
  <c r="H113" i="13" s="1"/>
  <c r="B108" i="13"/>
  <c r="H108" i="13" s="1"/>
  <c r="B107" i="13"/>
  <c r="G107" i="13" s="1"/>
  <c r="B118" i="13"/>
  <c r="H118" i="13" s="1"/>
  <c r="B146" i="13"/>
  <c r="G146" i="13" s="1"/>
  <c r="B181" i="13"/>
  <c r="G181" i="13" s="1"/>
  <c r="B26" i="13"/>
  <c r="H26" i="13" s="1"/>
  <c r="B20" i="13"/>
  <c r="G20" i="13" s="1"/>
  <c r="B68" i="13"/>
  <c r="G68" i="13" s="1"/>
  <c r="B183" i="13"/>
  <c r="G183" i="13" s="1"/>
  <c r="B175" i="13"/>
  <c r="G175" i="13" s="1"/>
  <c r="B25" i="13"/>
  <c r="G25" i="13" s="1"/>
  <c r="B62" i="13"/>
  <c r="H62" i="13" s="1"/>
  <c r="B70" i="13"/>
  <c r="G70" i="13" s="1"/>
  <c r="B76" i="13"/>
  <c r="H76" i="13" s="1"/>
  <c r="B98" i="13"/>
  <c r="H98" i="13" s="1"/>
  <c r="B143" i="13"/>
  <c r="H143" i="13" s="1"/>
  <c r="B166" i="13"/>
  <c r="H166" i="13" s="1"/>
  <c r="B180" i="13"/>
  <c r="G180" i="13" s="1"/>
  <c r="B34" i="13"/>
  <c r="G34" i="13" s="1"/>
  <c r="B28" i="13"/>
  <c r="H28" i="13" s="1"/>
  <c r="B50" i="13"/>
  <c r="G50" i="13" s="1"/>
  <c r="B103" i="13"/>
  <c r="G103" i="13" s="1"/>
  <c r="B95" i="13"/>
  <c r="G95" i="13" s="1"/>
  <c r="B158" i="13"/>
  <c r="G158" i="13" s="1"/>
  <c r="B144" i="13"/>
  <c r="G144" i="13" s="1"/>
  <c r="B134" i="13"/>
  <c r="G134" i="13" s="1"/>
  <c r="B185" i="13"/>
  <c r="G185" i="13" s="1"/>
  <c r="B52" i="13"/>
  <c r="H52" i="13" s="1"/>
  <c r="B97" i="13"/>
  <c r="H97" i="13" s="1"/>
  <c r="B114" i="13"/>
  <c r="H114" i="13" s="1"/>
  <c r="B89" i="13"/>
  <c r="H89" i="13" s="1"/>
  <c r="B165" i="13"/>
  <c r="H165" i="13" s="1"/>
  <c r="B32" i="13"/>
  <c r="H32" i="13" s="1"/>
  <c r="B77" i="13"/>
  <c r="H77" i="13" s="1"/>
  <c r="B79" i="13"/>
  <c r="H79" i="13" s="1"/>
  <c r="B102" i="13"/>
  <c r="H102" i="13" s="1"/>
  <c r="B110" i="13"/>
  <c r="H110" i="13" s="1"/>
  <c r="B152" i="13"/>
  <c r="H152" i="13" s="1"/>
  <c r="B159" i="13"/>
  <c r="H159" i="13" s="1"/>
  <c r="B151" i="13"/>
  <c r="H151" i="13" s="1"/>
  <c r="B62" i="6"/>
  <c r="G62" i="6" s="1"/>
  <c r="B13" i="6"/>
  <c r="H13" i="6" s="1"/>
  <c r="B147" i="6"/>
  <c r="H147" i="6" s="1"/>
  <c r="B141" i="6"/>
  <c r="H141" i="6" s="1"/>
  <c r="B45" i="6"/>
  <c r="H45" i="6" s="1"/>
  <c r="B138" i="6"/>
  <c r="H138" i="6" s="1"/>
  <c r="B97" i="6"/>
  <c r="G97" i="6" s="1"/>
  <c r="B34" i="6"/>
  <c r="G34" i="6" s="1"/>
  <c r="B181" i="6"/>
  <c r="H181" i="6" s="1"/>
  <c r="B94" i="6"/>
  <c r="H94" i="6" s="1"/>
  <c r="B39" i="6"/>
  <c r="H39" i="6" s="1"/>
  <c r="B131" i="6"/>
  <c r="H131" i="6" s="1"/>
  <c r="B50" i="6"/>
  <c r="G50" i="6" s="1"/>
  <c r="B86" i="6"/>
  <c r="G86" i="6" s="1"/>
  <c r="B95" i="6"/>
  <c r="G95" i="6" s="1"/>
  <c r="B56" i="6"/>
  <c r="G56" i="6" s="1"/>
  <c r="B174" i="6"/>
  <c r="H174" i="6" s="1"/>
  <c r="B199" i="6"/>
  <c r="H199" i="6" s="1"/>
  <c r="B121" i="6"/>
  <c r="G121" i="6" s="1"/>
  <c r="B119" i="6"/>
  <c r="G119" i="6" s="1"/>
  <c r="B192" i="6"/>
  <c r="G192" i="6" s="1"/>
  <c r="B208" i="6"/>
  <c r="G208" i="6" s="1"/>
  <c r="B111" i="6"/>
  <c r="H111" i="6" s="1"/>
  <c r="B197" i="6"/>
  <c r="H197" i="6" s="1"/>
  <c r="B158" i="6"/>
  <c r="H158" i="6" s="1"/>
  <c r="B150" i="6"/>
  <c r="H150" i="6" s="1"/>
  <c r="B76" i="6"/>
  <c r="G76" i="6" s="1"/>
  <c r="B185" i="6"/>
  <c r="G185" i="6" s="1"/>
  <c r="B105" i="6"/>
  <c r="G105" i="6" s="1"/>
  <c r="B48" i="6"/>
  <c r="G48" i="6" s="1"/>
  <c r="B88" i="6"/>
  <c r="G88" i="6" s="1"/>
  <c r="B79" i="6"/>
  <c r="H79" i="6" s="1"/>
  <c r="B49" i="6"/>
  <c r="H49" i="6" s="1"/>
  <c r="B25" i="6"/>
  <c r="H25" i="6" s="1"/>
  <c r="B38" i="6"/>
  <c r="H38" i="6" s="1"/>
  <c r="B11" i="6"/>
  <c r="H11" i="6" s="1"/>
  <c r="B37" i="6"/>
  <c r="G37" i="6" s="1"/>
  <c r="B28" i="6"/>
  <c r="G28" i="6" s="1"/>
  <c r="B114" i="6"/>
  <c r="G114" i="6" s="1"/>
  <c r="B41" i="6"/>
  <c r="G41" i="6" s="1"/>
  <c r="B171" i="6"/>
  <c r="H171" i="6" s="1"/>
  <c r="B89" i="6"/>
  <c r="G89" i="6" s="1"/>
  <c r="B87" i="6"/>
  <c r="G87" i="6" s="1"/>
  <c r="B85" i="6"/>
  <c r="H85" i="6" s="1"/>
  <c r="B22" i="6"/>
  <c r="H22" i="6" s="1"/>
  <c r="B207" i="6"/>
  <c r="H207" i="6" s="1"/>
  <c r="B23" i="6"/>
  <c r="G23" i="6" s="1"/>
  <c r="B122" i="6"/>
  <c r="H122" i="6" s="1"/>
  <c r="B36" i="6"/>
  <c r="G36" i="6" s="1"/>
  <c r="B43" i="6"/>
  <c r="H43" i="6" s="1"/>
  <c r="B82" i="6"/>
  <c r="G82" i="6" s="1"/>
  <c r="B35" i="6"/>
  <c r="H35" i="6" s="1"/>
  <c r="B196" i="6"/>
  <c r="G196" i="6" s="1"/>
  <c r="B133" i="6"/>
  <c r="G133" i="6" s="1"/>
  <c r="B83" i="6"/>
  <c r="G83" i="6" s="1"/>
  <c r="B72" i="6"/>
  <c r="G72" i="6" s="1"/>
  <c r="B31" i="6"/>
  <c r="G31" i="6" s="1"/>
  <c r="B33" i="6"/>
  <c r="G33" i="6" s="1"/>
  <c r="B54" i="6"/>
  <c r="H54" i="6" s="1"/>
  <c r="B101" i="6"/>
  <c r="H101" i="6" s="1"/>
  <c r="B92" i="6"/>
  <c r="H92" i="6" s="1"/>
  <c r="B14" i="6"/>
  <c r="H14" i="6" s="1"/>
  <c r="B44" i="6"/>
  <c r="H44" i="6" s="1"/>
  <c r="B103" i="6"/>
  <c r="H103" i="6" s="1"/>
  <c r="B74" i="6"/>
  <c r="G74" i="6" s="1"/>
  <c r="B53" i="6"/>
  <c r="G53" i="6" s="1"/>
  <c r="B178" i="6"/>
  <c r="G178" i="6" s="1"/>
  <c r="B100" i="6"/>
  <c r="G100" i="6" s="1"/>
  <c r="B136" i="6"/>
  <c r="G136" i="6" s="1"/>
  <c r="B96" i="6"/>
  <c r="G96" i="6" s="1"/>
  <c r="B63" i="6"/>
  <c r="G63" i="6" s="1"/>
  <c r="B60" i="6"/>
  <c r="G60" i="6" s="1"/>
  <c r="B78" i="6"/>
  <c r="H78" i="6" s="1"/>
  <c r="B26" i="6"/>
  <c r="G26" i="6" s="1"/>
  <c r="B188" i="6"/>
  <c r="H188" i="6" s="1"/>
  <c r="B47" i="6"/>
  <c r="G47" i="6" s="1"/>
  <c r="B66" i="6"/>
  <c r="G66" i="6" s="1"/>
  <c r="B20" i="6"/>
  <c r="G20" i="6" s="1"/>
  <c r="B27" i="6"/>
  <c r="H27" i="6" s="1"/>
  <c r="B15" i="6"/>
  <c r="G15" i="6" s="1"/>
  <c r="B84" i="6"/>
  <c r="G84" i="6" s="1"/>
  <c r="B30" i="6"/>
  <c r="G30" i="6" s="1"/>
  <c r="B61" i="6"/>
  <c r="H61" i="6" s="1"/>
  <c r="B134" i="6"/>
  <c r="G134" i="6" s="1"/>
  <c r="B73" i="6"/>
  <c r="G73" i="6" s="1"/>
  <c r="B135" i="6"/>
  <c r="H135" i="6" s="1"/>
  <c r="B179" i="6"/>
  <c r="G179" i="6" s="1"/>
  <c r="H124" i="6"/>
  <c r="B46" i="6"/>
  <c r="G46" i="6" s="1"/>
  <c r="B206" i="6"/>
  <c r="G206" i="6" s="1"/>
  <c r="B203" i="6"/>
  <c r="G203" i="6" s="1"/>
  <c r="B202" i="6"/>
  <c r="G202" i="6" s="1"/>
  <c r="B184" i="6"/>
  <c r="H184" i="6" s="1"/>
  <c r="B40" i="6"/>
  <c r="H40" i="6" s="1"/>
  <c r="B163" i="6"/>
  <c r="H163" i="6" s="1"/>
  <c r="B77" i="6"/>
  <c r="G77" i="6" s="1"/>
  <c r="G117" i="6"/>
  <c r="B155" i="6"/>
  <c r="H155" i="6" s="1"/>
  <c r="B80" i="6"/>
  <c r="G80" i="6" s="1"/>
  <c r="B70" i="6"/>
  <c r="H70" i="6" s="1"/>
  <c r="B18" i="6"/>
  <c r="G18" i="6" s="1"/>
  <c r="G17" i="6"/>
  <c r="B102" i="6"/>
  <c r="G102" i="6" s="1"/>
  <c r="B112" i="6"/>
  <c r="G112" i="6" s="1"/>
  <c r="B75" i="6"/>
  <c r="G75" i="6" s="1"/>
  <c r="B183" i="6"/>
  <c r="H183" i="6" s="1"/>
  <c r="B110" i="6"/>
  <c r="G110" i="6" s="1"/>
  <c r="H162" i="6"/>
  <c r="B21" i="6"/>
  <c r="G21" i="6" s="1"/>
  <c r="B166" i="6"/>
  <c r="H166" i="6" s="1"/>
  <c r="B129" i="6"/>
  <c r="H129" i="6" s="1"/>
  <c r="B205" i="6"/>
  <c r="G205" i="6" s="1"/>
  <c r="B187" i="6"/>
  <c r="G187" i="6" s="1"/>
  <c r="B153" i="6"/>
  <c r="H153" i="6" s="1"/>
  <c r="B91" i="6"/>
  <c r="G91" i="6" s="1"/>
  <c r="B140" i="6"/>
  <c r="H140" i="6" s="1"/>
  <c r="B149" i="6"/>
  <c r="H149" i="6" s="1"/>
  <c r="G106" i="6"/>
  <c r="B151" i="6"/>
  <c r="H151" i="6" s="1"/>
  <c r="B144" i="6"/>
  <c r="G144" i="6" s="1"/>
  <c r="B68" i="6"/>
  <c r="H68" i="6" s="1"/>
  <c r="B167" i="6"/>
  <c r="H167" i="6" s="1"/>
  <c r="B118" i="6"/>
  <c r="H118" i="6" s="1"/>
  <c r="B209" i="6"/>
  <c r="H209" i="6" s="1"/>
  <c r="B120" i="6"/>
  <c r="H120" i="6" s="1"/>
  <c r="B142" i="6"/>
  <c r="H142" i="6" s="1"/>
  <c r="B127" i="6"/>
  <c r="H127" i="6" s="1"/>
  <c r="B116" i="6"/>
  <c r="H116" i="6" s="1"/>
  <c r="B57" i="6"/>
  <c r="H57" i="6" s="1"/>
  <c r="G32" i="6"/>
  <c r="B180" i="6"/>
  <c r="G180" i="6" s="1"/>
  <c r="B58" i="6"/>
  <c r="H58" i="6" s="1"/>
  <c r="B172" i="6"/>
  <c r="G172" i="6" s="1"/>
  <c r="B156" i="6"/>
  <c r="H156" i="6" s="1"/>
  <c r="G90" i="6"/>
  <c r="H160" i="6"/>
  <c r="B190" i="6"/>
  <c r="H190" i="6" s="1"/>
  <c r="B128" i="6"/>
  <c r="H128" i="6" s="1"/>
  <c r="H52" i="6"/>
  <c r="B182" i="6"/>
  <c r="G182" i="6" s="1"/>
  <c r="B132" i="6"/>
  <c r="G132" i="6" s="1"/>
  <c r="B169" i="6"/>
  <c r="H169" i="6" s="1"/>
  <c r="B168" i="6"/>
  <c r="G168" i="6" s="1"/>
  <c r="B201" i="6"/>
  <c r="H201" i="6" s="1"/>
  <c r="B139" i="6"/>
  <c r="G139" i="6" s="1"/>
  <c r="B64" i="6"/>
  <c r="H64" i="6" s="1"/>
  <c r="B198" i="6"/>
  <c r="G198" i="6" s="1"/>
  <c r="H107" i="6"/>
  <c r="G107" i="6"/>
  <c r="B176" i="6"/>
  <c r="H176" i="6" s="1"/>
  <c r="B148" i="6"/>
  <c r="H148" i="6" s="1"/>
  <c r="B146" i="6"/>
  <c r="H146" i="6" s="1"/>
  <c r="B59" i="6"/>
  <c r="H59" i="6" s="1"/>
  <c r="B189" i="6"/>
  <c r="H189" i="6" s="1"/>
  <c r="B125" i="6"/>
  <c r="H125" i="6" s="1"/>
  <c r="B113" i="6"/>
  <c r="H113" i="6" s="1"/>
  <c r="B99" i="6"/>
  <c r="H99" i="6" s="1"/>
  <c r="B104" i="6"/>
  <c r="H104" i="6" s="1"/>
  <c r="B123" i="6"/>
  <c r="H123" i="6" s="1"/>
  <c r="B65" i="6"/>
  <c r="H65" i="6" s="1"/>
  <c r="B177" i="6"/>
  <c r="H177" i="6" s="1"/>
  <c r="B55" i="6"/>
  <c r="H55" i="6" s="1"/>
  <c r="B165" i="6"/>
  <c r="H165" i="6" s="1"/>
  <c r="B194" i="6"/>
  <c r="H194" i="6" s="1"/>
  <c r="B93" i="6"/>
  <c r="H93" i="6" s="1"/>
  <c r="B193" i="6"/>
  <c r="H193" i="6" s="1"/>
  <c r="B195" i="6"/>
  <c r="G195" i="6" s="1"/>
  <c r="B143" i="6"/>
  <c r="H143" i="6" s="1"/>
  <c r="B137" i="6"/>
  <c r="H137" i="6" s="1"/>
  <c r="B170" i="6"/>
  <c r="H170" i="6" s="1"/>
  <c r="B204" i="6"/>
  <c r="H204" i="6" s="1"/>
  <c r="B186" i="6"/>
  <c r="H186" i="6" s="1"/>
  <c r="B175" i="6"/>
  <c r="H175" i="6" s="1"/>
  <c r="B126" i="6"/>
  <c r="H126" i="6" s="1"/>
  <c r="B130" i="6"/>
  <c r="H130" i="6" s="1"/>
  <c r="H16" i="6"/>
  <c r="H66" i="23" l="1"/>
  <c r="G154" i="23"/>
  <c r="G118" i="23"/>
  <c r="G78" i="23"/>
  <c r="H71" i="23"/>
  <c r="H40" i="23"/>
  <c r="H32" i="23"/>
  <c r="H68" i="23"/>
  <c r="H130" i="23"/>
  <c r="G127" i="23"/>
  <c r="H149" i="23"/>
  <c r="G42" i="23"/>
  <c r="H208" i="23"/>
  <c r="G13" i="23"/>
  <c r="H198" i="23"/>
  <c r="H183" i="23"/>
  <c r="G98" i="23"/>
  <c r="G41" i="23"/>
  <c r="G94" i="23"/>
  <c r="G27" i="23"/>
  <c r="H92" i="23"/>
  <c r="G181" i="23"/>
  <c r="H123" i="23"/>
  <c r="G34" i="23"/>
  <c r="H188" i="23"/>
  <c r="H103" i="18"/>
  <c r="H47" i="18"/>
  <c r="G117" i="18"/>
  <c r="G168" i="18"/>
  <c r="G202" i="18"/>
  <c r="G74" i="18"/>
  <c r="G32" i="18"/>
  <c r="G106" i="18"/>
  <c r="G62" i="18"/>
  <c r="G128" i="18"/>
  <c r="D6" i="18"/>
  <c r="D7" i="18"/>
  <c r="D5" i="18"/>
  <c r="G144" i="18"/>
  <c r="G189" i="18"/>
  <c r="G161" i="18"/>
  <c r="H28" i="18"/>
  <c r="E6" i="18"/>
  <c r="E7" i="18"/>
  <c r="E5" i="18"/>
  <c r="G108" i="18"/>
  <c r="G35" i="18"/>
  <c r="G14" i="18"/>
  <c r="G50" i="18"/>
  <c r="H153" i="18"/>
  <c r="G186" i="18"/>
  <c r="H196" i="18"/>
  <c r="H63" i="18"/>
  <c r="H100" i="18"/>
  <c r="G67" i="18"/>
  <c r="H34" i="18"/>
  <c r="H25" i="18"/>
  <c r="G158" i="18"/>
  <c r="G37" i="18"/>
  <c r="H190" i="18"/>
  <c r="H98" i="18"/>
  <c r="H85" i="18"/>
  <c r="H12" i="18"/>
  <c r="H175" i="18"/>
  <c r="G20" i="18"/>
  <c r="H109" i="18"/>
  <c r="G113" i="18"/>
  <c r="G179" i="18"/>
  <c r="H83" i="18"/>
  <c r="H24" i="18"/>
  <c r="G79" i="18"/>
  <c r="H164" i="18"/>
  <c r="G137" i="18"/>
  <c r="G105" i="18"/>
  <c r="G119" i="18"/>
  <c r="G10" i="18"/>
  <c r="G187" i="23"/>
  <c r="H122" i="23"/>
  <c r="G20" i="23"/>
  <c r="H203" i="23"/>
  <c r="H137" i="23"/>
  <c r="G80" i="23"/>
  <c r="H61" i="23"/>
  <c r="H88" i="23"/>
  <c r="G16" i="23"/>
  <c r="H45" i="23"/>
  <c r="G209" i="23"/>
  <c r="H170" i="23"/>
  <c r="H136" i="23"/>
  <c r="H205" i="23"/>
  <c r="H159" i="23"/>
  <c r="H91" i="23"/>
  <c r="H165" i="23"/>
  <c r="G22" i="23"/>
  <c r="G83" i="23"/>
  <c r="H55" i="23"/>
  <c r="H164" i="23"/>
  <c r="H155" i="23"/>
  <c r="G161" i="23"/>
  <c r="H192" i="23"/>
  <c r="G89" i="23"/>
  <c r="H204" i="23"/>
  <c r="H21" i="23"/>
  <c r="H177" i="23"/>
  <c r="G95" i="23"/>
  <c r="H112" i="23"/>
  <c r="G153" i="23"/>
  <c r="G101" i="23"/>
  <c r="H29" i="23"/>
  <c r="H175" i="23"/>
  <c r="H172" i="23"/>
  <c r="G106" i="23"/>
  <c r="G174" i="23"/>
  <c r="H162" i="23"/>
  <c r="H113" i="23"/>
  <c r="H196" i="23"/>
  <c r="H171" i="23"/>
  <c r="H179" i="23"/>
  <c r="G125" i="23"/>
  <c r="H125" i="23"/>
  <c r="G206" i="23"/>
  <c r="H147" i="23"/>
  <c r="H150" i="23"/>
  <c r="G197" i="23"/>
  <c r="G18" i="23"/>
  <c r="G57" i="23"/>
  <c r="H132" i="23"/>
  <c r="H99" i="23"/>
  <c r="H75" i="23"/>
  <c r="G52" i="23"/>
  <c r="H190" i="23"/>
  <c r="H116" i="23"/>
  <c r="H96" i="23"/>
  <c r="H79" i="23"/>
  <c r="H148" i="23"/>
  <c r="H202" i="23"/>
  <c r="H182" i="23"/>
  <c r="G163" i="23"/>
  <c r="H200" i="23"/>
  <c r="H70" i="23"/>
  <c r="H191" i="23"/>
  <c r="H138" i="23"/>
  <c r="G197" i="13"/>
  <c r="H195" i="13"/>
  <c r="G191" i="13"/>
  <c r="H193" i="13"/>
  <c r="G203" i="13"/>
  <c r="H205" i="13"/>
  <c r="H161" i="6"/>
  <c r="H10" i="6"/>
  <c r="H24" i="6"/>
  <c r="G69" i="18"/>
  <c r="H130" i="18"/>
  <c r="G70" i="18"/>
  <c r="H42" i="18"/>
  <c r="G71" i="18"/>
  <c r="H39" i="18"/>
  <c r="H180" i="18"/>
  <c r="H36" i="18"/>
  <c r="H160" i="18"/>
  <c r="G95" i="18"/>
  <c r="H165" i="18"/>
  <c r="H90" i="18"/>
  <c r="H182" i="18"/>
  <c r="H203" i="18"/>
  <c r="G96" i="18"/>
  <c r="G139" i="18"/>
  <c r="G183" i="18"/>
  <c r="H26" i="18"/>
  <c r="H58" i="18"/>
  <c r="H177" i="18"/>
  <c r="H75" i="18"/>
  <c r="G94" i="18"/>
  <c r="G181" i="18"/>
  <c r="G64" i="18"/>
  <c r="G87" i="18"/>
  <c r="G205" i="18"/>
  <c r="G141" i="18"/>
  <c r="G140" i="18"/>
  <c r="H198" i="18"/>
  <c r="G156" i="18"/>
  <c r="H84" i="18"/>
  <c r="G80" i="18"/>
  <c r="G146" i="18"/>
  <c r="H55" i="18"/>
  <c r="H208" i="18"/>
  <c r="H56" i="18"/>
  <c r="G78" i="18"/>
  <c r="G82" i="18"/>
  <c r="H81" i="18"/>
  <c r="G171" i="18"/>
  <c r="H135" i="18"/>
  <c r="G166" i="18"/>
  <c r="H193" i="18"/>
  <c r="H187" i="18"/>
  <c r="G28" i="18"/>
  <c r="H48" i="18"/>
  <c r="G209" i="18"/>
  <c r="H41" i="18"/>
  <c r="H44" i="18"/>
  <c r="H208" i="6"/>
  <c r="G71" i="6"/>
  <c r="H19" i="6"/>
  <c r="G191" i="6"/>
  <c r="H157" i="6"/>
  <c r="G98" i="6"/>
  <c r="H51" i="6"/>
  <c r="G197" i="6"/>
  <c r="H81" i="6"/>
  <c r="H192" i="6"/>
  <c r="H196" i="13"/>
  <c r="G196" i="13"/>
  <c r="H209" i="13"/>
  <c r="H208" i="13"/>
  <c r="H190" i="13"/>
  <c r="H194" i="13"/>
  <c r="G174" i="13"/>
  <c r="G198" i="13"/>
  <c r="G188" i="13"/>
  <c r="H207" i="13"/>
  <c r="H189" i="13"/>
  <c r="H202" i="13"/>
  <c r="G186" i="13"/>
  <c r="G204" i="13"/>
  <c r="H200" i="13"/>
  <c r="G206" i="13"/>
  <c r="H206" i="13"/>
  <c r="H201" i="13"/>
  <c r="G201" i="13"/>
  <c r="G199" i="6"/>
  <c r="G194" i="6"/>
  <c r="H198" i="6"/>
  <c r="G154" i="6"/>
  <c r="H164" i="6"/>
  <c r="G24" i="13"/>
  <c r="G109" i="13"/>
  <c r="H203" i="6"/>
  <c r="G167" i="6"/>
  <c r="G204" i="6"/>
  <c r="H100" i="13"/>
  <c r="H97" i="18"/>
  <c r="G129" i="18"/>
  <c r="H134" i="18"/>
  <c r="H88" i="18"/>
  <c r="G151" i="18"/>
  <c r="G200" i="18"/>
  <c r="H11" i="18"/>
  <c r="G206" i="18"/>
  <c r="H112" i="18"/>
  <c r="H142" i="18"/>
  <c r="H172" i="18"/>
  <c r="G174" i="18"/>
  <c r="H66" i="18"/>
  <c r="G124" i="18"/>
  <c r="G143" i="18"/>
  <c r="G121" i="18"/>
  <c r="H92" i="18"/>
  <c r="H147" i="18"/>
  <c r="G125" i="18"/>
  <c r="H154" i="18"/>
  <c r="G122" i="18"/>
  <c r="G148" i="18"/>
  <c r="G185" i="18"/>
  <c r="G27" i="18"/>
  <c r="H31" i="18"/>
  <c r="G159" i="18"/>
  <c r="G15" i="18"/>
  <c r="G157" i="18"/>
  <c r="G197" i="18"/>
  <c r="H49" i="18"/>
  <c r="G120" i="18"/>
  <c r="G110" i="18"/>
  <c r="H60" i="18"/>
  <c r="G149" i="18"/>
  <c r="H123" i="18"/>
  <c r="G192" i="18"/>
  <c r="G101" i="18"/>
  <c r="G43" i="18"/>
  <c r="H59" i="18"/>
  <c r="G118" i="18"/>
  <c r="H178" i="18"/>
  <c r="G138" i="18"/>
  <c r="H104" i="18"/>
  <c r="H162" i="18"/>
  <c r="G19" i="18"/>
  <c r="H155" i="18"/>
  <c r="G194" i="18"/>
  <c r="G199" i="18"/>
  <c r="G150" i="18"/>
  <c r="H176" i="18"/>
  <c r="G163" i="18"/>
  <c r="H132" i="18"/>
  <c r="H16" i="18"/>
  <c r="H133" i="18"/>
  <c r="G13" i="18"/>
  <c r="G40" i="18"/>
  <c r="G207" i="18"/>
  <c r="H169" i="18"/>
  <c r="G126" i="18"/>
  <c r="G93" i="18"/>
  <c r="G184" i="18"/>
  <c r="H136" i="18"/>
  <c r="G114" i="18"/>
  <c r="G173" i="18"/>
  <c r="G72" i="18"/>
  <c r="G18" i="18"/>
  <c r="H76" i="18"/>
  <c r="G191" i="18"/>
  <c r="H170" i="18"/>
  <c r="H65" i="18"/>
  <c r="G52" i="18"/>
  <c r="G145" i="18"/>
  <c r="H17" i="18"/>
  <c r="H67" i="6"/>
  <c r="H206" i="6"/>
  <c r="G189" i="6"/>
  <c r="G190" i="6"/>
  <c r="H12" i="6"/>
  <c r="G193" i="6"/>
  <c r="G200" i="6"/>
  <c r="H196" i="6"/>
  <c r="H185" i="6"/>
  <c r="G201" i="6"/>
  <c r="H202" i="6"/>
  <c r="H205" i="6"/>
  <c r="G209" i="6"/>
  <c r="G173" i="6"/>
  <c r="G207" i="6"/>
  <c r="H195" i="6"/>
  <c r="G69" i="6"/>
  <c r="G145" i="6"/>
  <c r="G29" i="6"/>
  <c r="G42" i="6"/>
  <c r="H92" i="13"/>
  <c r="G130" i="13"/>
  <c r="H44" i="13"/>
  <c r="G104" i="13"/>
  <c r="H152" i="6"/>
  <c r="H109" i="6"/>
  <c r="H108" i="6"/>
  <c r="G115" i="6"/>
  <c r="H159" i="6"/>
  <c r="G131" i="6"/>
  <c r="G45" i="6"/>
  <c r="H86" i="6"/>
  <c r="H34" i="6"/>
  <c r="H97" i="6"/>
  <c r="G147" i="6"/>
  <c r="G141" i="6"/>
  <c r="G13" i="6"/>
  <c r="H62" i="6"/>
  <c r="G138" i="6"/>
  <c r="G90" i="13"/>
  <c r="G57" i="13"/>
  <c r="H88" i="13"/>
  <c r="G163" i="13"/>
  <c r="H117" i="13"/>
  <c r="G168" i="13"/>
  <c r="H125" i="13"/>
  <c r="H72" i="13"/>
  <c r="H132" i="13"/>
  <c r="G81" i="13"/>
  <c r="G18" i="13"/>
  <c r="H145" i="13"/>
  <c r="H40" i="13"/>
  <c r="H160" i="13"/>
  <c r="H15" i="13"/>
  <c r="G47" i="13"/>
  <c r="H60" i="13"/>
  <c r="G17" i="13"/>
  <c r="G131" i="13"/>
  <c r="H35" i="13"/>
  <c r="G73" i="13"/>
  <c r="G99" i="13"/>
  <c r="H51" i="13"/>
  <c r="H48" i="13"/>
  <c r="G58" i="13"/>
  <c r="G19" i="13"/>
  <c r="G13" i="13"/>
  <c r="H11" i="13"/>
  <c r="H126" i="13"/>
  <c r="H105" i="13"/>
  <c r="H41" i="13"/>
  <c r="G139" i="13"/>
  <c r="G10" i="13"/>
  <c r="G133" i="13"/>
  <c r="H153" i="13"/>
  <c r="G83" i="13"/>
  <c r="G182" i="13"/>
  <c r="G64" i="13"/>
  <c r="G39" i="13"/>
  <c r="H94" i="13"/>
  <c r="G101" i="13"/>
  <c r="H43" i="13"/>
  <c r="G187" i="13"/>
  <c r="G140" i="13"/>
  <c r="G123" i="13"/>
  <c r="H55" i="13"/>
  <c r="H66" i="13"/>
  <c r="H138" i="13"/>
  <c r="H112" i="13"/>
  <c r="H45" i="13"/>
  <c r="H16" i="13"/>
  <c r="H167" i="13"/>
  <c r="H49" i="13"/>
  <c r="G59" i="13"/>
  <c r="G87" i="13"/>
  <c r="G26" i="13"/>
  <c r="G147" i="13"/>
  <c r="H172" i="13"/>
  <c r="H96" i="13"/>
  <c r="G97" i="13"/>
  <c r="H74" i="13"/>
  <c r="H70" i="13"/>
  <c r="H106" i="13"/>
  <c r="G78" i="13"/>
  <c r="G84" i="13"/>
  <c r="H134" i="13"/>
  <c r="G52" i="13"/>
  <c r="G164" i="13"/>
  <c r="H135" i="13"/>
  <c r="H148" i="13"/>
  <c r="H20" i="13"/>
  <c r="G37" i="13"/>
  <c r="G141" i="13"/>
  <c r="G169" i="13"/>
  <c r="G170" i="13"/>
  <c r="H171" i="13"/>
  <c r="G121" i="13"/>
  <c r="H30" i="13"/>
  <c r="H185" i="13"/>
  <c r="G33" i="13"/>
  <c r="H124" i="13"/>
  <c r="G173" i="13"/>
  <c r="H146" i="13"/>
  <c r="G161" i="13"/>
  <c r="G120" i="13"/>
  <c r="H119" i="13"/>
  <c r="H53" i="13"/>
  <c r="G77" i="13"/>
  <c r="H31" i="13"/>
  <c r="H95" i="13"/>
  <c r="G75" i="13"/>
  <c r="H122" i="13"/>
  <c r="H158" i="13"/>
  <c r="H181" i="13"/>
  <c r="G61" i="13"/>
  <c r="H23" i="13"/>
  <c r="H154" i="13"/>
  <c r="G142" i="13"/>
  <c r="H175" i="13"/>
  <c r="H56" i="13"/>
  <c r="G62" i="13"/>
  <c r="G38" i="13"/>
  <c r="H128" i="13"/>
  <c r="H68" i="13"/>
  <c r="H150" i="13"/>
  <c r="G69" i="13"/>
  <c r="H144" i="13"/>
  <c r="G162" i="13"/>
  <c r="H91" i="13"/>
  <c r="H46" i="13"/>
  <c r="H63" i="13"/>
  <c r="G85" i="13"/>
  <c r="G80" i="13"/>
  <c r="H183" i="13"/>
  <c r="G102" i="13"/>
  <c r="H93" i="13"/>
  <c r="G116" i="13"/>
  <c r="H25" i="13"/>
  <c r="H82" i="13"/>
  <c r="H65" i="13"/>
  <c r="G42" i="13"/>
  <c r="H136" i="13"/>
  <c r="G156" i="13"/>
  <c r="G149" i="13"/>
  <c r="G89" i="13"/>
  <c r="G111" i="13"/>
  <c r="G22" i="13"/>
  <c r="G118" i="13"/>
  <c r="G79" i="13"/>
  <c r="H34" i="13"/>
  <c r="G113" i="13"/>
  <c r="G166" i="13"/>
  <c r="G54" i="13"/>
  <c r="G29" i="13"/>
  <c r="H179" i="13"/>
  <c r="H127" i="13"/>
  <c r="G165" i="13"/>
  <c r="H184" i="13"/>
  <c r="H137" i="13"/>
  <c r="G157" i="13"/>
  <c r="H176" i="13"/>
  <c r="H14" i="13"/>
  <c r="G152" i="13"/>
  <c r="G86" i="13"/>
  <c r="G28" i="13"/>
  <c r="G143" i="13"/>
  <c r="H50" i="13"/>
  <c r="G76" i="13"/>
  <c r="H180" i="13"/>
  <c r="G108" i="13"/>
  <c r="G32" i="13"/>
  <c r="G151" i="13"/>
  <c r="H67" i="13"/>
  <c r="G159" i="13"/>
  <c r="G12" i="13"/>
  <c r="G98" i="13"/>
  <c r="H129" i="13"/>
  <c r="H71" i="13"/>
  <c r="H103" i="13"/>
  <c r="G114" i="13"/>
  <c r="G110" i="13"/>
  <c r="H107" i="13"/>
  <c r="G36" i="13"/>
  <c r="G21" i="13"/>
  <c r="G39" i="6"/>
  <c r="H50" i="6"/>
  <c r="G174" i="6"/>
  <c r="G181" i="6"/>
  <c r="G94" i="6"/>
  <c r="H100" i="6"/>
  <c r="H56" i="6"/>
  <c r="G158" i="6"/>
  <c r="G122" i="6"/>
  <c r="G111" i="6"/>
  <c r="H119" i="6"/>
  <c r="H95" i="6"/>
  <c r="H121" i="6"/>
  <c r="G25" i="6"/>
  <c r="G150" i="6"/>
  <c r="G43" i="6"/>
  <c r="G188" i="6"/>
  <c r="H136" i="6"/>
  <c r="G78" i="6"/>
  <c r="H179" i="6"/>
  <c r="G49" i="6"/>
  <c r="G35" i="6"/>
  <c r="H60" i="6"/>
  <c r="H88" i="6"/>
  <c r="H105" i="6"/>
  <c r="H36" i="6"/>
  <c r="H91" i="6"/>
  <c r="H82" i="6"/>
  <c r="G79" i="6"/>
  <c r="H76" i="6"/>
  <c r="G129" i="6"/>
  <c r="G166" i="6"/>
  <c r="G27" i="6"/>
  <c r="H66" i="6"/>
  <c r="H33" i="6"/>
  <c r="G101" i="6"/>
  <c r="G68" i="6"/>
  <c r="H133" i="6"/>
  <c r="H187" i="6"/>
  <c r="H28" i="6"/>
  <c r="H73" i="6"/>
  <c r="G103" i="6"/>
  <c r="G44" i="6"/>
  <c r="H20" i="6"/>
  <c r="H46" i="6"/>
  <c r="H48" i="6"/>
  <c r="H96" i="6"/>
  <c r="H178" i="6"/>
  <c r="H80" i="6"/>
  <c r="H74" i="6"/>
  <c r="H134" i="6"/>
  <c r="H87" i="6"/>
  <c r="H41" i="6"/>
  <c r="H63" i="6"/>
  <c r="G155" i="6"/>
  <c r="G61" i="6"/>
  <c r="H30" i="6"/>
  <c r="G184" i="6"/>
  <c r="H110" i="6"/>
  <c r="H84" i="6"/>
  <c r="G38" i="6"/>
  <c r="G70" i="6"/>
  <c r="H83" i="6"/>
  <c r="G92" i="6"/>
  <c r="G135" i="6"/>
  <c r="G22" i="6"/>
  <c r="H23" i="6"/>
  <c r="H31" i="6"/>
  <c r="H53" i="6"/>
  <c r="H15" i="6"/>
  <c r="H37" i="6"/>
  <c r="H72" i="6"/>
  <c r="G171" i="6"/>
  <c r="H47" i="6"/>
  <c r="G54" i="6"/>
  <c r="H114" i="6"/>
  <c r="H26" i="6"/>
  <c r="H89" i="6"/>
  <c r="G14" i="6"/>
  <c r="G85" i="6"/>
  <c r="H75" i="6"/>
  <c r="H182" i="6"/>
  <c r="G163" i="6"/>
  <c r="G40" i="6"/>
  <c r="H77" i="6"/>
  <c r="H112" i="6"/>
  <c r="G59" i="6"/>
  <c r="G151" i="6"/>
  <c r="G140" i="6"/>
  <c r="G113" i="6"/>
  <c r="H144" i="6"/>
  <c r="G148" i="6"/>
  <c r="G149" i="6"/>
  <c r="G153" i="6"/>
  <c r="G116" i="6"/>
  <c r="G118" i="6"/>
  <c r="G142" i="6"/>
  <c r="G183" i="6"/>
  <c r="H18" i="6"/>
  <c r="G127" i="6"/>
  <c r="G64" i="6"/>
  <c r="H102" i="6"/>
  <c r="G128" i="6"/>
  <c r="H180" i="6"/>
  <c r="G93" i="6"/>
  <c r="G120" i="6"/>
  <c r="G143" i="6"/>
  <c r="H21" i="6"/>
  <c r="G137" i="6"/>
  <c r="G58" i="6"/>
  <c r="H139" i="6"/>
  <c r="H132" i="6"/>
  <c r="G176" i="6"/>
  <c r="H172" i="6"/>
  <c r="H168" i="6"/>
  <c r="G169" i="6"/>
  <c r="G156" i="6"/>
  <c r="G65" i="6"/>
  <c r="G57" i="6"/>
  <c r="G99" i="6"/>
  <c r="G177" i="6"/>
  <c r="G104" i="6"/>
  <c r="G170" i="6"/>
  <c r="G175" i="6"/>
  <c r="G186" i="6"/>
  <c r="G55" i="6"/>
  <c r="G165" i="6"/>
  <c r="G130" i="6"/>
  <c r="G123" i="6"/>
  <c r="G125" i="6"/>
  <c r="G146" i="6"/>
  <c r="G126" i="6"/>
  <c r="G1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E30" authorId="0" shapeId="0" xr:uid="{4BEB0EBA-E1C4-4F7F-9CF3-6926541B14E5}">
      <text>
        <r>
          <rPr>
            <b/>
            <sz val="9"/>
            <color indexed="81"/>
            <rFont val="Tahoma"/>
            <family val="2"/>
          </rPr>
          <t>Nicolas Lienart:</t>
        </r>
        <r>
          <rPr>
            <sz val="9"/>
            <color indexed="81"/>
            <rFont val="Tahoma"/>
            <family val="2"/>
          </rPr>
          <t xml:space="preserve">
DE, FR, GB…
Mostly stock formation + consumption by government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E29" authorId="0" shapeId="0" xr:uid="{DE83850A-1911-4708-A10D-1D62964EB619}">
      <text>
        <r>
          <rPr>
            <b/>
            <sz val="9"/>
            <color indexed="81"/>
            <rFont val="Tahoma"/>
            <family val="2"/>
          </rPr>
          <t>Nicolas Lienart:</t>
        </r>
        <r>
          <rPr>
            <sz val="9"/>
            <color indexed="81"/>
            <rFont val="Tahoma"/>
            <family val="2"/>
          </rPr>
          <t xml:space="preserve">
DE, FR, GB…
Mostly stock formation + consumption by government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E34" authorId="0" shapeId="0" xr:uid="{D04D7224-A07D-4D24-8836-213BAA11F2CC}">
      <text>
        <r>
          <rPr>
            <b/>
            <sz val="9"/>
            <color indexed="81"/>
            <rFont val="Tahoma"/>
            <family val="2"/>
          </rPr>
          <t>Nicolas Lienart:</t>
        </r>
        <r>
          <rPr>
            <sz val="9"/>
            <color indexed="81"/>
            <rFont val="Tahoma"/>
            <family val="2"/>
          </rPr>
          <t xml:space="preserve">
DE, FR, GB…
Mostly stock formation + consumption by government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E21" authorId="0" shapeId="0" xr:uid="{D28BE4C7-2C37-492A-88A8-E1A9C4A80B7A}">
      <text>
        <r>
          <rPr>
            <b/>
            <sz val="9"/>
            <color indexed="81"/>
            <rFont val="Tahoma"/>
            <family val="2"/>
          </rPr>
          <t>Nicolas Lienart:</t>
        </r>
        <r>
          <rPr>
            <sz val="9"/>
            <color indexed="81"/>
            <rFont val="Tahoma"/>
            <family val="2"/>
          </rPr>
          <t xml:space="preserve">
DE, FR, GB…
Mostly stock formation + consumption by government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2E49E1-5C4A-457C-90D0-90DA53A4DAA8}" keepAlive="1" name="Query - 20260806 - output_exiobase_vpxp2019_Y_FR_imports_footprint" description="Connection to the '20260806 - output_exiobase_vpxp2019_Y_FR_imports_footprint' query in the workbook." type="5" refreshedVersion="7" background="1" saveData="1">
    <dbPr connection="Provider=Microsoft.Mashup.OleDb.1;Data Source=$Workbook$;Location=&quot;20260806 - output_exiobase_vpxp2019_Y_FR_imports_footprint&quot;;Extended Properties=&quot;&quot;" command="SELECT * FROM [20260806 - output_exiobase_vpxp2019_Y_FR_imports_footprint]"/>
  </connection>
  <connection id="2" xr16:uid="{41083E9E-ECDB-4E80-92A2-EFBA3FD0EC83}" keepAlive="1" name="Query - 20260806 - output_exiobase_vpxp2019_Y_FR_imports_footprint (2)" description="Connection to the '20260806 - output_exiobase_vpxp2019_Y_FR_imports_footprint (2)' query in the workbook." type="5" refreshedVersion="7" background="1" saveData="1">
    <dbPr connection="Provider=Microsoft.Mashup.OleDb.1;Data Source=$Workbook$;Location=&quot;20260806 - output_exiobase_vpxp2019_Y_FR_imports_footprint (2)&quot;;Extended Properties=&quot;&quot;" command="SELECT * FROM [20260806 - output_exiobase_vpxp2019_Y_FR_imports_footprint (2)]"/>
  </connection>
  <connection id="3" xr16:uid="{70ABF216-0015-4695-A93B-7C42339E91FA}" keepAlive="1" name="Query - 20260806 - output_exiobase_vpxp2019_Y_FR_production_footprint" description="Connection to the '20260806 - output_exiobase_vpxp2019_Y_FR_production_footprint' query in the workbook." type="5" refreshedVersion="7" background="1" saveData="1">
    <dbPr connection="Provider=Microsoft.Mashup.OleDb.1;Data Source=$Workbook$;Location=&quot;20260806 - output_exiobase_vpxp2019_Y_FR_production_footprint&quot;;Extended Properties=&quot;&quot;" command="SELECT * FROM [20260806 - output_exiobase_vpxp2019_Y_FR_production_footprint]"/>
  </connection>
  <connection id="4" xr16:uid="{EC6731F8-CBFE-4507-BB27-A488E6AA6D43}" keepAlive="1" name="Query - 20260806 - output_exiobase_vpxp2019_Y_FR_production_footprint (2)" description="Connection to the '20260806 - output_exiobase_vpxp2019_Y_FR_production_footprint (2)' query in the workbook." type="5" refreshedVersion="7" background="1" saveData="1">
    <dbPr connection="Provider=Microsoft.Mashup.OleDb.1;Data Source=$Workbook$;Location=&quot;20260806 - output_exiobase_vpxp2019_Y_FR_production_footprint (2)&quot;;Extended Properties=&quot;&quot;" command="SELECT * FROM [20260806 - output_exiobase_vpxp2019_Y_FR_production_footprint (2)]"/>
  </connection>
  <connection id="5" xr16:uid="{C173C5C1-AD8B-4689-B5CC-E851278788C8}" keepAlive="1" name="Query - 20260806 - output_exiobase_vpxp2019_Y_FR_production_footprint (3)" description="Connection to the '20260806 - output_exiobase_vpxp2019_Y_FR_production_footprint (3)' query in the workbook." type="5" refreshedVersion="7" background="1" saveData="1">
    <dbPr connection="Provider=Microsoft.Mashup.OleDb.1;Data Source=$Workbook$;Location=&quot;20260806 - output_exiobase_vpxp2019_Y_FR_production_footprint (3)&quot;;Extended Properties=&quot;&quot;" command="SELECT * FROM [20260806 - output_exiobase_vpxp2019_Y_FR_production_footprint (3)]"/>
  </connection>
  <connection id="6" xr16:uid="{27B295EE-1298-4172-8B16-E8A5628F11E6}" keepAlive="1" name="Query - 20260806 - output_exiobase_vpxp2019_Y_FR_production_footprint (4)" description="Connection to the '20260806 - output_exiobase_vpxp2019_Y_FR_production_footprint (4)' query in the workbook." type="5" refreshedVersion="7" background="1" saveData="1">
    <dbPr connection="Provider=Microsoft.Mashup.OleDb.1;Data Source=$Workbook$;Location=&quot;20260806 - output_exiobase_vpxp2019_Y_FR_production_footprint (4)&quot;;Extended Properties=&quot;&quot;" command="SELECT * FROM [20260806 - output_exiobase_vpxp2019_Y_FR_production_footprint (4)]"/>
  </connection>
  <connection id="7" xr16:uid="{3E67EA4D-A2E2-405E-AA3A-C2178D55806F}" keepAlive="1" name="Query - 20260806 - output_exiobase_vpxp2019_Z_FR_imports_footprint" description="Connection to the '20260806 - output_exiobase_vpxp2019_Z_FR_imports_footprint' query in the workbook." type="5" refreshedVersion="7" background="1" saveData="1">
    <dbPr connection="Provider=Microsoft.Mashup.OleDb.1;Data Source=$Workbook$;Location=&quot;20260806 - output_exiobase_vpxp2019_Z_FR_imports_footprint&quot;;Extended Properties=&quot;&quot;" command="SELECT * FROM [20260806 - output_exiobase_vpxp2019_Z_FR_imports_footprint]"/>
  </connection>
  <connection id="8" xr16:uid="{85D28D7A-C383-41FE-9D6A-A705AB9DC038}" keepAlive="1" name="Query - 20260806 - output_exiobase_vpxp2019_Z_FR_imports_footprint (2)" description="Connection to the '20260806 - output_exiobase_vpxp2019_Z_FR_imports_footprint (2)' query in the workbook." type="5" refreshedVersion="7" background="1" saveData="1">
    <dbPr connection="Provider=Microsoft.Mashup.OleDb.1;Data Source=$Workbook$;Location=&quot;20260806 - output_exiobase_vpxp2019_Z_FR_imports_footprint (2)&quot;;Extended Properties=&quot;&quot;" command="SELECT * FROM [20260806 - output_exiobase_vpxp2019_Z_FR_imports_footprint (2)]"/>
  </connection>
  <connection id="9" xr16:uid="{283DECFF-B08E-4BC0-BF4B-4726FAEAC0DC}" keepAlive="1" name="Query - 20260806 - output_exiobase_vpxp2019_Z_FR_imports_footprint (3)" description="Connection to the '20260806 - output_exiobase_vpxp2019_Z_FR_imports_footprint (3)' query in the workbook." type="5" refreshedVersion="7" background="1" saveData="1">
    <dbPr connection="Provider=Microsoft.Mashup.OleDb.1;Data Source=$Workbook$;Location=&quot;20260806 - output_exiobase_vpxp2019_Z_FR_imports_footprint (3)&quot;;Extended Properties=&quot;&quot;" command="SELECT * FROM [20260806 - output_exiobase_vpxp2019_Z_FR_imports_footprint (3)]"/>
  </connection>
  <connection id="10" xr16:uid="{65352659-3235-4EFD-B5EE-C790FC5CE284}" keepAlive="1" name="Query - 20260806 - output_exiobase_vpxp2019_Z_FR_imports_footprint (4)" description="Connection to the '20260806 - output_exiobase_vpxp2019_Z_FR_imports_footprint (4)' query in the workbook." type="5" refreshedVersion="7" background="1" saveData="1">
    <dbPr connection="Provider=Microsoft.Mashup.OleDb.1;Data Source=$Workbook$;Location=&quot;20260806 - output_exiobase_vpxp2019_Z_FR_imports_footprint (4)&quot;;Extended Properties=&quot;&quot;" command="SELECT * FROM [20260806 - output_exiobase_vpxp2019_Z_FR_imports_footprint (4)]"/>
  </connection>
  <connection id="11" xr16:uid="{D1C5C66A-C069-40EE-8B7B-1BDAF0862CFE}" keepAlive="1" name="Query - 20260806 - output_exiobase_vpxp2019_Z_FR_production_footprint" description="Connection to the '20260806 - output_exiobase_vpxp2019_Z_FR_production_footprint' query in the workbook." type="5" refreshedVersion="7" background="1" saveData="1">
    <dbPr connection="Provider=Microsoft.Mashup.OleDb.1;Data Source=$Workbook$;Location=&quot;20260806 - output_exiobase_vpxp2019_Z_FR_production_footprint&quot;;Extended Properties=&quot;&quot;" command="SELECT * FROM [20260806 - output_exiobase_vpxp2019_Z_FR_production_footprint]"/>
  </connection>
  <connection id="12" xr16:uid="{D11EF9F3-B6A1-4FE0-AAB6-CEA514526A88}" keepAlive="1" name="Query - 20260806 - output_exiobase_vpxp2019_Z_FR_production_footprint (2)" description="Connection to the '20260806 - output_exiobase_vpxp2019_Z_FR_production_footprint (2)' query in the workbook." type="5" refreshedVersion="7" background="1" saveData="1">
    <dbPr connection="Provider=Microsoft.Mashup.OleDb.1;Data Source=$Workbook$;Location=&quot;20260806 - output_exiobase_vpxp2019_Z_FR_production_footprint (2)&quot;;Extended Properties=&quot;&quot;" command="SELECT * FROM [20260806 - output_exiobase_vpxp2019_Z_FR_production_footprint (2)]"/>
  </connection>
  <connection id="13" xr16:uid="{3BAFAD48-7294-4001-973F-1A306DE62488}" keepAlive="1" name="Query - 20260806 - output_exiobase_vpxp2019_Z_FR_production_footprint (3)" description="Connection to the '20260806 - output_exiobase_vpxp2019_Z_FR_production_footprint (3)' query in the workbook." type="5" refreshedVersion="7" background="1" saveData="1">
    <dbPr connection="Provider=Microsoft.Mashup.OleDb.1;Data Source=$Workbook$;Location=&quot;20260806 - output_exiobase_vpxp2019_Z_FR_production_footprint (3)&quot;;Extended Properties=&quot;&quot;" command="SELECT * FROM [20260806 - output_exiobase_vpxp2019_Z_FR_production_footprint (3)]"/>
  </connection>
  <connection id="14" xr16:uid="{7D851EBE-29A4-49DF-8C7A-0D61672C6C9B}" keepAlive="1" name="Query - 20260806 - output_exiobase_vpxp2019_Z_FR_production_footprint (4)" description="Connection to the '20260806 - output_exiobase_vpxp2019_Z_FR_production_footprint (4)' query in the workbook." type="5" refreshedVersion="7" background="1" saveData="1">
    <dbPr connection="Provider=Microsoft.Mashup.OleDb.1;Data Source=$Workbook$;Location=&quot;20260806 - output_exiobase_vpxp2019_Z_FR_production_footprint (4)&quot;;Extended Properties=&quot;&quot;" command="SELECT * FROM [20260806 - output_exiobase_vpxp2019_Z_FR_production_footprint (4)]"/>
  </connection>
  <connection id="15" xr16:uid="{7E98B98E-AD74-4C50-B045-89AE9D7D756A}" keepAlive="1" name="Query - output_exiobase_vpxp2019_Y_FR_imports_footprint" description="Connection to the 'output_exiobase_vpxp2019_Y_FR_imports_footprint' query in the workbook." type="5" refreshedVersion="7" background="1" saveData="1">
    <dbPr connection="Provider=Microsoft.Mashup.OleDb.1;Data Source=$Workbook$;Location=output_exiobase_vpxp2019_Y_FR_imports_footprint;Extended Properties=&quot;&quot;" command="SELECT * FROM [output_exiobase_vpxp2019_Y_FR_imports_footprint]"/>
  </connection>
  <connection id="16" xr16:uid="{EAE9D88D-8E24-4E5E-A43F-564E845B49DA}" keepAlive="1" name="Query - output_exiobase_vpxp2019_Y_FR_imports_footprint (2)" description="Connection to the 'output_exiobase_vpxp2019_Y_FR_imports_footprint (2)' query in the workbook." type="5" refreshedVersion="7" background="1" saveData="1">
    <dbPr connection="Provider=Microsoft.Mashup.OleDb.1;Data Source=$Workbook$;Location=&quot;output_exiobase_vpxp2019_Y_FR_imports_footprint (2)&quot;;Extended Properties=&quot;&quot;" command="SELECT * FROM [output_exiobase_vpxp2019_Y_FR_imports_footprint (2)]"/>
  </connection>
</connections>
</file>

<file path=xl/sharedStrings.xml><?xml version="1.0" encoding="utf-8"?>
<sst xmlns="http://schemas.openxmlformats.org/spreadsheetml/2006/main" count="4242" uniqueCount="304">
  <si>
    <t>sector</t>
  </si>
  <si>
    <t>Additives/Blending Components</t>
  </si>
  <si>
    <t>Air transport services (62)</t>
  </si>
  <si>
    <t>Aluminium and aluminium products</t>
  </si>
  <si>
    <t>Aluminium ores and concentrates</t>
  </si>
  <si>
    <t>Animal products nec</t>
  </si>
  <si>
    <t>Anthracite</t>
  </si>
  <si>
    <t>Ash for treatment, Re-processing of ash into clinker</t>
  </si>
  <si>
    <t>Aviation Gasoline</t>
  </si>
  <si>
    <t>BKB/Peat Briquettes</t>
  </si>
  <si>
    <t>Basic iron and steel and of ferro-alloys and first products thereof</t>
  </si>
  <si>
    <t>Beverages</t>
  </si>
  <si>
    <t>Biodiesels</t>
  </si>
  <si>
    <t>Biogas</t>
  </si>
  <si>
    <t>Biogasoline</t>
  </si>
  <si>
    <t>Bitumen</t>
  </si>
  <si>
    <t>Blast Furnace Gas</t>
  </si>
  <si>
    <t>Bottles for treatment, Recycling of bottles by direct reuse</t>
  </si>
  <si>
    <t>Bricks, tiles and construction products, in baked clay</t>
  </si>
  <si>
    <t>Cattle</t>
  </si>
  <si>
    <t>Cement, lime and plaster</t>
  </si>
  <si>
    <t>Ceramic goods</t>
  </si>
  <si>
    <t>Cereal grains nec</t>
  </si>
  <si>
    <t>Charcoal</t>
  </si>
  <si>
    <t>Chemical and fertilizer minerals, salt and other mining and quarrying products n.e.c.</t>
  </si>
  <si>
    <t>Chemicals nec</t>
  </si>
  <si>
    <t>Coal Tar</t>
  </si>
  <si>
    <t>Coke Oven Coke</t>
  </si>
  <si>
    <t>Coke oven gas</t>
  </si>
  <si>
    <t>Coking Coal</t>
  </si>
  <si>
    <t>Collected and purified water, distribution services of water (41)</t>
  </si>
  <si>
    <t>Computer and related services (72)</t>
  </si>
  <si>
    <t>Construction work (45)</t>
  </si>
  <si>
    <t>Copper ores and concentrates</t>
  </si>
  <si>
    <t>Copper products</t>
  </si>
  <si>
    <t>Crops nec</t>
  </si>
  <si>
    <t>Crude petroleum and services related to crude oil extraction, excluding surveying</t>
  </si>
  <si>
    <t>Dairy products</t>
  </si>
  <si>
    <t>Distribution and trade services of electricity</t>
  </si>
  <si>
    <t>Distribution services of gaseous fuels through mains</t>
  </si>
  <si>
    <t>Education services (80)</t>
  </si>
  <si>
    <t>Electrical machinery and apparatus n.e.c. (31)</t>
  </si>
  <si>
    <t>Electricity by Geothermal</t>
  </si>
  <si>
    <t>Electricity by biomass and waste</t>
  </si>
  <si>
    <t>Electricity by coal</t>
  </si>
  <si>
    <t>Electricity by gas</t>
  </si>
  <si>
    <t>Electricity by hydro</t>
  </si>
  <si>
    <t>Electricity by nuclear</t>
  </si>
  <si>
    <t>Electricity by petroleum and other oil derivatives</t>
  </si>
  <si>
    <t>Electricity by solar photovoltaic</t>
  </si>
  <si>
    <t>Electricity by solar thermal</t>
  </si>
  <si>
    <t>Electricity by tide, wave, ocean</t>
  </si>
  <si>
    <t>Electricity by wind</t>
  </si>
  <si>
    <t>Electricity nec</t>
  </si>
  <si>
    <t>Ethane</t>
  </si>
  <si>
    <t>Extra-territorial organizations and bodies</t>
  </si>
  <si>
    <t>Fabricated metal products, except machinery and equipment (28)</t>
  </si>
  <si>
    <t>Financial intermediation services, except insurance and pension funding services (65)</t>
  </si>
  <si>
    <t>Fish and other fishing products; services incidental of fishing (05)</t>
  </si>
  <si>
    <t>Fish products</t>
  </si>
  <si>
    <t>Food products nec</t>
  </si>
  <si>
    <t>Food waste for treatment: biogasification and land application</t>
  </si>
  <si>
    <t>Food waste for treatment: composting and land application</t>
  </si>
  <si>
    <t>Food waste for treatment: incineration</t>
  </si>
  <si>
    <t>Food waste for treatment: landfill</t>
  </si>
  <si>
    <t>Food waste for treatment: waste water treatment</t>
  </si>
  <si>
    <t>Foundry work services</t>
  </si>
  <si>
    <t>Furniture; other manufactured goods n.e.c. (36)</t>
  </si>
  <si>
    <t>Gas Coke</t>
  </si>
  <si>
    <t>Gas Works Gas</t>
  </si>
  <si>
    <t>Gas/Diesel Oil</t>
  </si>
  <si>
    <t>Gasoline Type Jet Fuel</t>
  </si>
  <si>
    <t>Glass and glass products</t>
  </si>
  <si>
    <t>Health and social work services (85)</t>
  </si>
  <si>
    <t>Heavy Fuel Oil</t>
  </si>
  <si>
    <t>Hotel and restaurant services (55)</t>
  </si>
  <si>
    <t>Inert/metal/hazardous waste for treatment: landfill</t>
  </si>
  <si>
    <t>Inland water transportation services</t>
  </si>
  <si>
    <t>Insurance and pension funding services, except compulsory social security services (66)</t>
  </si>
  <si>
    <t>Intert/metal waste for treatment: incineration</t>
  </si>
  <si>
    <t>Iron ores</t>
  </si>
  <si>
    <t>Kerosene</t>
  </si>
  <si>
    <t>Kerosene Type Jet Fuel</t>
  </si>
  <si>
    <t>Lead, zinc and tin and products thereof</t>
  </si>
  <si>
    <t>Lead, zinc and tin ores and concentrates</t>
  </si>
  <si>
    <t>Leather and leather products (19)</t>
  </si>
  <si>
    <t>Lignite/Brown Coal</t>
  </si>
  <si>
    <t>Liquefied Petroleum Gases (LPG)</t>
  </si>
  <si>
    <t>Lubricants</t>
  </si>
  <si>
    <t>Machinery and equipment n.e.c. (29)</t>
  </si>
  <si>
    <t>Manure (biogas treatment)</t>
  </si>
  <si>
    <t>Manure (conventional treatment)</t>
  </si>
  <si>
    <t>Meat animals nec</t>
  </si>
  <si>
    <t>Meat products nec</t>
  </si>
  <si>
    <t>Medical, precision and optical instruments, watches and clocks (33)</t>
  </si>
  <si>
    <t>Membership organisation services n.e.c. (91)</t>
  </si>
  <si>
    <t>Motor Gasoline</t>
  </si>
  <si>
    <t>Motor vehicles, trailers and semi-trailers (34)</t>
  </si>
  <si>
    <t>N-fertiliser</t>
  </si>
  <si>
    <t>Naphtha</t>
  </si>
  <si>
    <t>Natural Gas Liquids</t>
  </si>
  <si>
    <t>Natural gas and services related to natural gas extraction, excluding surveying</t>
  </si>
  <si>
    <t>Nickel ores and concentrates</t>
  </si>
  <si>
    <t>Non-specified Petroleum Products</t>
  </si>
  <si>
    <t>Nuclear fuel</t>
  </si>
  <si>
    <t>Office machinery and computers (30)</t>
  </si>
  <si>
    <t>Oil seeds</t>
  </si>
  <si>
    <t>Oil/hazardous waste for treatment: incineration</t>
  </si>
  <si>
    <t>Other Bituminous Coal</t>
  </si>
  <si>
    <t>Other Hydrocarbons</t>
  </si>
  <si>
    <t>Other Liquid Biofuels</t>
  </si>
  <si>
    <t>Other business services (74)</t>
  </si>
  <si>
    <t>Other land transportation services</t>
  </si>
  <si>
    <t>Other non-ferrous metal ores and concentrates</t>
  </si>
  <si>
    <t>Other non-ferrous metal products</t>
  </si>
  <si>
    <t>Other non-metallic mineral products</t>
  </si>
  <si>
    <t>Other services (93)</t>
  </si>
  <si>
    <t>Other transport equipment (35)</t>
  </si>
  <si>
    <t>Other waste for treatment: waste water treatment</t>
  </si>
  <si>
    <t>Oxygen Steel Furnace Gas</t>
  </si>
  <si>
    <t>P- and other fertiliser</t>
  </si>
  <si>
    <t>Paddy rice</t>
  </si>
  <si>
    <t>Paper and paper products</t>
  </si>
  <si>
    <t>Paper and wood waste for treatment: composting and land application</t>
  </si>
  <si>
    <t>Paper for treatment: landfill</t>
  </si>
  <si>
    <t>Paper waste for treatment: biogasification and land application</t>
  </si>
  <si>
    <t>Paper waste for treatment: incineration</t>
  </si>
  <si>
    <t>Paraffin Waxes</t>
  </si>
  <si>
    <t>Patent Fuel</t>
  </si>
  <si>
    <t>Peat</t>
  </si>
  <si>
    <t>Petroleum Coke</t>
  </si>
  <si>
    <t>Pigs</t>
  </si>
  <si>
    <t>Plant-based fibers</t>
  </si>
  <si>
    <t>Plastic waste for treatment: incineration</t>
  </si>
  <si>
    <t>Plastic waste for treatment: landfill</t>
  </si>
  <si>
    <t>Plastics, basic</t>
  </si>
  <si>
    <t>Post and telecommunication services (64)</t>
  </si>
  <si>
    <t>Poultry</t>
  </si>
  <si>
    <t>Precious metal ores and concentrates</t>
  </si>
  <si>
    <t>Precious metals</t>
  </si>
  <si>
    <t>Printed matter and recorded media (22)</t>
  </si>
  <si>
    <t>Private households with employed persons (95)</t>
  </si>
  <si>
    <t>Processed rice</t>
  </si>
  <si>
    <t>Products of forestry, logging and related services (02)</t>
  </si>
  <si>
    <t>Products of meat cattle</t>
  </si>
  <si>
    <t>Products of meat pigs</t>
  </si>
  <si>
    <t>Products of meat poultry</t>
  </si>
  <si>
    <t>Public administration and defence services; compulsory social security services (75)</t>
  </si>
  <si>
    <t>Pulp</t>
  </si>
  <si>
    <t>Radio, television and communication equipment and apparatus (32)</t>
  </si>
  <si>
    <t>Railway transportation services</t>
  </si>
  <si>
    <t>Raw milk</t>
  </si>
  <si>
    <t>Real estate services (70)</t>
  </si>
  <si>
    <t>Recreational, cultural and sporting services (92)</t>
  </si>
  <si>
    <t>Refinery Feedstocks</t>
  </si>
  <si>
    <t>Refinery Gas</t>
  </si>
  <si>
    <t>Renting services of machinery and equipment without operator and of personal and household goods (71)</t>
  </si>
  <si>
    <t>Research and development services (73)</t>
  </si>
  <si>
    <t>Retail  trade services, except of motor vehicles and motorcycles; repair services of personal and household goods (52)</t>
  </si>
  <si>
    <t>Retail trade services of motor fuel</t>
  </si>
  <si>
    <t>Rubber and plastic products (25)</t>
  </si>
  <si>
    <t>Sale, maintenance, repair of motor vehicles, motor vehicles parts, motorcycles, motor cycles parts and accessoiries</t>
  </si>
  <si>
    <t>Sand and clay</t>
  </si>
  <si>
    <t>Sea and coastal water transportation services</t>
  </si>
  <si>
    <t>Secondary aluminium for treatment, Re-processing of secondary aluminium into new aluminium</t>
  </si>
  <si>
    <t>Secondary construction material for treatment, Re-processing of secondary construction material into aggregates</t>
  </si>
  <si>
    <t>Secondary copper for treatment, Re-processing of secondary copper into new copper</t>
  </si>
  <si>
    <t>Secondary glass for treatment, Re-processing of secondary glass into new glass</t>
  </si>
  <si>
    <t>Secondary lead for treatment, Re-processing of secondary lead into new lead</t>
  </si>
  <si>
    <t>Secondary other non-ferrous metals for treatment, Re-processing of secondary other non-ferrous metals into new other non-ferrous metals</t>
  </si>
  <si>
    <t>Secondary paper for treatment, Re-processing of secondary paper into new pulp</t>
  </si>
  <si>
    <t>Secondary plastic for treatment, Re-processing of secondary plastic into new plastic</t>
  </si>
  <si>
    <t>Secondary preciuos metals for treatment, Re-processing of secondary preciuos metals into new preciuos metals</t>
  </si>
  <si>
    <t>Secondary raw materials</t>
  </si>
  <si>
    <t>Secondary steel for treatment, Re-processing of secondary steel into new steel</t>
  </si>
  <si>
    <t>Services auxiliary to financial intermediation (67)</t>
  </si>
  <si>
    <t>Sewage sludge for treatment: biogasification and land application</t>
  </si>
  <si>
    <t>Steam and hot water supply services</t>
  </si>
  <si>
    <t>Stone</t>
  </si>
  <si>
    <t>Sub-Bituminous Coal</t>
  </si>
  <si>
    <t>Sugar</t>
  </si>
  <si>
    <t>Sugar cane, sugar beet</t>
  </si>
  <si>
    <t>Supporting and auxiliary transport services; travel agency services (63)</t>
  </si>
  <si>
    <t>Textiles (17)</t>
  </si>
  <si>
    <t>Textiles waste for treatment: incineration</t>
  </si>
  <si>
    <t>Textiles waste for treatment: landfill</t>
  </si>
  <si>
    <t>Tobacco products (16)</t>
  </si>
  <si>
    <t>Transmission services of electricity</t>
  </si>
  <si>
    <t>Transportation services via pipelines</t>
  </si>
  <si>
    <t>Uranium and thorium ores (12)</t>
  </si>
  <si>
    <t>Vegetables, fruit, nuts</t>
  </si>
  <si>
    <t>Wearing apparel; furs (18)</t>
  </si>
  <si>
    <t>Wheat</t>
  </si>
  <si>
    <t>White Spirit &amp; SBP</t>
  </si>
  <si>
    <t>Wholesale trade and commission trade services, except of motor vehicles and motorcycles (51)</t>
  </si>
  <si>
    <t>Wood and products of wood and cork (except furniture); articles of straw and plaiting materials (20)</t>
  </si>
  <si>
    <t>Wood material for treatment, Re-processing of secondary wood material into new wood material</t>
  </si>
  <si>
    <t>Wood waste for treatment: incineration</t>
  </si>
  <si>
    <t>Wood waste for treatment: landfill</t>
  </si>
  <si>
    <t>Wool, silk-worm cocoons</t>
  </si>
  <si>
    <t>products of Vegetable oils and fats</t>
  </si>
  <si>
    <t>Imports</t>
  </si>
  <si>
    <t>Production</t>
  </si>
  <si>
    <t>Product</t>
  </si>
  <si>
    <t>README sheet</t>
  </si>
  <si>
    <t>General information</t>
  </si>
  <si>
    <t>Main paper title</t>
  </si>
  <si>
    <t>Residual biomass to bio-based chemicals and plastics: ex-ante screening methodology for prioritizing high-impact substitutions</t>
  </si>
  <si>
    <t>Authors</t>
  </si>
  <si>
    <t>Nicolas LIENART, Thibaut LECOMPTE, Lorie HAMELIN</t>
  </si>
  <si>
    <t>Contact (Nicolas Lienart)</t>
  </si>
  <si>
    <t>nicolas.lienart@insa-toulouse.fr</t>
  </si>
  <si>
    <t>Contact (Lorie Hamelin)</t>
  </si>
  <si>
    <t>lorie.hamelin@insa-toulouse.fr</t>
  </si>
  <si>
    <t>Description</t>
  </si>
  <si>
    <t>Note</t>
  </si>
  <si>
    <t>This file is part of a set of supplementary materials. Please refer to the main manuscript and the accompanying document to find other materials and for a description of their usage.</t>
  </si>
  <si>
    <t>Sheet structure</t>
  </si>
  <si>
    <t>Sheet name</t>
  </si>
  <si>
    <t>README</t>
  </si>
  <si>
    <t>This sheet. Contains meta information about this Excel file and its structure.</t>
  </si>
  <si>
    <t>Cell color nomenclature</t>
  </si>
  <si>
    <t>Style name</t>
  </si>
  <si>
    <t>Color</t>
  </si>
  <si>
    <t>Example 1</t>
  </si>
  <si>
    <t>Example 2</t>
  </si>
  <si>
    <t>Example 3</t>
  </si>
  <si>
    <t>Formula</t>
  </si>
  <si>
    <t>Cell performing calculations using other cells</t>
  </si>
  <si>
    <t>blue</t>
  </si>
  <si>
    <t>Data Linked Cell</t>
  </si>
  <si>
    <t>Cell refering to another, without transformation</t>
  </si>
  <si>
    <t>brown, italics</t>
  </si>
  <si>
    <t>Updates</t>
  </si>
  <si>
    <t>Date</t>
  </si>
  <si>
    <t>Ready for submission</t>
  </si>
  <si>
    <t>Git repository (Forge INRAE)</t>
  </si>
  <si>
    <t>Git repository (GitHub)</t>
  </si>
  <si>
    <t>https://github.com/nicolnt/screen-lca-paper-supplementary-code</t>
  </si>
  <si>
    <t>https://forge.inrae.fr/nicolas.lienart/screen-lca-paper-supplementary-code</t>
  </si>
  <si>
    <t>Contact (Thibaut Lecompte)</t>
  </si>
  <si>
    <t>thibaut.lecompte@univ-ubs.fr</t>
  </si>
  <si>
    <t>Sheet description:</t>
  </si>
  <si>
    <t>Indicator</t>
  </si>
  <si>
    <t>Total (kg CO2 eq.)</t>
  </si>
  <si>
    <t>Updated sheet names for consistency with the Python notebook. Clarified each sheet and table content. Corrected small typos</t>
  </si>
  <si>
    <t>climate change: total (excl. biogenic CO2)</t>
  </si>
  <si>
    <t>Updated values with corrected and complete characterization factors</t>
  </si>
  <si>
    <t>Imported data from the Prodcom Python notebook: Imported final demand footprint in France per product (2019)</t>
  </si>
  <si>
    <t>Imported data from the Prodcom Python notebook: Imported intermediate demand footprint in France per product (2019)</t>
  </si>
  <si>
    <t>Imported data from the Prodcom Python notebook: Production footprint in France per product, for final demand (France and exports) (2019)</t>
  </si>
  <si>
    <t>Imported data from the Prodcom Python notebook: Production footprint in France per product, for intermediate demand (France and exports) (2019)</t>
  </si>
  <si>
    <t>1.1 Y_FR_imports_2019</t>
  </si>
  <si>
    <t>1.2 Z_FR_imports_2019</t>
  </si>
  <si>
    <t>2.1 Y_FR_production_2019</t>
  </si>
  <si>
    <t>2.2 Z_FR_production_2019</t>
  </si>
  <si>
    <t>Summary_FR_2019</t>
  </si>
  <si>
    <t>Imported data from the Prodcom Python notebook: Imported final demand footprint in the European Union (EU27 2020) per product (2019)</t>
  </si>
  <si>
    <t>Imported data from the Prodcom Python notebook: Imported intermediate demand footprint in the European Union (EU27 2020) per product (2019)</t>
  </si>
  <si>
    <t>Imported data from the Prodcom Python notebook: Production footprint in  the European Union (EU27 2020) per product, for final demand (EU27 and exports) (2019)</t>
  </si>
  <si>
    <t>Imported data from the Prodcom Python notebook: Production footprint in  the European Union (EU27 2020) per product, for intermediate demand (EU27 and exports) (2019)</t>
  </si>
  <si>
    <t>Combines and summarizes the data of the four footprint sheets for France and year 2019</t>
  </si>
  <si>
    <t>Combines and summarizes the data of the four footprint sheets for  the European Union (EU27 2020) and year 2019</t>
  </si>
  <si>
    <t>1.1 Y_imports</t>
  </si>
  <si>
    <t>1.2 Z_imports</t>
  </si>
  <si>
    <t>2.1 Y_production</t>
  </si>
  <si>
    <t>2.2 Z_production</t>
  </si>
  <si>
    <t>This file is used to compute the estimation of France (EXIOBASE FR region) and  the European Union (EU27, 2020) sectors GHG footprint with respect to what is imported and locally produced based on EXIOBASE data and the code available in the git repository. Sectors (or products in EXIOBASE terms) are not cumulative as they depend on each other.</t>
  </si>
  <si>
    <t>EXIOBASE version</t>
  </si>
  <si>
    <t>D_cba</t>
  </si>
  <si>
    <t>consumption-based accounts</t>
  </si>
  <si>
    <t>D_pba</t>
  </si>
  <si>
    <t>production-based accounts</t>
  </si>
  <si>
    <t>F_Y</t>
  </si>
  <si>
    <t>factor production final demand</t>
  </si>
  <si>
    <t>Imported data from the Prodcom Python notebook: Imported final demand footprint in France per product (2022)</t>
  </si>
  <si>
    <t>Combines and summarizes the data of the four footprint sheets for France and year 2022</t>
  </si>
  <si>
    <t>Imported data from the Prodcom Python notebook: Production footprint in France per product, for intermediate demand (France and exports) (2022)</t>
  </si>
  <si>
    <t>Imported data from the Prodcom Python notebook: Production footprint in France per product, for final demand (France and exports) (2022)</t>
  </si>
  <si>
    <t>Imported data from the Prodcom Python notebook: Imported intermediate demand footprint in France per product (2022)</t>
  </si>
  <si>
    <t>GHG characterized with IPCC 2021 - climate change: total (excl. biogenic CO2) (GWP100, kg CO2-Eq) - see EXIOBASE calculation notebook in the SI.</t>
  </si>
  <si>
    <t>1.1 Y_FR_imports_2022</t>
  </si>
  <si>
    <t>1.2 Z_FR_imports_2022</t>
  </si>
  <si>
    <t>2.1 Y_FR_production_2022</t>
  </si>
  <si>
    <t>2.2 Z_FR_production_2022</t>
  </si>
  <si>
    <t>Summary_FR_2022</t>
  </si>
  <si>
    <t>1.1 Y_EU27_imports_2019</t>
  </si>
  <si>
    <t>1.2 Z_EU27_imports_2019</t>
  </si>
  <si>
    <t>2.1 Y_EU27_production_2019</t>
  </si>
  <si>
    <t>2.2 Z_EU27_production_2019</t>
  </si>
  <si>
    <t>Summary_EU27_2019</t>
  </si>
  <si>
    <t>Imported data from the Prodcom Python notebook: Imported final demand footprint in the European Union (EU27 2020) per product (2022)</t>
  </si>
  <si>
    <t>Imported data from the Prodcom Python notebook: Imported intermediate demand footprint in the European Union (EU27 2020) per product (2022)</t>
  </si>
  <si>
    <t>Imported data from the Prodcom Python notebook: Production footprint in  the European Union (EU27 2020) per product, for final demand (EU27 and exports) (2022)</t>
  </si>
  <si>
    <t>Imported data from the Prodcom Python notebook: Production footprint in  the European Union (EU27 2020) per product, for intermediate demand (EU27 and exports) (2022)</t>
  </si>
  <si>
    <t>Combines and summarizes the data of the four footprint sheets for  the European Union (EU27 2020) and year 2022</t>
  </si>
  <si>
    <t>1.1 Y_EU27_imports_2022</t>
  </si>
  <si>
    <t>1.2 Z_EU27_imports_2022</t>
  </si>
  <si>
    <t>2.1 Y_EU27_production_2022</t>
  </si>
  <si>
    <t>2.2 Z_EU27_production_2022</t>
  </si>
  <si>
    <t>Summary_EU27_2022</t>
  </si>
  <si>
    <t>% Plastics, basic</t>
  </si>
  <si>
    <t>% Chemicals nec</t>
  </si>
  <si>
    <t>v3.10.2 - IOT_2019_pxp and IOT_2022_pxp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</si>
</sst>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16" x14ac:knownFonts="1">
    <font>
      <sz val="11"/>
      <color theme="1"/>
      <name val="Calibri"/>
      <family val="2"/>
      <scheme val="minor"/>
    </font>
    <font>
      <b/>
      <sz val="11"/>
      <color theme="0"/>
      <name val="Calibri"/>
      <family val="2"/>
      <scheme val="minor"/>
    </font>
    <font>
      <sz val="11"/>
      <color theme="0"/>
      <name val="Calibri"/>
      <family val="2"/>
      <scheme val="minor"/>
    </font>
    <font>
      <b/>
      <sz val="9"/>
      <color indexed="81"/>
      <name val="Tahoma"/>
      <family val="2"/>
    </font>
    <font>
      <sz val="9"/>
      <color indexed="81"/>
      <name val="Tahoma"/>
      <family val="2"/>
    </font>
    <font>
      <b/>
      <sz val="15"/>
      <color theme="3"/>
      <name val="Calibri"/>
      <family val="2"/>
      <scheme val="minor"/>
    </font>
    <font>
      <b/>
      <sz val="13"/>
      <color theme="3"/>
      <name val="Calibri"/>
      <family val="2"/>
      <scheme val="minor"/>
    </font>
    <font>
      <u/>
      <sz val="11"/>
      <color theme="10"/>
      <name val="Calibri"/>
      <family val="2"/>
      <scheme val="minor"/>
    </font>
    <font>
      <sz val="10"/>
      <name val="Arial"/>
      <family val="2"/>
    </font>
    <font>
      <sz val="10"/>
      <color theme="4"/>
      <name val="Arial"/>
      <family val="2"/>
    </font>
    <font>
      <i/>
      <sz val="10"/>
      <color rgb="FFCC6600"/>
      <name val="Arial"/>
      <family val="2"/>
    </font>
    <font>
      <sz val="10"/>
      <color theme="1"/>
      <name val="Arial"/>
      <family val="2"/>
    </font>
    <font>
      <i/>
      <sz val="9"/>
      <color theme="1" tint="0.499984740745262"/>
      <name val="Arial"/>
      <family val="2"/>
    </font>
    <font>
      <sz val="9"/>
      <color theme="1"/>
      <name val="Arial"/>
      <family val="2"/>
    </font>
    <font>
      <sz val="9"/>
      <color theme="4" tint="0.39997558519241921"/>
      <name val="Arial"/>
      <family val="2"/>
    </font>
    <font>
      <sz val="18"/>
      <color theme="3"/>
      <name val="Calibri Light"/>
      <family val="2"/>
      <scheme val="major"/>
    </font>
  </fonts>
  <fills count="6">
    <fill>
      <patternFill patternType="none"/>
    </fill>
    <fill>
      <patternFill patternType="gray125"/>
    </fill>
    <fill>
      <patternFill patternType="solid">
        <fgColor theme="2"/>
        <bgColor indexed="64"/>
      </patternFill>
    </fill>
    <fill>
      <patternFill patternType="solid">
        <fgColor theme="4"/>
      </patternFill>
    </fill>
    <fill>
      <patternFill patternType="solid">
        <fgColor rgb="FFFFE1E1"/>
        <bgColor indexed="64"/>
      </patternFill>
    </fill>
    <fill>
      <patternFill patternType="solid">
        <fgColor rgb="FF00B0F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5">
    <xf numFmtId="0" fontId="0" fillId="0" borderId="0"/>
    <xf numFmtId="0" fontId="2" fillId="3" borderId="0" applyNumberFormat="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0" applyNumberFormat="0" applyFill="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2" borderId="0" applyNumberFormat="0" applyBorder="0" applyAlignment="0" applyProtection="0"/>
    <xf numFmtId="0" fontId="9" fillId="0" borderId="0" applyNumberFormat="0" applyBorder="0" applyAlignment="0" applyProtection="0"/>
    <xf numFmtId="0" fontId="10" fillId="0" borderId="0" applyNumberFormat="0" applyBorder="0" applyAlignment="0" applyProtection="0"/>
    <xf numFmtId="0" fontId="11" fillId="0" borderId="0" applyNumberFormat="0" applyBorder="0" applyAlignment="0" applyProtection="0"/>
    <xf numFmtId="0" fontId="12" fillId="0" borderId="0" applyNumberFormat="0" applyBorder="0" applyAlignment="0" applyProtection="0"/>
    <xf numFmtId="0" fontId="13" fillId="0" borderId="0" applyNumberFormat="0" applyBorder="0" applyAlignment="0" applyProtection="0">
      <alignment horizontal="left"/>
    </xf>
    <xf numFmtId="0" fontId="14" fillId="0" borderId="0" applyNumberFormat="0" applyBorder="0" applyAlignment="0" applyProtection="0">
      <alignment vertical="top"/>
    </xf>
    <xf numFmtId="0" fontId="15" fillId="0" borderId="0" applyNumberFormat="0" applyFill="0" applyBorder="0" applyAlignment="0" applyProtection="0"/>
  </cellStyleXfs>
  <cellXfs count="39">
    <xf numFmtId="0" fontId="0" fillId="0" borderId="0" xfId="0"/>
    <xf numFmtId="9" fontId="9" fillId="0" borderId="0" xfId="8" applyNumberFormat="1"/>
    <xf numFmtId="0" fontId="7" fillId="0" borderId="0" xfId="4" applyAlignment="1">
      <alignment wrapText="1"/>
    </xf>
    <xf numFmtId="14" fontId="0" fillId="0" borderId="7" xfId="0" applyNumberFormat="1" applyBorder="1" applyAlignment="1">
      <alignment horizontal="center"/>
    </xf>
    <xf numFmtId="48" fontId="10" fillId="0" borderId="0" xfId="9" applyNumberFormat="1"/>
    <xf numFmtId="48" fontId="0" fillId="0" borderId="0" xfId="0" applyNumberFormat="1"/>
    <xf numFmtId="1" fontId="0" fillId="0" borderId="0" xfId="0" applyNumberFormat="1"/>
    <xf numFmtId="164" fontId="0" fillId="0" borderId="0" xfId="0" applyNumberFormat="1"/>
    <xf numFmtId="0" fontId="1" fillId="3" borderId="0" xfId="1" applyFont="1" applyAlignment="1">
      <alignment horizontal="center" vertical="center"/>
    </xf>
    <xf numFmtId="0" fontId="0" fillId="0" borderId="0" xfId="0" applyAlignment="1">
      <alignment horizontal="right"/>
    </xf>
    <xf numFmtId="0" fontId="5" fillId="0" borderId="1" xfId="2"/>
    <xf numFmtId="0" fontId="6" fillId="0" borderId="2" xfId="3"/>
    <xf numFmtId="0" fontId="7" fillId="0" borderId="0" xfId="4"/>
    <xf numFmtId="0" fontId="0" fillId="0" borderId="0" xfId="0" applyAlignment="1">
      <alignment wrapText="1"/>
    </xf>
    <xf numFmtId="0" fontId="1" fillId="3" borderId="3" xfId="1" applyFont="1" applyBorder="1" applyAlignment="1">
      <alignment horizontal="center"/>
    </xf>
    <xf numFmtId="0" fontId="1" fillId="3" borderId="4" xfId="1" applyFont="1" applyBorder="1" applyAlignment="1">
      <alignment horizontal="left"/>
    </xf>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1" fillId="3" borderId="9" xfId="1" applyFont="1" applyBorder="1" applyAlignment="1">
      <alignment horizontal="center"/>
    </xf>
    <xf numFmtId="0" fontId="1" fillId="3" borderId="4" xfId="1" applyFont="1" applyBorder="1" applyAlignment="1">
      <alignment horizontal="center"/>
    </xf>
    <xf numFmtId="0" fontId="9" fillId="0" borderId="0" xfId="8" applyBorder="1"/>
    <xf numFmtId="165" fontId="9" fillId="0" borderId="0" xfId="8" applyNumberFormat="1" applyBorder="1"/>
    <xf numFmtId="11" fontId="9" fillId="0" borderId="6" xfId="8" applyNumberFormat="1" applyBorder="1"/>
    <xf numFmtId="0" fontId="0" fillId="0" borderId="10" xfId="0" applyBorder="1"/>
    <xf numFmtId="14" fontId="0" fillId="0" borderId="5" xfId="0" applyNumberFormat="1" applyBorder="1" applyAlignment="1">
      <alignment horizontal="center"/>
    </xf>
    <xf numFmtId="0" fontId="10" fillId="0" borderId="6" xfId="9" applyBorder="1"/>
    <xf numFmtId="0" fontId="10" fillId="0" borderId="8" xfId="9" applyBorder="1"/>
    <xf numFmtId="48" fontId="9" fillId="0" borderId="0" xfId="8" applyNumberFormat="1" applyFont="1"/>
    <xf numFmtId="0" fontId="10" fillId="0" borderId="10" xfId="9" applyBorder="1"/>
    <xf numFmtId="11" fontId="10" fillId="0" borderId="8" xfId="9" applyNumberFormat="1" applyBorder="1"/>
    <xf numFmtId="0" fontId="7" fillId="0" borderId="5" xfId="4" applyBorder="1" applyAlignment="1">
      <alignment horizontal="center"/>
    </xf>
    <xf numFmtId="0" fontId="7" fillId="0" borderId="7" xfId="4" applyBorder="1" applyAlignment="1">
      <alignment horizontal="center"/>
    </xf>
    <xf numFmtId="0" fontId="0" fillId="0" borderId="0" xfId="0" applyNumberFormat="1"/>
    <xf numFmtId="10" fontId="9" fillId="0" borderId="0" xfId="8" applyNumberFormat="1"/>
    <xf numFmtId="11" fontId="0" fillId="0" borderId="0" xfId="0" applyNumberFormat="1"/>
    <xf numFmtId="11" fontId="8" fillId="2" borderId="0" xfId="7" applyNumberFormat="1"/>
    <xf numFmtId="0" fontId="15" fillId="0" borderId="6" xfId="14" applyBorder="1"/>
  </cellXfs>
  <cellStyles count="15">
    <cellStyle name="Accent1" xfId="1" builtinId="29"/>
    <cellStyle name="Data Assumption" xfId="5" xr:uid="{B6E415B8-22D8-4F62-A107-0C8141C0FDC0}"/>
    <cellStyle name="Data Linked Cell" xfId="9" xr:uid="{FCC71CE0-C8FA-466F-ADFE-6E5DADA77F12}"/>
    <cellStyle name="Data Reference" xfId="7" xr:uid="{7CB771E5-DE4C-48D6-B912-93B591F51953}"/>
    <cellStyle name="Formula" xfId="8" xr:uid="{982741D6-AD38-49A1-88CA-000BEE4D671C}"/>
    <cellStyle name="Heading 1" xfId="2" builtinId="16"/>
    <cellStyle name="Heading 2" xfId="3" builtinId="17"/>
    <cellStyle name="Hyperlink" xfId="4" builtinId="8"/>
    <cellStyle name="Normal" xfId="0" builtinId="0"/>
    <cellStyle name="Required User Input" xfId="6" xr:uid="{49D41EB4-16E3-4DB0-A96C-6026370D55A1}"/>
    <cellStyle name="Text Formula" xfId="13" xr:uid="{2BE4069D-CA4B-455D-B508-59308324C83E}"/>
    <cellStyle name="Text Note" xfId="10" xr:uid="{C4249F02-2AB3-40A3-9811-F2E83944B735}"/>
    <cellStyle name="Text Reference" xfId="11" xr:uid="{DBBB2E88-062C-4340-B1FA-0A4340D7C292}"/>
    <cellStyle name="Text Unit" xfId="12" xr:uid="{DA45470A-4D2D-425C-B1EE-D8D76E467959}"/>
    <cellStyle name="Title" xfId="14" builtinId="15"/>
  </cellStyles>
  <dxfs count="36">
    <dxf>
      <fill>
        <patternFill>
          <bgColor rgb="FFFF0000"/>
        </patternFill>
      </fil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fill>
        <patternFill>
          <bgColor rgb="FFFF0000"/>
        </patternFill>
      </fil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fill>
        <patternFill>
          <bgColor rgb="FFFF0000"/>
        </patternFill>
      </fil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
      <fill>
        <patternFill>
          <bgColor rgb="FFFF0000"/>
        </patternFill>
      </fill>
    </dxf>
    <dxf>
      <numFmt numFmtId="15" formatCode="0.00E+00"/>
    </dxf>
    <dxf>
      <numFmt numFmtId="0" formatCode="General"/>
    </dxf>
    <dxf>
      <numFmt numFmtId="15" formatCode="0.00E+00"/>
    </dxf>
    <dxf>
      <numFmt numFmtId="0" formatCode="General"/>
    </dxf>
    <dxf>
      <numFmt numFmtId="15" formatCode="0.00E+00"/>
    </dxf>
    <dxf>
      <numFmt numFmtId="0" formatCode="General"/>
    </dxf>
    <dxf>
      <numFmt numFmtId="15" formatCode="0.00E+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520E89-785D-4B80-816A-CBD1C4C421CB}"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3DFD0B9B-92F2-4075-9059-7512F0863502}"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B11AFC3-1359-4139-B0D0-C815FD7C08C0}"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1" xr16:uid="{87128EE5-B851-42C4-A871-597759395D9F}"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3B012C2A-08CF-492C-A638-99B08DF83188}"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9" xr16:uid="{571906D8-2297-4498-B1B1-5EE8DA7E7EAE}"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5" xr16:uid="{541CABC1-3AD1-4FA5-BA88-B17458521423}"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3" xr16:uid="{4868BE36-12A1-4F15-88E6-C7A3E2300A84}"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5" xr16:uid="{F7089DBE-867B-473C-BB91-752F1A9D7E5E}"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8" xr16:uid="{D31278E9-491A-4F86-A6B9-BCB280F8587D}"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4" xr16:uid="{3880BE0C-7906-4E2B-BD3A-D8B9873038F6}"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2" xr16:uid="{5E8777FD-7D33-426B-B8D4-F2FDC8D35E9C}"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16" xr16:uid="{2BF904D3-98CE-41EB-B30B-1C0C63E3C65D}"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10" xr16:uid="{EEBCED3E-9F29-4AF5-BEEC-8746B9AC6BCE}"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6" xr16:uid="{847200F3-A170-4999-BEF8-939A59E5D25A}"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14" xr16:uid="{0E2F414E-8494-4FC0-A03E-7F9340D59004}" autoFormatId="16" applyNumberFormats="0" applyBorderFormats="0" applyFontFormats="0" applyPatternFormats="0" applyAlignmentFormats="0" applyWidthHeightFormats="0">
  <queryTableRefresh nextId="4">
    <queryTableFields count="2">
      <queryTableField id="1" name="sector" tableColumnId="1"/>
      <queryTableField id="3" name="climate change: total (excl. biogenic CO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46D130-EB5A-4F37-8B99-3157C440DD5E}" name="output_exiobase_v3.10.2_EXIO_IOT_2019_pxp_Y_imports_footprint_FR" displayName="output_exiobase_v3.10.2_EXIO_IOT_2019_pxp_Y_imports_footprint_FR" ref="A4:B204" tableType="queryTable" totalsRowShown="0">
  <autoFilter ref="A4:B204" xr:uid="{CE46D130-EB5A-4F37-8B99-3157C440DD5E}"/>
  <tableColumns count="2">
    <tableColumn id="1" xr3:uid="{C6501372-A3BF-43FD-8F12-AA67B1861CA2}" uniqueName="1" name="sector" queryTableFieldId="1" dataDxfId="35"/>
    <tableColumn id="2" xr3:uid="{91FA8655-8E31-406A-80EC-4142851715EC}" uniqueName="2" name="climate change: total (excl. biogenic CO2)" queryTableFieldId="3"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A39D38-566C-404B-B9BE-FCCD28B1D940}" name="output_exiobase_v3.10.2_EXIO_IOT_2019_pxp_Z_imports_footprint_FR" displayName="output_exiobase_v3.10.2_EXIO_IOT_2019_pxp_Z_imports_footprint_FR" ref="A4:B204" tableType="queryTable" totalsRowShown="0">
  <autoFilter ref="A4:B204" xr:uid="{C0A39D38-566C-404B-B9BE-FCCD28B1D940}"/>
  <tableColumns count="2">
    <tableColumn id="1" xr3:uid="{3AA288D2-75EE-415D-A1EB-48CD9F116447}" uniqueName="1" name="sector" queryTableFieldId="1" dataDxfId="33"/>
    <tableColumn id="2" xr3:uid="{6DB7337C-FC0F-479D-8E5F-C502872D2BE5}" uniqueName="2" name="climate change: total (excl. biogenic CO2)" queryTableFieldId="3" dataDxfId="3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27BBF6-D1E5-4EFA-A787-5F15D2D8950B}" name="output_exiobase_v3.10.2_EXIO_IOT_2019_pxp_Y_production_footprint_FR" displayName="output_exiobase_v3.10.2_EXIO_IOT_2019_pxp_Y_production_footprint_FR" ref="A4:B204" tableType="queryTable" totalsRowShown="0">
  <autoFilter ref="A4:B204" xr:uid="{3E27BBF6-D1E5-4EFA-A787-5F15D2D8950B}"/>
  <tableColumns count="2">
    <tableColumn id="1" xr3:uid="{1B53429C-0C13-4FE3-AF87-432FF24F650C}" uniqueName="1" name="sector" queryTableFieldId="1" dataDxfId="31"/>
    <tableColumn id="2" xr3:uid="{1EBE1B3A-937B-4891-8387-81788A9F9DCD}" uniqueName="2" name="climate change: total (excl. biogenic CO2)" queryTableFieldId="3" dataDxfId="3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7F49A4-DDE3-4035-A795-9AEE5C504032}" name="output_exiobase_v3.10.2_EXIO_IOT_2019_pxp_Z_production_footprint_FR" displayName="output_exiobase_v3.10.2_EXIO_IOT_2019_pxp_Z_production_footprint_FR" ref="A4:B204" tableType="queryTable" totalsRowShown="0">
  <autoFilter ref="A4:B204" xr:uid="{F57F49A4-DDE3-4035-A795-9AEE5C504032}"/>
  <tableColumns count="2">
    <tableColumn id="1" xr3:uid="{F2CF833A-8F37-4FF3-96E8-EB6D1157A1AC}" uniqueName="1" name="sector" queryTableFieldId="1" dataDxfId="29"/>
    <tableColumn id="2" xr3:uid="{61803AFB-9766-41CF-8E46-1155BD30FEB2}" uniqueName="2" name="climate change: total (excl. biogenic CO2)" queryTableFieldId="3" dataDxfId="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72550A-08B8-4EEB-B206-D342CE7A7DF3}" name="output_exiobase_v3.10.2_EXIO_IOT_2022_pxp_Y_imports_footprint_FR" displayName="output_exiobase_v3.10.2_EXIO_IOT_2022_pxp_Y_imports_footprint_FR" ref="A4:B204" tableType="queryTable" totalsRowShown="0">
  <autoFilter ref="A4:B204" xr:uid="{CE46D130-EB5A-4F37-8B99-3157C440DD5E}"/>
  <tableColumns count="2">
    <tableColumn id="1" xr3:uid="{EE5773D0-DAD9-44DC-B6A1-175F0BF9DE4B}" uniqueName="1" name="sector" queryTableFieldId="1" dataDxfId="26"/>
    <tableColumn id="2" xr3:uid="{2C962711-3056-49EA-B5B6-96585459F281}" uniqueName="2" name="climate change: total (excl. biogenic CO2)" queryTableFieldId="3" dataDxfId="2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E537F8F-BD6F-48EB-96C0-9AE8E0966A3C}" name="output_exiobase_v3.10.2_EXIO_IOT_2022_pxp_Z_imports_footprint_FR" displayName="output_exiobase_v3.10.2_EXIO_IOT_2022_pxp_Z_imports_footprint_FR" ref="A4:B204" tableType="queryTable" totalsRowShown="0">
  <autoFilter ref="A4:B204" xr:uid="{C0A39D38-566C-404B-B9BE-FCCD28B1D940}"/>
  <tableColumns count="2">
    <tableColumn id="1" xr3:uid="{FD9CAAD5-8319-4EE0-9A16-CEF0C7488661}" uniqueName="1" name="sector" queryTableFieldId="1" dataDxfId="24"/>
    <tableColumn id="2" xr3:uid="{E7B455B7-4B47-4ED9-BADC-A8ADAB3B7918}" uniqueName="2" name="climate change: total (excl. biogenic CO2)" queryTableFieldId="3" dataDxfId="2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D68F600-593A-4D33-B084-465CA9C3586F}" name="output_exiobase_v3.10.2_EXIO_IOT_2022_pxp_Y_production_footprint_FR" displayName="output_exiobase_v3.10.2_EXIO_IOT_2022_pxp_Y_production_footprint_FR" ref="A4:B204" tableType="queryTable" totalsRowShown="0">
  <autoFilter ref="A4:B204" xr:uid="{3E27BBF6-D1E5-4EFA-A787-5F15D2D8950B}"/>
  <tableColumns count="2">
    <tableColumn id="1" xr3:uid="{E864F29C-F479-413E-A702-B20A624EAFCA}" uniqueName="1" name="sector" queryTableFieldId="1" dataDxfId="22"/>
    <tableColumn id="2" xr3:uid="{8912DC35-3D6D-466C-8188-A1A1F4032D3F}" uniqueName="2" name="climate change: total (excl. biogenic CO2)" queryTableFieldId="3" dataDxfId="2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9138E87-69D7-4D3B-9CCC-2F0C39BD77A8}" name="output_exiobase_v3.10.2_EXIO_IOT_2022_pxp_Z_production_footprint_FR" displayName="output_exiobase_v3.10.2_EXIO_IOT_2022_pxp_Z_production_footprint_FR" ref="A4:B204" tableType="queryTable" totalsRowShown="0">
  <autoFilter ref="A4:B204" xr:uid="{F57F49A4-DDE3-4035-A795-9AEE5C504032}"/>
  <tableColumns count="2">
    <tableColumn id="1" xr3:uid="{D6FC7AA4-C211-44D2-8641-05FD3448AD34}" uniqueName="1" name="sector" queryTableFieldId="1" dataDxfId="20"/>
    <tableColumn id="2" xr3:uid="{3C164DCF-E8FA-4EA4-AF32-E539290AD3F7}" uniqueName="2" name="climate change: total (excl. biogenic CO2)" queryTableFieldId="3" dataDxfId="1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15BF32-0381-4F84-A70C-DDD9C20F348F}" name="output_exiobase_v3.10.2_EXIO_IOT_2019_pxp_Y_imports_footprint_EU27" displayName="output_exiobase_v3.10.2_EXIO_IOT_2019_pxp_Y_imports_footprint_EU27" ref="A4:B204" tableType="queryTable" totalsRowShown="0">
  <autoFilter ref="A4:B204" xr:uid="{CE46D130-EB5A-4F37-8B99-3157C440DD5E}"/>
  <tableColumns count="2">
    <tableColumn id="1" xr3:uid="{EC13CA00-34A2-4CD5-936E-4C5B262DBC59}" uniqueName="1" name="sector" queryTableFieldId="1" dataDxfId="17"/>
    <tableColumn id="2" xr3:uid="{73E10BA5-F02E-4506-8C8B-272BC7BE765D}" uniqueName="2" name="climate change: total (excl. biogenic CO2)" queryTableFieldId="3" dataDxfId="16"/>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DE4800-F52A-4927-84A7-BD511C200592}" name="output_exiobase_v3.10.2_EXIO_IOT_2019_pxp_Z_imports_footprint_EU27" displayName="output_exiobase_v3.10.2_EXIO_IOT_2019_pxp_Z_imports_footprint_EU27" ref="A4:B204" tableType="queryTable" totalsRowShown="0">
  <autoFilter ref="A4:B204" xr:uid="{C0A39D38-566C-404B-B9BE-FCCD28B1D940}"/>
  <tableColumns count="2">
    <tableColumn id="1" xr3:uid="{9F1AF79E-8DC5-45A2-9139-01682791815A}" uniqueName="1" name="sector" queryTableFieldId="1" dataDxfId="15"/>
    <tableColumn id="2" xr3:uid="{208D49AC-5862-45FA-8176-D89EB414701A}" uniqueName="2" name="climate change: total (excl. biogenic CO2)" queryTableFieldId="3" dataDxfId="14"/>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D40E893-5E44-4A5B-8659-6BF3E2956DFF}" name="output_exiobase_v3.10.2_EXIO_IOT_2019_pxp_Y_production_footprint_EU27" displayName="output_exiobase_v3.10.2_EXIO_IOT_2019_pxp_Y_production_footprint_EU27" ref="A4:B204" tableType="queryTable" totalsRowShown="0">
  <autoFilter ref="A4:B204" xr:uid="{3E27BBF6-D1E5-4EFA-A787-5F15D2D8950B}"/>
  <tableColumns count="2">
    <tableColumn id="1" xr3:uid="{0F977AF5-9E25-4E40-BFB6-E8FEB6AD39E1}" uniqueName="1" name="sector" queryTableFieldId="1" dataDxfId="13"/>
    <tableColumn id="2" xr3:uid="{17671340-80BA-4590-B9EF-3AFC02508D71}" uniqueName="2" name="climate change: total (excl. biogenic CO2)" queryTableFieldId="3" dataDxfId="1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AB482B9-72B0-4361-8982-CAD5386F1027}" name="output_exiobase_v3.10.2_EXIO_IOT_2019_pxp_Z_production_footprint_EU27" displayName="output_exiobase_v3.10.2_EXIO_IOT_2019_pxp_Z_production_footprint_EU27" ref="A4:B204" tableType="queryTable" totalsRowShown="0">
  <autoFilter ref="A4:B204" xr:uid="{F57F49A4-DDE3-4035-A795-9AEE5C504032}"/>
  <tableColumns count="2">
    <tableColumn id="1" xr3:uid="{1AEE5282-FC48-4C32-AFF5-3D8F8519DEF5}" uniqueName="1" name="sector" queryTableFieldId="1" dataDxfId="11"/>
    <tableColumn id="2" xr3:uid="{67A31ABF-7D68-4522-87DF-D406101C5FC3}" uniqueName="2" name="climate change: total (excl. biogenic CO2)" queryTableFieldId="3" dataDxfId="10"/>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A704DB2-D621-4B3B-9107-FC31527B54FE}" name="output_exiobase_v3.10.2_EXIO_IOT_2022_pxp_Y_imports_footprint_EU27" displayName="output_exiobase_v3.10.2_EXIO_IOT_2022_pxp_Y_imports_footprint_EU27" ref="A4:B204" tableType="queryTable" totalsRowShown="0">
  <autoFilter ref="A4:B204" xr:uid="{CE46D130-EB5A-4F37-8B99-3157C440DD5E}"/>
  <tableColumns count="2">
    <tableColumn id="1" xr3:uid="{DFE8088B-1F7B-4592-9C3F-057A92C3B021}" uniqueName="1" name="sector" queryTableFieldId="1" dataDxfId="8"/>
    <tableColumn id="2" xr3:uid="{1C4816CB-1E41-49FB-B87E-F091BD7E69D0}" uniqueName="2" name="climate change: total (excl. biogenic CO2)" queryTableFieldId="3" dataDxfId="7"/>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22C62D8-D013-4AC1-BC0A-BCA66ACFC0F6}" name="output_exiobase_v3.10.2_EXIO_IOT_2022_pxp_Z_imports_footprint_EU27" displayName="output_exiobase_v3.10.2_EXIO_IOT_2022_pxp_Z_imports_footprint_EU27" ref="A4:B204" tableType="queryTable" totalsRowShown="0">
  <autoFilter ref="A4:B204" xr:uid="{C0A39D38-566C-404B-B9BE-FCCD28B1D940}"/>
  <tableColumns count="2">
    <tableColumn id="1" xr3:uid="{79842A95-8BF0-46C6-8B1C-9262E5693270}" uniqueName="1" name="sector" queryTableFieldId="1" dataDxfId="6"/>
    <tableColumn id="2" xr3:uid="{83B2AA59-F910-44C0-A91F-135A48FD331A}" uniqueName="2" name="climate change: total (excl. biogenic CO2)" queryTableFieldId="3" dataDxfId="5"/>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68D7749-4B5D-4497-B3F4-48650EF3A713}" name="output_exiobase_v3.10.2_EXIO_IOT_2022_pxp_Y_production_footprint_EU27" displayName="output_exiobase_v3.10.2_EXIO_IOT_2022_pxp_Y_production_footprint_EU27" ref="A4:B204" tableType="queryTable" totalsRowShown="0">
  <autoFilter ref="A4:B204" xr:uid="{3E27BBF6-D1E5-4EFA-A787-5F15D2D8950B}"/>
  <tableColumns count="2">
    <tableColumn id="1" xr3:uid="{F8348A9C-528D-4391-B958-D6DA94018F69}" uniqueName="1" name="sector" queryTableFieldId="1" dataDxfId="4"/>
    <tableColumn id="2" xr3:uid="{D9D11897-EC3A-4144-9A8C-F526F527F783}" uniqueName="2" name="climate change: total (excl. biogenic CO2)" queryTableFieldId="3" dataDxfId="3"/>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E92296C-11D9-4D71-8261-1FCA1B8A7B03}" name="output_exiobase_v3.10.2_EXIO_IOT_2022_pxp_Z_production_footprint_EU27" displayName="output_exiobase_v3.10.2_EXIO_IOT_2022_pxp_Z_production_footprint_EU27" ref="A4:B204" tableType="queryTable" totalsRowShown="0">
  <autoFilter ref="A4:B204" xr:uid="{F57F49A4-DDE3-4035-A795-9AEE5C504032}"/>
  <tableColumns count="2">
    <tableColumn id="1" xr3:uid="{F225CCE7-37E8-468C-B7DF-16B845881E01}" uniqueName="1" name="sector" queryTableFieldId="1" dataDxfId="2"/>
    <tableColumn id="2" xr3:uid="{BEAECDF9-C6A0-4943-B03E-D6FF3ADD8801}" uniqueName="2" name="climate change: total (excl. biogenic CO2)" queryTableFieldId="3"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nicolnt/screen-lca-paper-supplementary-code" TargetMode="External"/><Relationship Id="rId2" Type="http://schemas.openxmlformats.org/officeDocument/2006/relationships/hyperlink" Target="mailto:lorie.hamelin@insa-toulouse.fr" TargetMode="External"/><Relationship Id="rId1" Type="http://schemas.openxmlformats.org/officeDocument/2006/relationships/hyperlink" Target="mailto:nicolas.lienart@insa-toulouse.fr" TargetMode="External"/><Relationship Id="rId4" Type="http://schemas.openxmlformats.org/officeDocument/2006/relationships/hyperlink" Target="https://forge.inrae.fr/nicolas.lienart/screen-lca-paper-supplementary-cod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4CA13-5438-493C-B830-DB134E164CB9}">
  <sheetPr codeName="Sheet6"/>
  <dimension ref="B2:G56"/>
  <sheetViews>
    <sheetView tabSelected="1" topLeftCell="A25" zoomScaleNormal="100" workbookViewId="0">
      <selection activeCell="B30" sqref="B30"/>
    </sheetView>
  </sheetViews>
  <sheetFormatPr defaultRowHeight="14.4" x14ac:dyDescent="0.3"/>
  <cols>
    <col min="1" max="1" width="8.21875" customWidth="1"/>
    <col min="2" max="2" width="35.77734375" customWidth="1"/>
    <col min="3" max="3" width="72.5546875" customWidth="1"/>
    <col min="4" max="4" width="14.5546875" customWidth="1"/>
    <col min="5" max="7" width="15" customWidth="1"/>
  </cols>
  <sheetData>
    <row r="2" spans="2:3" ht="20.399999999999999" thickBot="1" x14ac:dyDescent="0.45">
      <c r="B2" s="10" t="s">
        <v>204</v>
      </c>
    </row>
    <row r="3" spans="2:3" ht="15" thickTop="1" x14ac:dyDescent="0.3"/>
    <row r="5" spans="2:3" ht="18" thickBot="1" x14ac:dyDescent="0.4">
      <c r="B5" s="11" t="s">
        <v>205</v>
      </c>
    </row>
    <row r="6" spans="2:3" ht="15" thickTop="1" x14ac:dyDescent="0.3"/>
    <row r="7" spans="2:3" x14ac:dyDescent="0.3">
      <c r="B7" t="s">
        <v>206</v>
      </c>
      <c r="C7" t="s">
        <v>207</v>
      </c>
    </row>
    <row r="8" spans="2:3" x14ac:dyDescent="0.3">
      <c r="B8" t="s">
        <v>208</v>
      </c>
      <c r="C8" t="s">
        <v>209</v>
      </c>
    </row>
    <row r="9" spans="2:3" x14ac:dyDescent="0.3">
      <c r="B9" t="s">
        <v>210</v>
      </c>
      <c r="C9" s="12" t="s">
        <v>211</v>
      </c>
    </row>
    <row r="10" spans="2:3" x14ac:dyDescent="0.3">
      <c r="B10" t="s">
        <v>240</v>
      </c>
      <c r="C10" s="12" t="s">
        <v>241</v>
      </c>
    </row>
    <row r="11" spans="2:3" x14ac:dyDescent="0.3">
      <c r="B11" t="s">
        <v>212</v>
      </c>
      <c r="C11" s="12" t="s">
        <v>213</v>
      </c>
    </row>
    <row r="12" spans="2:3" ht="72" x14ac:dyDescent="0.3">
      <c r="B12" t="s">
        <v>214</v>
      </c>
      <c r="C12" s="13" t="s">
        <v>267</v>
      </c>
    </row>
    <row r="13" spans="2:3" x14ac:dyDescent="0.3">
      <c r="B13" t="s">
        <v>268</v>
      </c>
      <c r="C13" s="13" t="s">
        <v>303</v>
      </c>
    </row>
    <row r="14" spans="2:3" ht="43.2" x14ac:dyDescent="0.3">
      <c r="B14" t="s">
        <v>215</v>
      </c>
      <c r="C14" s="13" t="s">
        <v>216</v>
      </c>
    </row>
    <row r="15" spans="2:3" x14ac:dyDescent="0.3">
      <c r="B15" t="s">
        <v>236</v>
      </c>
      <c r="C15" s="2" t="s">
        <v>239</v>
      </c>
    </row>
    <row r="16" spans="2:3" x14ac:dyDescent="0.3">
      <c r="B16" t="s">
        <v>237</v>
      </c>
      <c r="C16" s="2" t="s">
        <v>238</v>
      </c>
    </row>
    <row r="19" spans="2:3" ht="18" thickBot="1" x14ac:dyDescent="0.4">
      <c r="B19" s="11" t="s">
        <v>233</v>
      </c>
    </row>
    <row r="20" spans="2:3" ht="15.6" thickTop="1" thickBot="1" x14ac:dyDescent="0.35"/>
    <row r="21" spans="2:3" x14ac:dyDescent="0.3">
      <c r="B21" s="14" t="s">
        <v>234</v>
      </c>
      <c r="C21" s="15" t="s">
        <v>215</v>
      </c>
    </row>
    <row r="22" spans="2:3" x14ac:dyDescent="0.3">
      <c r="B22" s="26">
        <v>46146</v>
      </c>
      <c r="C22" s="17" t="s">
        <v>235</v>
      </c>
    </row>
    <row r="23" spans="2:3" x14ac:dyDescent="0.3">
      <c r="B23" s="26">
        <v>46240</v>
      </c>
      <c r="C23" s="17" t="s">
        <v>245</v>
      </c>
    </row>
    <row r="24" spans="2:3" ht="15" thickBot="1" x14ac:dyDescent="0.35">
      <c r="B24" s="3">
        <v>46241</v>
      </c>
      <c r="C24" s="19" t="s">
        <v>247</v>
      </c>
    </row>
    <row r="27" spans="2:3" ht="18" thickBot="1" x14ac:dyDescent="0.4">
      <c r="B27" s="11" t="s">
        <v>217</v>
      </c>
    </row>
    <row r="28" spans="2:3" ht="15.6" thickTop="1" thickBot="1" x14ac:dyDescent="0.35"/>
    <row r="29" spans="2:3" x14ac:dyDescent="0.3">
      <c r="B29" s="14" t="s">
        <v>218</v>
      </c>
      <c r="C29" s="15" t="s">
        <v>214</v>
      </c>
    </row>
    <row r="30" spans="2:3" x14ac:dyDescent="0.3">
      <c r="B30" s="16" t="s">
        <v>219</v>
      </c>
      <c r="C30" s="17" t="s">
        <v>220</v>
      </c>
    </row>
    <row r="31" spans="2:3" x14ac:dyDescent="0.3">
      <c r="B31" s="32" t="s">
        <v>252</v>
      </c>
      <c r="C31" s="27" t="str">
        <f>'1.1 Y_FR_imports_2019'!$B$1</f>
        <v>Imported data from the Prodcom Python notebook: Imported final demand footprint in France per product (2019)</v>
      </c>
    </row>
    <row r="32" spans="2:3" x14ac:dyDescent="0.3">
      <c r="B32" s="32" t="s">
        <v>253</v>
      </c>
      <c r="C32" s="27" t="str">
        <f>'1.2 Z_FR_imports_2019'!$B$1</f>
        <v>Imported data from the Prodcom Python notebook: Imported intermediate demand footprint in France per product (2019)</v>
      </c>
    </row>
    <row r="33" spans="2:3" x14ac:dyDescent="0.3">
      <c r="B33" s="32" t="s">
        <v>254</v>
      </c>
      <c r="C33" s="27" t="str">
        <f>'2.1 Y_FR_production_2019'!$B$1</f>
        <v>Imported data from the Prodcom Python notebook: Production footprint in France per product, for final demand (France and exports) (2019)</v>
      </c>
    </row>
    <row r="34" spans="2:3" x14ac:dyDescent="0.3">
      <c r="B34" s="32" t="s">
        <v>255</v>
      </c>
      <c r="C34" s="27" t="str">
        <f>'2.2 Z_FR_production_2019'!$B$1</f>
        <v>Imported data from the Prodcom Python notebook: Production footprint in France per product, for intermediate demand (France and exports) (2019)</v>
      </c>
    </row>
    <row r="35" spans="2:3" x14ac:dyDescent="0.3">
      <c r="B35" s="32" t="s">
        <v>256</v>
      </c>
      <c r="C35" s="27" t="str">
        <f>Summary_FR_2019!$B$1</f>
        <v>Combines and summarizes the data of the four footprint sheets for France and year 2019</v>
      </c>
    </row>
    <row r="36" spans="2:3" x14ac:dyDescent="0.3">
      <c r="B36" s="32" t="s">
        <v>281</v>
      </c>
      <c r="C36" s="27" t="str">
        <f>'1.1 Y_FR_imports_2022'!$B$1</f>
        <v>Imported data from the Prodcom Python notebook: Imported final demand footprint in France per product (2022)</v>
      </c>
    </row>
    <row r="37" spans="2:3" x14ac:dyDescent="0.3">
      <c r="B37" s="32" t="s">
        <v>282</v>
      </c>
      <c r="C37" s="27" t="str">
        <f>'1.2 Z_FR_imports_2022'!$B$1</f>
        <v>Imported data from the Prodcom Python notebook: Imported intermediate demand footprint in France per product (2022)</v>
      </c>
    </row>
    <row r="38" spans="2:3" x14ac:dyDescent="0.3">
      <c r="B38" s="32" t="s">
        <v>283</v>
      </c>
      <c r="C38" s="27" t="str">
        <f>'2.1 Y_FR_production_2022'!$B$1</f>
        <v>Imported data from the Prodcom Python notebook: Production footprint in France per product, for final demand (France and exports) (2022)</v>
      </c>
    </row>
    <row r="39" spans="2:3" x14ac:dyDescent="0.3">
      <c r="B39" s="32" t="s">
        <v>284</v>
      </c>
      <c r="C39" s="27" t="str">
        <f>'2.2 Z_FR_production_2022'!$B$1</f>
        <v>Imported data from the Prodcom Python notebook: Production footprint in France per product, for intermediate demand (France and exports) (2022)</v>
      </c>
    </row>
    <row r="40" spans="2:3" x14ac:dyDescent="0.3">
      <c r="B40" s="32" t="s">
        <v>285</v>
      </c>
      <c r="C40" s="27" t="str">
        <f>Summary_FR_2022!$B$1</f>
        <v>Combines and summarizes the data of the four footprint sheets for France and year 2022</v>
      </c>
    </row>
    <row r="41" spans="2:3" x14ac:dyDescent="0.3">
      <c r="B41" s="32" t="s">
        <v>286</v>
      </c>
      <c r="C41" s="27" t="str">
        <f>'1.1 Y_EU27_imports_2019'!$B$1</f>
        <v>Imported data from the Prodcom Python notebook: Imported final demand footprint in the European Union (EU27 2020) per product (2019)</v>
      </c>
    </row>
    <row r="42" spans="2:3" x14ac:dyDescent="0.3">
      <c r="B42" s="32" t="s">
        <v>287</v>
      </c>
      <c r="C42" s="27" t="str">
        <f>'1.2 Z_EU27_imports_2019'!$B$1</f>
        <v>Imported data from the Prodcom Python notebook: Imported intermediate demand footprint in the European Union (EU27 2020) per product (2019)</v>
      </c>
    </row>
    <row r="43" spans="2:3" x14ac:dyDescent="0.3">
      <c r="B43" s="32" t="s">
        <v>288</v>
      </c>
      <c r="C43" s="27" t="str">
        <f>'2.1 Y_EU27_production_2019'!$B$1</f>
        <v>Imported data from the Prodcom Python notebook: Production footprint in  the European Union (EU27 2020) per product, for final demand (EU27 and exports) (2019)</v>
      </c>
    </row>
    <row r="44" spans="2:3" x14ac:dyDescent="0.3">
      <c r="B44" s="32" t="s">
        <v>289</v>
      </c>
      <c r="C44" s="27" t="str">
        <f>'2.2 Z_EU27_production_2019'!$B$1</f>
        <v>Imported data from the Prodcom Python notebook: Production footprint in  the European Union (EU27 2020) per product, for intermediate demand (EU27 and exports) (2019)</v>
      </c>
    </row>
    <row r="45" spans="2:3" x14ac:dyDescent="0.3">
      <c r="B45" s="32" t="s">
        <v>290</v>
      </c>
      <c r="C45" s="27" t="str">
        <f>Summary_EU27_2019!$B$1</f>
        <v>Combines and summarizes the data of the four footprint sheets for  the European Union (EU27 2020) and year 2019</v>
      </c>
    </row>
    <row r="46" spans="2:3" x14ac:dyDescent="0.3">
      <c r="B46" s="32" t="s">
        <v>296</v>
      </c>
      <c r="C46" s="27" t="str">
        <f>'1.1 Y_EU27_imports_2022'!$B$1</f>
        <v>Imported data from the Prodcom Python notebook: Imported final demand footprint in the European Union (EU27 2020) per product (2022)</v>
      </c>
    </row>
    <row r="47" spans="2:3" x14ac:dyDescent="0.3">
      <c r="B47" s="32" t="s">
        <v>297</v>
      </c>
      <c r="C47" s="27" t="str">
        <f>'1.2 Z_EU27_imports_2022'!$B$1</f>
        <v>Imported data from the Prodcom Python notebook: Imported intermediate demand footprint in the European Union (EU27 2020) per product (2022)</v>
      </c>
    </row>
    <row r="48" spans="2:3" x14ac:dyDescent="0.3">
      <c r="B48" s="32" t="s">
        <v>298</v>
      </c>
      <c r="C48" s="27" t="str">
        <f>'2.1 Y_EU27_production_2022'!$B$1</f>
        <v>Imported data from the Prodcom Python notebook: Production footprint in  the European Union (EU27 2020) per product, for final demand (EU27 and exports) (2022)</v>
      </c>
    </row>
    <row r="49" spans="2:7" x14ac:dyDescent="0.3">
      <c r="B49" s="32" t="s">
        <v>299</v>
      </c>
      <c r="C49" s="27" t="str">
        <f>'2.2 Z_EU27_production_2022'!$B$1</f>
        <v>Imported data from the Prodcom Python notebook: Production footprint in  the European Union (EU27 2020) per product, for intermediate demand (EU27 and exports) (2022)</v>
      </c>
    </row>
    <row r="50" spans="2:7" ht="15" thickBot="1" x14ac:dyDescent="0.35">
      <c r="B50" s="33" t="s">
        <v>300</v>
      </c>
      <c r="C50" s="28" t="str">
        <f>Summary_EU27_2022!$B$1</f>
        <v>Combines and summarizes the data of the four footprint sheets for  the European Union (EU27 2020) and year 2022</v>
      </c>
    </row>
    <row r="52" spans="2:7" ht="18" thickBot="1" x14ac:dyDescent="0.4">
      <c r="B52" s="11" t="s">
        <v>221</v>
      </c>
    </row>
    <row r="53" spans="2:7" ht="15.6" thickTop="1" thickBot="1" x14ac:dyDescent="0.35"/>
    <row r="54" spans="2:7" x14ac:dyDescent="0.3">
      <c r="B54" s="14" t="s">
        <v>222</v>
      </c>
      <c r="C54" s="20" t="s">
        <v>214</v>
      </c>
      <c r="D54" s="20" t="s">
        <v>223</v>
      </c>
      <c r="E54" s="20" t="s">
        <v>224</v>
      </c>
      <c r="F54" s="20" t="s">
        <v>225</v>
      </c>
      <c r="G54" s="21" t="s">
        <v>226</v>
      </c>
    </row>
    <row r="55" spans="2:7" x14ac:dyDescent="0.3">
      <c r="B55" s="16" t="s">
        <v>227</v>
      </c>
      <c r="C55" t="s">
        <v>228</v>
      </c>
      <c r="D55" s="22" t="s">
        <v>229</v>
      </c>
      <c r="E55" s="22">
        <v>15</v>
      </c>
      <c r="F55" s="23">
        <v>4.1154000000000003E-2</v>
      </c>
      <c r="G55" s="24">
        <v>5.5855E-5</v>
      </c>
    </row>
    <row r="56" spans="2:7" ht="15" thickBot="1" x14ac:dyDescent="0.35">
      <c r="B56" s="18" t="s">
        <v>230</v>
      </c>
      <c r="C56" s="25" t="s">
        <v>231</v>
      </c>
      <c r="D56" s="30" t="s">
        <v>232</v>
      </c>
      <c r="E56" s="30">
        <v>15</v>
      </c>
      <c r="F56" s="30">
        <v>4.1154000000000003E-2</v>
      </c>
      <c r="G56" s="31">
        <v>5.5855E-5</v>
      </c>
    </row>
  </sheetData>
  <hyperlinks>
    <hyperlink ref="C9" r:id="rId1" xr:uid="{A28FC6BE-BB8F-4C3F-A3E7-19E4C5F5DAF0}"/>
    <hyperlink ref="C11" r:id="rId2" xr:uid="{8B270C82-A9EB-4C62-AA37-674A2231F622}"/>
    <hyperlink ref="C16" r:id="rId3" xr:uid="{17CDCCB3-406F-452A-9AD9-31BBC2AE5E97}"/>
    <hyperlink ref="C15" r:id="rId4" xr:uid="{95FD54BB-F035-450A-BE4B-5BB9143549BD}"/>
    <hyperlink ref="B31" location="'1.1 Y_FR_imports_2019'!A1" display="'1.1 Y_FR_imports_2019'!A1" xr:uid="{811C017F-104C-43F9-B93B-EECB8E7C1320}"/>
    <hyperlink ref="B32" location="'1.2 Z_FR_imports_2019'!A1" display="'1.2 Z_FR_imports_2019'!A1" xr:uid="{7D298B1D-7DAB-4E3B-8E70-9BD825D7260A}"/>
    <hyperlink ref="B33" location="'2.1 Y_FR_production_2019'!A1" display="'2.1 Y_FR_production_2019'!A1" xr:uid="{B515518D-F58F-4044-BC41-125E34D10968}"/>
    <hyperlink ref="B34" location="'2.2 Z_FR_production_2019'!A1" display="'2.2 Z_FR_production_2019'!A1" xr:uid="{10AB1670-4E85-4A65-886F-6DADDF269DCD}"/>
    <hyperlink ref="B35" location="'Summary_FR_2019'!A1" display="'Summary_FR_2019'!A1" xr:uid="{0C12F709-ADEF-48B0-8BBB-3D47E7CFDA56}"/>
    <hyperlink ref="B36" location="'1.1 Y_FR_imports_2022'!A1" display="'1.1 Y_FR_imports_2022'!A1" xr:uid="{EBA2A8DC-90A8-4D0A-91EA-C20942D035EB}"/>
    <hyperlink ref="B37" location="'1.2 Z_FR_imports_2022'!A1" display="'1.2 Z_FR_imports_2022'!A1" xr:uid="{BF990D18-F57C-440B-971A-10964B2BE395}"/>
    <hyperlink ref="B38" location="'2.1 Y_FR_production_2022'!A1" display="'2.1 Y_FR_production_2022'!A1" xr:uid="{0E0306E1-5EE4-4A97-A274-751C3C06E6AC}"/>
    <hyperlink ref="B39" location="'2.2 Z_FR_production_2022'!A1" display="'2.2 Z_FR_production_2022'!A1" xr:uid="{8E846ED3-DBD1-4180-A6EC-08ED9658BC5D}"/>
    <hyperlink ref="B40" location="'Summary_FR_2022'!A1" display="'Summary_FR_2022'!A1" xr:uid="{D6B745F0-B918-4C97-9F23-4EB8B6B80997}"/>
    <hyperlink ref="B41" location="'1.1 Y_EU27_imports_2019'!A1" display="'1.1 Y_EU27_imports_2019'!A1" xr:uid="{B7B8232A-C462-488D-91BE-7A5D2504D88F}"/>
    <hyperlink ref="B42" location="'1.2 Z_EU27_imports_2019'!A1" display="'1.2 Z_EU27_imports_2019'!A1" xr:uid="{CBDEBF36-62CA-4D16-B21D-242FAB4FC763}"/>
    <hyperlink ref="B43" location="'2.1 Y_EU27_production_2019'!A1" display="'2.1 Y_EU27_production_2019'!A1" xr:uid="{A86CFC60-655B-4A3C-9D2E-E6F4E2A0FE28}"/>
    <hyperlink ref="B44" location="'2.2 Z_EU27_production_2019'!A1" display="'2.2 Z_EU27_production_2019'!A1" xr:uid="{7C35D4E8-04CD-4817-B0AB-8BCC65A96392}"/>
    <hyperlink ref="B45" location="'Summary_EU27_2019'!A1" display="'Summary_EU27_2019'!A1" xr:uid="{17A9C347-6100-46E0-ACBE-76FE34200048}"/>
    <hyperlink ref="B46" location="'1.1 Y_EU27_imports_2022'!A1" display="'1.1 Y_EU27_imports_2022'!A1" xr:uid="{90F1D863-82FF-4131-998B-B292E731E4E5}"/>
    <hyperlink ref="B47" location="'1.2 Z_EU27_imports_2022'!A1" display="'1.2 Z_EU27_imports_2022'!A1" xr:uid="{1103B9AC-5EB9-4AB2-9D3F-DC93E18E5495}"/>
    <hyperlink ref="B48" location="'2.1 Y_EU27_production_2022'!A1" display="'2.1 Y_EU27_production_2022'!A1" xr:uid="{F9350044-9B33-4507-B785-96F6CAD6C738}"/>
    <hyperlink ref="B49" location="'2.2 Z_EU27_production_2022'!A1" display="'2.2 Z_EU27_production_2022'!A1" xr:uid="{1F527607-99BC-4844-8FD5-0AA9D9E0E740}"/>
    <hyperlink ref="B50" location="'Summary_EU27_2022'!A1" display="'Summary_EU27_2022'!A1" xr:uid="{1BD7D5BB-018E-4573-8E47-1CD0BE89F6C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5227-E70C-45D9-9739-695095AB9655}">
  <sheetPr codeName="Sheet1"/>
  <dimension ref="A1:B204"/>
  <sheetViews>
    <sheetView zoomScaleNormal="100" workbookViewId="0">
      <selection activeCell="D14" sqref="D14"/>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248</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5.9331954943446119E-2</v>
      </c>
    </row>
    <row r="6" spans="1:2" x14ac:dyDescent="0.3">
      <c r="A6" s="34" t="s">
        <v>2</v>
      </c>
      <c r="B6" s="36">
        <v>20975693660.748566</v>
      </c>
    </row>
    <row r="7" spans="1:2" x14ac:dyDescent="0.3">
      <c r="A7" s="34" t="s">
        <v>3</v>
      </c>
      <c r="B7" s="36">
        <v>18290370.075790782</v>
      </c>
    </row>
    <row r="8" spans="1:2" x14ac:dyDescent="0.3">
      <c r="A8" s="34" t="s">
        <v>4</v>
      </c>
      <c r="B8" s="36">
        <v>300801.51981557044</v>
      </c>
    </row>
    <row r="9" spans="1:2" x14ac:dyDescent="0.3">
      <c r="A9" s="34" t="s">
        <v>5</v>
      </c>
      <c r="B9" s="36">
        <v>60817812.358390547</v>
      </c>
    </row>
    <row r="10" spans="1:2" x14ac:dyDescent="0.3">
      <c r="A10" s="34" t="s">
        <v>6</v>
      </c>
      <c r="B10" s="36">
        <v>158.34745933495071</v>
      </c>
    </row>
    <row r="11" spans="1:2" x14ac:dyDescent="0.3">
      <c r="A11" s="34" t="s">
        <v>7</v>
      </c>
      <c r="B11" s="36">
        <v>0</v>
      </c>
    </row>
    <row r="12" spans="1:2" x14ac:dyDescent="0.3">
      <c r="A12" s="34" t="s">
        <v>8</v>
      </c>
      <c r="B12" s="36">
        <v>9.4241805761256423E-4</v>
      </c>
    </row>
    <row r="13" spans="1:2" x14ac:dyDescent="0.3">
      <c r="A13" s="34" t="s">
        <v>9</v>
      </c>
      <c r="B13" s="36">
        <v>1.3709437366827189E-3</v>
      </c>
    </row>
    <row r="14" spans="1:2" x14ac:dyDescent="0.3">
      <c r="A14" s="34" t="s">
        <v>10</v>
      </c>
      <c r="B14" s="36">
        <v>70363733.808913559</v>
      </c>
    </row>
    <row r="15" spans="1:2" x14ac:dyDescent="0.3">
      <c r="A15" s="34" t="s">
        <v>11</v>
      </c>
      <c r="B15" s="36">
        <v>1288361498.6041751</v>
      </c>
    </row>
    <row r="16" spans="1:2" x14ac:dyDescent="0.3">
      <c r="A16" s="34" t="s">
        <v>12</v>
      </c>
      <c r="B16" s="36">
        <v>0</v>
      </c>
    </row>
    <row r="17" spans="1:2" x14ac:dyDescent="0.3">
      <c r="A17" s="34" t="s">
        <v>13</v>
      </c>
      <c r="B17" s="36">
        <v>0</v>
      </c>
    </row>
    <row r="18" spans="1:2" x14ac:dyDescent="0.3">
      <c r="A18" s="34" t="s">
        <v>14</v>
      </c>
      <c r="B18" s="36">
        <v>8065935.7331725294</v>
      </c>
    </row>
    <row r="19" spans="1:2" x14ac:dyDescent="0.3">
      <c r="A19" s="34" t="s">
        <v>15</v>
      </c>
      <c r="B19" s="36">
        <v>1.1099759575093106E-3</v>
      </c>
    </row>
    <row r="20" spans="1:2" x14ac:dyDescent="0.3">
      <c r="A20" s="34" t="s">
        <v>16</v>
      </c>
      <c r="B20" s="36">
        <v>0</v>
      </c>
    </row>
    <row r="21" spans="1:2" x14ac:dyDescent="0.3">
      <c r="A21" s="34" t="s">
        <v>17</v>
      </c>
      <c r="B21" s="36">
        <v>0</v>
      </c>
    </row>
    <row r="22" spans="1:2" x14ac:dyDescent="0.3">
      <c r="A22" s="34" t="s">
        <v>18</v>
      </c>
      <c r="B22" s="36">
        <v>79027.235290251017</v>
      </c>
    </row>
    <row r="23" spans="1:2" x14ac:dyDescent="0.3">
      <c r="A23" s="34" t="s">
        <v>19</v>
      </c>
      <c r="B23" s="36">
        <v>102923540.06489006</v>
      </c>
    </row>
    <row r="24" spans="1:2" x14ac:dyDescent="0.3">
      <c r="A24" s="34" t="s">
        <v>20</v>
      </c>
      <c r="B24" s="36">
        <v>3729344.4208797575</v>
      </c>
    </row>
    <row r="25" spans="1:2" x14ac:dyDescent="0.3">
      <c r="A25" s="34" t="s">
        <v>21</v>
      </c>
      <c r="B25" s="36">
        <v>439546928.13145626</v>
      </c>
    </row>
    <row r="26" spans="1:2" x14ac:dyDescent="0.3">
      <c r="A26" s="34" t="s">
        <v>22</v>
      </c>
      <c r="B26" s="36">
        <v>22495840.92623366</v>
      </c>
    </row>
    <row r="27" spans="1:2" x14ac:dyDescent="0.3">
      <c r="A27" s="34" t="s">
        <v>23</v>
      </c>
      <c r="B27" s="36">
        <v>63011527.499993034</v>
      </c>
    </row>
    <row r="28" spans="1:2" x14ac:dyDescent="0.3">
      <c r="A28" s="34" t="s">
        <v>24</v>
      </c>
      <c r="B28" s="36">
        <v>4985493.1708008982</v>
      </c>
    </row>
    <row r="29" spans="1:2" x14ac:dyDescent="0.3">
      <c r="A29" s="34" t="s">
        <v>25</v>
      </c>
      <c r="B29" s="36">
        <v>6899700806.8565512</v>
      </c>
    </row>
    <row r="30" spans="1:2" x14ac:dyDescent="0.3">
      <c r="A30" s="34" t="s">
        <v>26</v>
      </c>
      <c r="B30" s="36">
        <v>0</v>
      </c>
    </row>
    <row r="31" spans="1:2" x14ac:dyDescent="0.3">
      <c r="A31" s="34" t="s">
        <v>27</v>
      </c>
      <c r="B31" s="36">
        <v>67299521.262555391</v>
      </c>
    </row>
    <row r="32" spans="1:2" x14ac:dyDescent="0.3">
      <c r="A32" s="34" t="s">
        <v>28</v>
      </c>
      <c r="B32" s="36">
        <v>0</v>
      </c>
    </row>
    <row r="33" spans="1:2" x14ac:dyDescent="0.3">
      <c r="A33" s="34" t="s">
        <v>29</v>
      </c>
      <c r="B33" s="36">
        <v>19660500.368586756</v>
      </c>
    </row>
    <row r="34" spans="1:2" x14ac:dyDescent="0.3">
      <c r="A34" s="34" t="s">
        <v>30</v>
      </c>
      <c r="B34" s="36">
        <v>0</v>
      </c>
    </row>
    <row r="35" spans="1:2" x14ac:dyDescent="0.3">
      <c r="A35" s="34" t="s">
        <v>31</v>
      </c>
      <c r="B35" s="36">
        <v>1388609691.7803059</v>
      </c>
    </row>
    <row r="36" spans="1:2" x14ac:dyDescent="0.3">
      <c r="A36" s="34" t="s">
        <v>32</v>
      </c>
      <c r="B36" s="36">
        <v>74759583.431489974</v>
      </c>
    </row>
    <row r="37" spans="1:2" x14ac:dyDescent="0.3">
      <c r="A37" s="34" t="s">
        <v>33</v>
      </c>
      <c r="B37" s="36">
        <v>6.7948383667264874E-4</v>
      </c>
    </row>
    <row r="38" spans="1:2" x14ac:dyDescent="0.3">
      <c r="A38" s="34" t="s">
        <v>34</v>
      </c>
      <c r="B38" s="36">
        <v>591708.34438282659</v>
      </c>
    </row>
    <row r="39" spans="1:2" x14ac:dyDescent="0.3">
      <c r="A39" s="34" t="s">
        <v>35</v>
      </c>
      <c r="B39" s="36">
        <v>273391813.03641021</v>
      </c>
    </row>
    <row r="40" spans="1:2" x14ac:dyDescent="0.3">
      <c r="A40" s="34" t="s">
        <v>36</v>
      </c>
      <c r="B40" s="36">
        <v>8.6081898540471156E-4</v>
      </c>
    </row>
    <row r="41" spans="1:2" x14ac:dyDescent="0.3">
      <c r="A41" s="34" t="s">
        <v>37</v>
      </c>
      <c r="B41" s="36">
        <v>3638820113.7497563</v>
      </c>
    </row>
    <row r="42" spans="1:2" x14ac:dyDescent="0.3">
      <c r="A42" s="34" t="s">
        <v>38</v>
      </c>
      <c r="B42" s="36">
        <v>0</v>
      </c>
    </row>
    <row r="43" spans="1:2" x14ac:dyDescent="0.3">
      <c r="A43" s="34" t="s">
        <v>39</v>
      </c>
      <c r="B43" s="36">
        <v>0</v>
      </c>
    </row>
    <row r="44" spans="1:2" x14ac:dyDescent="0.3">
      <c r="A44" s="34" t="s">
        <v>40</v>
      </c>
      <c r="B44" s="36">
        <v>35731125.39918974</v>
      </c>
    </row>
    <row r="45" spans="1:2" x14ac:dyDescent="0.3">
      <c r="A45" s="34" t="s">
        <v>41</v>
      </c>
      <c r="B45" s="36">
        <v>0</v>
      </c>
    </row>
    <row r="46" spans="1:2" x14ac:dyDescent="0.3">
      <c r="A46" s="34" t="s">
        <v>42</v>
      </c>
      <c r="B46" s="36">
        <v>0</v>
      </c>
    </row>
    <row r="47" spans="1:2" x14ac:dyDescent="0.3">
      <c r="A47" s="34" t="s">
        <v>43</v>
      </c>
      <c r="B47" s="36">
        <v>0</v>
      </c>
    </row>
    <row r="48" spans="1:2" x14ac:dyDescent="0.3">
      <c r="A48" s="34" t="s">
        <v>44</v>
      </c>
      <c r="B48" s="36">
        <v>0</v>
      </c>
    </row>
    <row r="49" spans="1:2" x14ac:dyDescent="0.3">
      <c r="A49" s="34" t="s">
        <v>45</v>
      </c>
      <c r="B49" s="36">
        <v>0</v>
      </c>
    </row>
    <row r="50" spans="1:2" x14ac:dyDescent="0.3">
      <c r="A50" s="34" t="s">
        <v>46</v>
      </c>
      <c r="B50" s="36">
        <v>0</v>
      </c>
    </row>
    <row r="51" spans="1:2" x14ac:dyDescent="0.3">
      <c r="A51" s="34" t="s">
        <v>47</v>
      </c>
      <c r="B51" s="36">
        <v>0</v>
      </c>
    </row>
    <row r="52" spans="1:2" x14ac:dyDescent="0.3">
      <c r="A52" s="34" t="s">
        <v>48</v>
      </c>
      <c r="B52" s="36">
        <v>0</v>
      </c>
    </row>
    <row r="53" spans="1:2" x14ac:dyDescent="0.3">
      <c r="A53" s="34" t="s">
        <v>49</v>
      </c>
      <c r="B53" s="36">
        <v>0</v>
      </c>
    </row>
    <row r="54" spans="1:2" x14ac:dyDescent="0.3">
      <c r="A54" s="34" t="s">
        <v>50</v>
      </c>
      <c r="B54" s="36">
        <v>0</v>
      </c>
    </row>
    <row r="55" spans="1:2" x14ac:dyDescent="0.3">
      <c r="A55" s="34" t="s">
        <v>51</v>
      </c>
      <c r="B55" s="36">
        <v>0</v>
      </c>
    </row>
    <row r="56" spans="1:2" x14ac:dyDescent="0.3">
      <c r="A56" s="34" t="s">
        <v>52</v>
      </c>
      <c r="B56" s="36">
        <v>0</v>
      </c>
    </row>
    <row r="57" spans="1:2" x14ac:dyDescent="0.3">
      <c r="A57" s="34" t="s">
        <v>53</v>
      </c>
      <c r="B57" s="36">
        <v>0</v>
      </c>
    </row>
    <row r="58" spans="1:2" x14ac:dyDescent="0.3">
      <c r="A58" s="34" t="s">
        <v>54</v>
      </c>
      <c r="B58" s="36">
        <v>0</v>
      </c>
    </row>
    <row r="59" spans="1:2" x14ac:dyDescent="0.3">
      <c r="A59" s="34" t="s">
        <v>55</v>
      </c>
      <c r="B59" s="36">
        <v>0</v>
      </c>
    </row>
    <row r="60" spans="1:2" x14ac:dyDescent="0.3">
      <c r="A60" s="34" t="s">
        <v>56</v>
      </c>
      <c r="B60" s="36">
        <v>4106733119.0490699</v>
      </c>
    </row>
    <row r="61" spans="1:2" x14ac:dyDescent="0.3">
      <c r="A61" s="34" t="s">
        <v>57</v>
      </c>
      <c r="B61" s="36">
        <v>0</v>
      </c>
    </row>
    <row r="62" spans="1:2" x14ac:dyDescent="0.3">
      <c r="A62" s="34" t="s">
        <v>58</v>
      </c>
      <c r="B62" s="36">
        <v>148714272.65474528</v>
      </c>
    </row>
    <row r="63" spans="1:2" x14ac:dyDescent="0.3">
      <c r="A63" s="34" t="s">
        <v>59</v>
      </c>
      <c r="B63" s="36">
        <v>1298368159.2880704</v>
      </c>
    </row>
    <row r="64" spans="1:2" x14ac:dyDescent="0.3">
      <c r="A64" s="34" t="s">
        <v>60</v>
      </c>
      <c r="B64" s="36">
        <v>11632525975.69875</v>
      </c>
    </row>
    <row r="65" spans="1:2" x14ac:dyDescent="0.3">
      <c r="A65" s="34" t="s">
        <v>61</v>
      </c>
      <c r="B65" s="36">
        <v>0</v>
      </c>
    </row>
    <row r="66" spans="1:2" x14ac:dyDescent="0.3">
      <c r="A66" s="34" t="s">
        <v>62</v>
      </c>
      <c r="B66" s="36">
        <v>0</v>
      </c>
    </row>
    <row r="67" spans="1:2" x14ac:dyDescent="0.3">
      <c r="A67" s="34" t="s">
        <v>63</v>
      </c>
      <c r="B67" s="36">
        <v>0</v>
      </c>
    </row>
    <row r="68" spans="1:2" x14ac:dyDescent="0.3">
      <c r="A68" s="34" t="s">
        <v>64</v>
      </c>
      <c r="B68" s="36">
        <v>0</v>
      </c>
    </row>
    <row r="69" spans="1:2" x14ac:dyDescent="0.3">
      <c r="A69" s="34" t="s">
        <v>65</v>
      </c>
      <c r="B69" s="36">
        <v>0</v>
      </c>
    </row>
    <row r="70" spans="1:2" x14ac:dyDescent="0.3">
      <c r="A70" s="34" t="s">
        <v>66</v>
      </c>
      <c r="B70" s="36">
        <v>0</v>
      </c>
    </row>
    <row r="71" spans="1:2" x14ac:dyDescent="0.3">
      <c r="A71" s="34" t="s">
        <v>67</v>
      </c>
      <c r="B71" s="36">
        <v>7276464537.3672953</v>
      </c>
    </row>
    <row r="72" spans="1:2" x14ac:dyDescent="0.3">
      <c r="A72" s="34" t="s">
        <v>68</v>
      </c>
      <c r="B72" s="36">
        <v>0</v>
      </c>
    </row>
    <row r="73" spans="1:2" x14ac:dyDescent="0.3">
      <c r="A73" s="34" t="s">
        <v>69</v>
      </c>
      <c r="B73" s="36">
        <v>0</v>
      </c>
    </row>
    <row r="74" spans="1:2" x14ac:dyDescent="0.3">
      <c r="A74" s="34" t="s">
        <v>70</v>
      </c>
      <c r="B74" s="36">
        <v>3726543939.0923433</v>
      </c>
    </row>
    <row r="75" spans="1:2" x14ac:dyDescent="0.3">
      <c r="A75" s="34" t="s">
        <v>71</v>
      </c>
      <c r="B75" s="36">
        <v>0</v>
      </c>
    </row>
    <row r="76" spans="1:2" x14ac:dyDescent="0.3">
      <c r="A76" s="34" t="s">
        <v>72</v>
      </c>
      <c r="B76" s="36">
        <v>7.1501240003498019E-4</v>
      </c>
    </row>
    <row r="77" spans="1:2" x14ac:dyDescent="0.3">
      <c r="A77" s="34" t="s">
        <v>73</v>
      </c>
      <c r="B77" s="36">
        <v>8363966.3935264694</v>
      </c>
    </row>
    <row r="78" spans="1:2" x14ac:dyDescent="0.3">
      <c r="A78" s="34" t="s">
        <v>74</v>
      </c>
      <c r="B78" s="36">
        <v>473933414.32082933</v>
      </c>
    </row>
    <row r="79" spans="1:2" x14ac:dyDescent="0.3">
      <c r="A79" s="34" t="s">
        <v>75</v>
      </c>
      <c r="B79" s="36">
        <v>1380697856.8026955</v>
      </c>
    </row>
    <row r="80" spans="1:2" x14ac:dyDescent="0.3">
      <c r="A80" s="34" t="s">
        <v>76</v>
      </c>
      <c r="B80" s="36">
        <v>0</v>
      </c>
    </row>
    <row r="81" spans="1:2" x14ac:dyDescent="0.3">
      <c r="A81" s="34" t="s">
        <v>77</v>
      </c>
      <c r="B81" s="36">
        <v>18258968.469773613</v>
      </c>
    </row>
    <row r="82" spans="1:2" x14ac:dyDescent="0.3">
      <c r="A82" s="34" t="s">
        <v>78</v>
      </c>
      <c r="B82" s="36">
        <v>154551402.72684538</v>
      </c>
    </row>
    <row r="83" spans="1:2" x14ac:dyDescent="0.3">
      <c r="A83" s="34" t="s">
        <v>79</v>
      </c>
      <c r="B83" s="36">
        <v>0</v>
      </c>
    </row>
    <row r="84" spans="1:2" x14ac:dyDescent="0.3">
      <c r="A84" s="34" t="s">
        <v>80</v>
      </c>
      <c r="B84" s="36">
        <v>0.40972825145250225</v>
      </c>
    </row>
    <row r="85" spans="1:2" x14ac:dyDescent="0.3">
      <c r="A85" s="34" t="s">
        <v>81</v>
      </c>
      <c r="B85" s="36">
        <v>105979387.18034707</v>
      </c>
    </row>
    <row r="86" spans="1:2" x14ac:dyDescent="0.3">
      <c r="A86" s="34" t="s">
        <v>82</v>
      </c>
      <c r="B86" s="36">
        <v>1.2802591434346636E-3</v>
      </c>
    </row>
    <row r="87" spans="1:2" x14ac:dyDescent="0.3">
      <c r="A87" s="34" t="s">
        <v>83</v>
      </c>
      <c r="B87" s="36">
        <v>264577.99051336251</v>
      </c>
    </row>
    <row r="88" spans="1:2" x14ac:dyDescent="0.3">
      <c r="A88" s="34" t="s">
        <v>84</v>
      </c>
      <c r="B88" s="36">
        <v>29030239.348318443</v>
      </c>
    </row>
    <row r="89" spans="1:2" x14ac:dyDescent="0.3">
      <c r="A89" s="34" t="s">
        <v>85</v>
      </c>
      <c r="B89" s="36">
        <v>4821955069.5424061</v>
      </c>
    </row>
    <row r="90" spans="1:2" x14ac:dyDescent="0.3">
      <c r="A90" s="34" t="s">
        <v>86</v>
      </c>
      <c r="B90" s="36">
        <v>4.4027079025452916E-3</v>
      </c>
    </row>
    <row r="91" spans="1:2" x14ac:dyDescent="0.3">
      <c r="A91" s="34" t="s">
        <v>87</v>
      </c>
      <c r="B91" s="36">
        <v>613260994.23413992</v>
      </c>
    </row>
    <row r="92" spans="1:2" x14ac:dyDescent="0.3">
      <c r="A92" s="34" t="s">
        <v>88</v>
      </c>
      <c r="B92" s="36">
        <v>9.9337024655016953E-4</v>
      </c>
    </row>
    <row r="93" spans="1:2" x14ac:dyDescent="0.3">
      <c r="A93" s="34" t="s">
        <v>89</v>
      </c>
      <c r="B93" s="36">
        <v>4659773121.4034719</v>
      </c>
    </row>
    <row r="94" spans="1:2" x14ac:dyDescent="0.3">
      <c r="A94" s="34" t="s">
        <v>90</v>
      </c>
      <c r="B94" s="36">
        <v>0</v>
      </c>
    </row>
    <row r="95" spans="1:2" x14ac:dyDescent="0.3">
      <c r="A95" s="34" t="s">
        <v>91</v>
      </c>
      <c r="B95" s="36">
        <v>0</v>
      </c>
    </row>
    <row r="96" spans="1:2" x14ac:dyDescent="0.3">
      <c r="A96" s="34" t="s">
        <v>92</v>
      </c>
      <c r="B96" s="36">
        <v>462593816.63214529</v>
      </c>
    </row>
    <row r="97" spans="1:2" x14ac:dyDescent="0.3">
      <c r="A97" s="34" t="s">
        <v>93</v>
      </c>
      <c r="B97" s="36">
        <v>699909080.1079253</v>
      </c>
    </row>
    <row r="98" spans="1:2" x14ac:dyDescent="0.3">
      <c r="A98" s="34" t="s">
        <v>94</v>
      </c>
      <c r="B98" s="36">
        <v>560215228.71315444</v>
      </c>
    </row>
    <row r="99" spans="1:2" x14ac:dyDescent="0.3">
      <c r="A99" s="34" t="s">
        <v>95</v>
      </c>
      <c r="B99" s="36">
        <v>3736739.5213465039</v>
      </c>
    </row>
    <row r="100" spans="1:2" x14ac:dyDescent="0.3">
      <c r="A100" s="34" t="s">
        <v>96</v>
      </c>
      <c r="B100" s="36">
        <v>5718718092.7033253</v>
      </c>
    </row>
    <row r="101" spans="1:2" x14ac:dyDescent="0.3">
      <c r="A101" s="34" t="s">
        <v>97</v>
      </c>
      <c r="B101" s="36">
        <v>19021241301.188519</v>
      </c>
    </row>
    <row r="102" spans="1:2" x14ac:dyDescent="0.3">
      <c r="A102" s="34" t="s">
        <v>98</v>
      </c>
      <c r="B102" s="36">
        <v>6711642.015171973</v>
      </c>
    </row>
    <row r="103" spans="1:2" x14ac:dyDescent="0.3">
      <c r="A103" s="34" t="s">
        <v>99</v>
      </c>
      <c r="B103" s="36">
        <v>29775303.514087815</v>
      </c>
    </row>
    <row r="104" spans="1:2" x14ac:dyDescent="0.3">
      <c r="A104" s="34" t="s">
        <v>100</v>
      </c>
      <c r="B104" s="36">
        <v>0</v>
      </c>
    </row>
    <row r="105" spans="1:2" x14ac:dyDescent="0.3">
      <c r="A105" s="34" t="s">
        <v>101</v>
      </c>
      <c r="B105" s="36">
        <v>158417468.7538273</v>
      </c>
    </row>
    <row r="106" spans="1:2" x14ac:dyDescent="0.3">
      <c r="A106" s="34" t="s">
        <v>102</v>
      </c>
      <c r="B106" s="36">
        <v>0</v>
      </c>
    </row>
    <row r="107" spans="1:2" x14ac:dyDescent="0.3">
      <c r="A107" s="34" t="s">
        <v>103</v>
      </c>
      <c r="B107" s="36">
        <v>2388845.3495278973</v>
      </c>
    </row>
    <row r="108" spans="1:2" x14ac:dyDescent="0.3">
      <c r="A108" s="34" t="s">
        <v>104</v>
      </c>
      <c r="B108" s="36">
        <v>224785228.65053621</v>
      </c>
    </row>
    <row r="109" spans="1:2" x14ac:dyDescent="0.3">
      <c r="A109" s="34" t="s">
        <v>105</v>
      </c>
      <c r="B109" s="36">
        <v>5442900411.1810236</v>
      </c>
    </row>
    <row r="110" spans="1:2" x14ac:dyDescent="0.3">
      <c r="A110" s="34" t="s">
        <v>106</v>
      </c>
      <c r="B110" s="36">
        <v>436793991.08476275</v>
      </c>
    </row>
    <row r="111" spans="1:2" x14ac:dyDescent="0.3">
      <c r="A111" s="34" t="s">
        <v>107</v>
      </c>
      <c r="B111" s="36">
        <v>0</v>
      </c>
    </row>
    <row r="112" spans="1:2" x14ac:dyDescent="0.3">
      <c r="A112" s="34" t="s">
        <v>108</v>
      </c>
      <c r="B112" s="36">
        <v>4205.6367939823276</v>
      </c>
    </row>
    <row r="113" spans="1:2" x14ac:dyDescent="0.3">
      <c r="A113" s="34" t="s">
        <v>109</v>
      </c>
      <c r="B113" s="36">
        <v>309548.43987461919</v>
      </c>
    </row>
    <row r="114" spans="1:2" x14ac:dyDescent="0.3">
      <c r="A114" s="34" t="s">
        <v>110</v>
      </c>
      <c r="B114" s="36">
        <v>0</v>
      </c>
    </row>
    <row r="115" spans="1:2" x14ac:dyDescent="0.3">
      <c r="A115" s="34" t="s">
        <v>111</v>
      </c>
      <c r="B115" s="36">
        <v>677682944.14717865</v>
      </c>
    </row>
    <row r="116" spans="1:2" x14ac:dyDescent="0.3">
      <c r="A116" s="34" t="s">
        <v>112</v>
      </c>
      <c r="B116" s="36">
        <v>1101222659.8101907</v>
      </c>
    </row>
    <row r="117" spans="1:2" x14ac:dyDescent="0.3">
      <c r="A117" s="34" t="s">
        <v>113</v>
      </c>
      <c r="B117" s="36">
        <v>145.83314212205045</v>
      </c>
    </row>
    <row r="118" spans="1:2" x14ac:dyDescent="0.3">
      <c r="A118" s="34" t="s">
        <v>114</v>
      </c>
      <c r="B118" s="36">
        <v>10480913.972372875</v>
      </c>
    </row>
    <row r="119" spans="1:2" x14ac:dyDescent="0.3">
      <c r="A119" s="34" t="s">
        <v>115</v>
      </c>
      <c r="B119" s="36">
        <v>815670059.49182522</v>
      </c>
    </row>
    <row r="120" spans="1:2" x14ac:dyDescent="0.3">
      <c r="A120" s="34" t="s">
        <v>116</v>
      </c>
      <c r="B120" s="36">
        <v>130910312.09353197</v>
      </c>
    </row>
    <row r="121" spans="1:2" x14ac:dyDescent="0.3">
      <c r="A121" s="34" t="s">
        <v>117</v>
      </c>
      <c r="B121" s="36">
        <v>2476404276.9035873</v>
      </c>
    </row>
    <row r="122" spans="1:2" x14ac:dyDescent="0.3">
      <c r="A122" s="34" t="s">
        <v>118</v>
      </c>
      <c r="B122" s="36">
        <v>0</v>
      </c>
    </row>
    <row r="123" spans="1:2" x14ac:dyDescent="0.3">
      <c r="A123" s="34" t="s">
        <v>119</v>
      </c>
      <c r="B123" s="36">
        <v>0</v>
      </c>
    </row>
    <row r="124" spans="1:2" x14ac:dyDescent="0.3">
      <c r="A124" s="34" t="s">
        <v>120</v>
      </c>
      <c r="B124" s="36">
        <v>353711576.73326749</v>
      </c>
    </row>
    <row r="125" spans="1:2" x14ac:dyDescent="0.3">
      <c r="A125" s="34" t="s">
        <v>121</v>
      </c>
      <c r="B125" s="36">
        <v>16717120.317420444</v>
      </c>
    </row>
    <row r="126" spans="1:2" x14ac:dyDescent="0.3">
      <c r="A126" s="34" t="s">
        <v>122</v>
      </c>
      <c r="B126" s="36">
        <v>1057984187.5373247</v>
      </c>
    </row>
    <row r="127" spans="1:2" x14ac:dyDescent="0.3">
      <c r="A127" s="34" t="s">
        <v>123</v>
      </c>
      <c r="B127" s="36">
        <v>0</v>
      </c>
    </row>
    <row r="128" spans="1:2" x14ac:dyDescent="0.3">
      <c r="A128" s="34" t="s">
        <v>124</v>
      </c>
      <c r="B128" s="36">
        <v>0</v>
      </c>
    </row>
    <row r="129" spans="1:2" x14ac:dyDescent="0.3">
      <c r="A129" s="34" t="s">
        <v>125</v>
      </c>
      <c r="B129" s="36">
        <v>0</v>
      </c>
    </row>
    <row r="130" spans="1:2" x14ac:dyDescent="0.3">
      <c r="A130" s="34" t="s">
        <v>126</v>
      </c>
      <c r="B130" s="36">
        <v>0</v>
      </c>
    </row>
    <row r="131" spans="1:2" x14ac:dyDescent="0.3">
      <c r="A131" s="34" t="s">
        <v>127</v>
      </c>
      <c r="B131" s="36">
        <v>1.027212690739092E-3</v>
      </c>
    </row>
    <row r="132" spans="1:2" x14ac:dyDescent="0.3">
      <c r="A132" s="34" t="s">
        <v>128</v>
      </c>
      <c r="B132" s="36">
        <v>163.59183352245194</v>
      </c>
    </row>
    <row r="133" spans="1:2" x14ac:dyDescent="0.3">
      <c r="A133" s="34" t="s">
        <v>129</v>
      </c>
      <c r="B133" s="36">
        <v>51651.22186169566</v>
      </c>
    </row>
    <row r="134" spans="1:2" x14ac:dyDescent="0.3">
      <c r="A134" s="34" t="s">
        <v>130</v>
      </c>
      <c r="B134" s="36">
        <v>12701979.663942683</v>
      </c>
    </row>
    <row r="135" spans="1:2" x14ac:dyDescent="0.3">
      <c r="A135" s="34" t="s">
        <v>131</v>
      </c>
      <c r="B135" s="36">
        <v>4237199.3844024148</v>
      </c>
    </row>
    <row r="136" spans="1:2" x14ac:dyDescent="0.3">
      <c r="A136" s="34" t="s">
        <v>132</v>
      </c>
      <c r="B136" s="36">
        <v>9672362.946807107</v>
      </c>
    </row>
    <row r="137" spans="1:2" x14ac:dyDescent="0.3">
      <c r="A137" s="34" t="s">
        <v>133</v>
      </c>
      <c r="B137" s="36">
        <v>0</v>
      </c>
    </row>
    <row r="138" spans="1:2" x14ac:dyDescent="0.3">
      <c r="A138" s="34" t="s">
        <v>134</v>
      </c>
      <c r="B138" s="36">
        <v>0</v>
      </c>
    </row>
    <row r="139" spans="1:2" x14ac:dyDescent="0.3">
      <c r="A139" s="34" t="s">
        <v>135</v>
      </c>
      <c r="B139" s="36">
        <v>4353671937.6599617</v>
      </c>
    </row>
    <row r="140" spans="1:2" x14ac:dyDescent="0.3">
      <c r="A140" s="34" t="s">
        <v>136</v>
      </c>
      <c r="B140" s="36">
        <v>408454767.14538366</v>
      </c>
    </row>
    <row r="141" spans="1:2" x14ac:dyDescent="0.3">
      <c r="A141" s="34" t="s">
        <v>137</v>
      </c>
      <c r="B141" s="36">
        <v>40408151.670670375</v>
      </c>
    </row>
    <row r="142" spans="1:2" x14ac:dyDescent="0.3">
      <c r="A142" s="34" t="s">
        <v>138</v>
      </c>
      <c r="B142" s="36">
        <v>19.314131819546748</v>
      </c>
    </row>
    <row r="143" spans="1:2" x14ac:dyDescent="0.3">
      <c r="A143" s="34" t="s">
        <v>139</v>
      </c>
      <c r="B143" s="36">
        <v>3643263.8129281788</v>
      </c>
    </row>
    <row r="144" spans="1:2" x14ac:dyDescent="0.3">
      <c r="A144" s="34" t="s">
        <v>140</v>
      </c>
      <c r="B144" s="36">
        <v>301879060.71902782</v>
      </c>
    </row>
    <row r="145" spans="1:2" x14ac:dyDescent="0.3">
      <c r="A145" s="34" t="s">
        <v>141</v>
      </c>
      <c r="B145" s="36">
        <v>14381.730903112768</v>
      </c>
    </row>
    <row r="146" spans="1:2" x14ac:dyDescent="0.3">
      <c r="A146" s="34" t="s">
        <v>142</v>
      </c>
      <c r="B146" s="36">
        <v>92399841.75949055</v>
      </c>
    </row>
    <row r="147" spans="1:2" x14ac:dyDescent="0.3">
      <c r="A147" s="34" t="s">
        <v>143</v>
      </c>
      <c r="B147" s="36">
        <v>29574933.517754357</v>
      </c>
    </row>
    <row r="148" spans="1:2" x14ac:dyDescent="0.3">
      <c r="A148" s="34" t="s">
        <v>144</v>
      </c>
      <c r="B148" s="36">
        <v>1329316667.6921356</v>
      </c>
    </row>
    <row r="149" spans="1:2" x14ac:dyDescent="0.3">
      <c r="A149" s="34" t="s">
        <v>145</v>
      </c>
      <c r="B149" s="36">
        <v>452128041.73683602</v>
      </c>
    </row>
    <row r="150" spans="1:2" x14ac:dyDescent="0.3">
      <c r="A150" s="34" t="s">
        <v>146</v>
      </c>
      <c r="B150" s="36">
        <v>708993713.41899347</v>
      </c>
    </row>
    <row r="151" spans="1:2" x14ac:dyDescent="0.3">
      <c r="A151" s="34" t="s">
        <v>147</v>
      </c>
      <c r="B151" s="36">
        <v>19779382.02185832</v>
      </c>
    </row>
    <row r="152" spans="1:2" x14ac:dyDescent="0.3">
      <c r="A152" s="34" t="s">
        <v>148</v>
      </c>
      <c r="B152" s="36">
        <v>4110032.8122006045</v>
      </c>
    </row>
    <row r="153" spans="1:2" x14ac:dyDescent="0.3">
      <c r="A153" s="34" t="s">
        <v>149</v>
      </c>
      <c r="B153" s="36">
        <v>15770286.373712979</v>
      </c>
    </row>
    <row r="154" spans="1:2" x14ac:dyDescent="0.3">
      <c r="A154" s="34" t="s">
        <v>150</v>
      </c>
      <c r="B154" s="36">
        <v>188004900.55751923</v>
      </c>
    </row>
    <row r="155" spans="1:2" x14ac:dyDescent="0.3">
      <c r="A155" s="34" t="s">
        <v>151</v>
      </c>
      <c r="B155" s="36">
        <v>0</v>
      </c>
    </row>
    <row r="156" spans="1:2" x14ac:dyDescent="0.3">
      <c r="A156" s="34" t="s">
        <v>152</v>
      </c>
      <c r="B156" s="36">
        <v>16519195.668554822</v>
      </c>
    </row>
    <row r="157" spans="1:2" x14ac:dyDescent="0.3">
      <c r="A157" s="34" t="s">
        <v>153</v>
      </c>
      <c r="B157" s="36">
        <v>235187642.44308174</v>
      </c>
    </row>
    <row r="158" spans="1:2" x14ac:dyDescent="0.3">
      <c r="A158" s="34" t="s">
        <v>154</v>
      </c>
      <c r="B158" s="36">
        <v>0</v>
      </c>
    </row>
    <row r="159" spans="1:2" x14ac:dyDescent="0.3">
      <c r="A159" s="34" t="s">
        <v>155</v>
      </c>
      <c r="B159" s="36">
        <v>0</v>
      </c>
    </row>
    <row r="160" spans="1:2" x14ac:dyDescent="0.3">
      <c r="A160" s="34" t="s">
        <v>156</v>
      </c>
      <c r="B160" s="36">
        <v>5570276.666767722</v>
      </c>
    </row>
    <row r="161" spans="1:2" x14ac:dyDescent="0.3">
      <c r="A161" s="34" t="s">
        <v>157</v>
      </c>
      <c r="B161" s="36">
        <v>2841556914.0569625</v>
      </c>
    </row>
    <row r="162" spans="1:2" x14ac:dyDescent="0.3">
      <c r="A162" s="34" t="s">
        <v>158</v>
      </c>
      <c r="B162" s="36">
        <v>2485561.1677312627</v>
      </c>
    </row>
    <row r="163" spans="1:2" x14ac:dyDescent="0.3">
      <c r="A163" s="34" t="s">
        <v>159</v>
      </c>
      <c r="B163" s="36">
        <v>1444052.8749752187</v>
      </c>
    </row>
    <row r="164" spans="1:2" x14ac:dyDescent="0.3">
      <c r="A164" s="34" t="s">
        <v>160</v>
      </c>
      <c r="B164" s="36">
        <v>2830733213.2692246</v>
      </c>
    </row>
    <row r="165" spans="1:2" x14ac:dyDescent="0.3">
      <c r="A165" s="34" t="s">
        <v>161</v>
      </c>
      <c r="B165" s="36">
        <v>3491309.1770511833</v>
      </c>
    </row>
    <row r="166" spans="1:2" x14ac:dyDescent="0.3">
      <c r="A166" s="34" t="s">
        <v>162</v>
      </c>
      <c r="B166" s="36">
        <v>24224433.640416268</v>
      </c>
    </row>
    <row r="167" spans="1:2" x14ac:dyDescent="0.3">
      <c r="A167" s="34" t="s">
        <v>163</v>
      </c>
      <c r="B167" s="36">
        <v>29143207035.928654</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2866939.9570019245</v>
      </c>
    </row>
    <row r="180" spans="1:2" x14ac:dyDescent="0.3">
      <c r="A180" s="34" t="s">
        <v>176</v>
      </c>
      <c r="B180" s="36">
        <v>0</v>
      </c>
    </row>
    <row r="181" spans="1:2" x14ac:dyDescent="0.3">
      <c r="A181" s="34" t="s">
        <v>177</v>
      </c>
      <c r="B181" s="36">
        <v>0</v>
      </c>
    </row>
    <row r="182" spans="1:2" x14ac:dyDescent="0.3">
      <c r="A182" s="34" t="s">
        <v>178</v>
      </c>
      <c r="B182" s="36">
        <v>545942.80189503392</v>
      </c>
    </row>
    <row r="183" spans="1:2" x14ac:dyDescent="0.3">
      <c r="A183" s="34" t="s">
        <v>179</v>
      </c>
      <c r="B183" s="36">
        <v>290341.09789787582</v>
      </c>
    </row>
    <row r="184" spans="1:2" x14ac:dyDescent="0.3">
      <c r="A184" s="34" t="s">
        <v>180</v>
      </c>
      <c r="B184" s="36">
        <v>87177602.713059798</v>
      </c>
    </row>
    <row r="185" spans="1:2" x14ac:dyDescent="0.3">
      <c r="A185" s="34" t="s">
        <v>181</v>
      </c>
      <c r="B185" s="36">
        <v>1.3484834823331046E-3</v>
      </c>
    </row>
    <row r="186" spans="1:2" x14ac:dyDescent="0.3">
      <c r="A186" s="34" t="s">
        <v>182</v>
      </c>
      <c r="B186" s="36">
        <v>127950698.77430949</v>
      </c>
    </row>
    <row r="187" spans="1:2" x14ac:dyDescent="0.3">
      <c r="A187" s="34" t="s">
        <v>183</v>
      </c>
      <c r="B187" s="36">
        <v>1401607216.2200549</v>
      </c>
    </row>
    <row r="188" spans="1:2" x14ac:dyDescent="0.3">
      <c r="A188" s="34" t="s">
        <v>184</v>
      </c>
      <c r="B188" s="36">
        <v>0</v>
      </c>
    </row>
    <row r="189" spans="1:2" x14ac:dyDescent="0.3">
      <c r="A189" s="34" t="s">
        <v>185</v>
      </c>
      <c r="B189" s="36">
        <v>0</v>
      </c>
    </row>
    <row r="190" spans="1:2" x14ac:dyDescent="0.3">
      <c r="A190" s="34" t="s">
        <v>186</v>
      </c>
      <c r="B190" s="36">
        <v>308429115.76151067</v>
      </c>
    </row>
    <row r="191" spans="1:2" x14ac:dyDescent="0.3">
      <c r="A191" s="34" t="s">
        <v>187</v>
      </c>
      <c r="B191" s="36">
        <v>0</v>
      </c>
    </row>
    <row r="192" spans="1:2" x14ac:dyDescent="0.3">
      <c r="A192" s="34" t="s">
        <v>188</v>
      </c>
      <c r="B192" s="36">
        <v>110578.19129373296</v>
      </c>
    </row>
    <row r="193" spans="1:2" x14ac:dyDescent="0.3">
      <c r="A193" s="34" t="s">
        <v>189</v>
      </c>
      <c r="B193" s="36">
        <v>0</v>
      </c>
    </row>
    <row r="194" spans="1:2" x14ac:dyDescent="0.3">
      <c r="A194" s="34" t="s">
        <v>190</v>
      </c>
      <c r="B194" s="36">
        <v>4184949559.9931145</v>
      </c>
    </row>
    <row r="195" spans="1:2" x14ac:dyDescent="0.3">
      <c r="A195" s="34" t="s">
        <v>191</v>
      </c>
      <c r="B195" s="36">
        <v>7489918378.9405127</v>
      </c>
    </row>
    <row r="196" spans="1:2" x14ac:dyDescent="0.3">
      <c r="A196" s="34" t="s">
        <v>192</v>
      </c>
      <c r="B196" s="36">
        <v>85069166.053999588</v>
      </c>
    </row>
    <row r="197" spans="1:2" x14ac:dyDescent="0.3">
      <c r="A197" s="34" t="s">
        <v>193</v>
      </c>
      <c r="B197" s="36">
        <v>0</v>
      </c>
    </row>
    <row r="198" spans="1:2" x14ac:dyDescent="0.3">
      <c r="A198" s="34" t="s">
        <v>194</v>
      </c>
      <c r="B198" s="36">
        <v>0</v>
      </c>
    </row>
    <row r="199" spans="1:2" x14ac:dyDescent="0.3">
      <c r="A199" s="34" t="s">
        <v>195</v>
      </c>
      <c r="B199" s="36">
        <v>183517181.73706067</v>
      </c>
    </row>
    <row r="200" spans="1:2" x14ac:dyDescent="0.3">
      <c r="A200" s="34" t="s">
        <v>196</v>
      </c>
      <c r="B200" s="36">
        <v>0</v>
      </c>
    </row>
    <row r="201" spans="1:2" x14ac:dyDescent="0.3">
      <c r="A201" s="34" t="s">
        <v>197</v>
      </c>
      <c r="B201" s="36">
        <v>0</v>
      </c>
    </row>
    <row r="202" spans="1:2" x14ac:dyDescent="0.3">
      <c r="A202" s="34" t="s">
        <v>198</v>
      </c>
      <c r="B202" s="36">
        <v>0</v>
      </c>
    </row>
    <row r="203" spans="1:2" x14ac:dyDescent="0.3">
      <c r="A203" s="34" t="s">
        <v>199</v>
      </c>
      <c r="B203" s="36">
        <v>0.10255455977460526</v>
      </c>
    </row>
    <row r="204" spans="1:2" x14ac:dyDescent="0.3">
      <c r="A204" s="34" t="s">
        <v>200</v>
      </c>
      <c r="B204" s="36">
        <v>175603712.09109101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E685-C428-4700-8539-367A05CECC0B}">
  <sheetPr codeName="Sheet2"/>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249</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152196086.67082366</v>
      </c>
    </row>
    <row r="6" spans="1:2" x14ac:dyDescent="0.3">
      <c r="A6" s="34" t="s">
        <v>2</v>
      </c>
      <c r="B6" s="36">
        <v>3949302272.940721</v>
      </c>
    </row>
    <row r="7" spans="1:2" x14ac:dyDescent="0.3">
      <c r="A7" s="34" t="s">
        <v>3</v>
      </c>
      <c r="B7" s="36">
        <v>5075436207.069375</v>
      </c>
    </row>
    <row r="8" spans="1:2" x14ac:dyDescent="0.3">
      <c r="A8" s="34" t="s">
        <v>4</v>
      </c>
      <c r="B8" s="36">
        <v>48147564.321879558</v>
      </c>
    </row>
    <row r="9" spans="1:2" x14ac:dyDescent="0.3">
      <c r="A9" s="34" t="s">
        <v>5</v>
      </c>
      <c r="B9" s="36">
        <v>131932207.15392707</v>
      </c>
    </row>
    <row r="10" spans="1:2" x14ac:dyDescent="0.3">
      <c r="A10" s="34" t="s">
        <v>6</v>
      </c>
      <c r="B10" s="36">
        <v>181907441.50147775</v>
      </c>
    </row>
    <row r="11" spans="1:2" x14ac:dyDescent="0.3">
      <c r="A11" s="34" t="s">
        <v>7</v>
      </c>
      <c r="B11" s="36">
        <v>0</v>
      </c>
    </row>
    <row r="12" spans="1:2" x14ac:dyDescent="0.3">
      <c r="A12" s="34" t="s">
        <v>8</v>
      </c>
      <c r="B12" s="36">
        <v>900764.45512564329</v>
      </c>
    </row>
    <row r="13" spans="1:2" x14ac:dyDescent="0.3">
      <c r="A13" s="34" t="s">
        <v>9</v>
      </c>
      <c r="B13" s="36">
        <v>34754855.067926884</v>
      </c>
    </row>
    <row r="14" spans="1:2" x14ac:dyDescent="0.3">
      <c r="A14" s="34" t="s">
        <v>10</v>
      </c>
      <c r="B14" s="36">
        <v>14203273447.33683</v>
      </c>
    </row>
    <row r="15" spans="1:2" x14ac:dyDescent="0.3">
      <c r="A15" s="34" t="s">
        <v>11</v>
      </c>
      <c r="B15" s="36">
        <v>687456221.73305225</v>
      </c>
    </row>
    <row r="16" spans="1:2" x14ac:dyDescent="0.3">
      <c r="A16" s="34" t="s">
        <v>12</v>
      </c>
      <c r="B16" s="36">
        <v>149272715.54941168</v>
      </c>
    </row>
    <row r="17" spans="1:2" x14ac:dyDescent="0.3">
      <c r="A17" s="34" t="s">
        <v>13</v>
      </c>
      <c r="B17" s="36">
        <v>4970.270685966153</v>
      </c>
    </row>
    <row r="18" spans="1:2" x14ac:dyDescent="0.3">
      <c r="A18" s="34" t="s">
        <v>14</v>
      </c>
      <c r="B18" s="36">
        <v>3507337.606517714</v>
      </c>
    </row>
    <row r="19" spans="1:2" x14ac:dyDescent="0.3">
      <c r="A19" s="34" t="s">
        <v>15</v>
      </c>
      <c r="B19" s="36">
        <v>181472518.53110012</v>
      </c>
    </row>
    <row r="20" spans="1:2" x14ac:dyDescent="0.3">
      <c r="A20" s="34" t="s">
        <v>16</v>
      </c>
      <c r="B20" s="36">
        <v>48109.327310441906</v>
      </c>
    </row>
    <row r="21" spans="1:2" x14ac:dyDescent="0.3">
      <c r="A21" s="34" t="s">
        <v>17</v>
      </c>
      <c r="B21" s="36">
        <v>0</v>
      </c>
    </row>
    <row r="22" spans="1:2" x14ac:dyDescent="0.3">
      <c r="A22" s="34" t="s">
        <v>18</v>
      </c>
      <c r="B22" s="36">
        <v>93124538.037843585</v>
      </c>
    </row>
    <row r="23" spans="1:2" x14ac:dyDescent="0.3">
      <c r="A23" s="34" t="s">
        <v>19</v>
      </c>
      <c r="B23" s="36">
        <v>432879245.89105928</v>
      </c>
    </row>
    <row r="24" spans="1:2" x14ac:dyDescent="0.3">
      <c r="A24" s="34" t="s">
        <v>20</v>
      </c>
      <c r="B24" s="36">
        <v>4738929843.8319063</v>
      </c>
    </row>
    <row r="25" spans="1:2" x14ac:dyDescent="0.3">
      <c r="A25" s="34" t="s">
        <v>21</v>
      </c>
      <c r="B25" s="36">
        <v>1853040374.0142965</v>
      </c>
    </row>
    <row r="26" spans="1:2" x14ac:dyDescent="0.3">
      <c r="A26" s="34" t="s">
        <v>22</v>
      </c>
      <c r="B26" s="36">
        <v>491425518.29788017</v>
      </c>
    </row>
    <row r="27" spans="1:2" x14ac:dyDescent="0.3">
      <c r="A27" s="34" t="s">
        <v>23</v>
      </c>
      <c r="B27" s="36">
        <v>0</v>
      </c>
    </row>
    <row r="28" spans="1:2" x14ac:dyDescent="0.3">
      <c r="A28" s="34" t="s">
        <v>24</v>
      </c>
      <c r="B28" s="36">
        <v>74817060.846228048</v>
      </c>
    </row>
    <row r="29" spans="1:2" x14ac:dyDescent="0.3">
      <c r="A29" s="34" t="s">
        <v>25</v>
      </c>
      <c r="B29" s="36">
        <v>4812645425.6853466</v>
      </c>
    </row>
    <row r="30" spans="1:2" x14ac:dyDescent="0.3">
      <c r="A30" s="34" t="s">
        <v>26</v>
      </c>
      <c r="B30" s="36">
        <v>470981.50623851054</v>
      </c>
    </row>
    <row r="31" spans="1:2" x14ac:dyDescent="0.3">
      <c r="A31" s="34" t="s">
        <v>27</v>
      </c>
      <c r="B31" s="36">
        <v>1217896440.2936471</v>
      </c>
    </row>
    <row r="32" spans="1:2" x14ac:dyDescent="0.3">
      <c r="A32" s="34" t="s">
        <v>28</v>
      </c>
      <c r="B32" s="36">
        <v>49500.089900288665</v>
      </c>
    </row>
    <row r="33" spans="1:2" x14ac:dyDescent="0.3">
      <c r="A33" s="34" t="s">
        <v>29</v>
      </c>
      <c r="B33" s="36">
        <v>285401397.25146389</v>
      </c>
    </row>
    <row r="34" spans="1:2" x14ac:dyDescent="0.3">
      <c r="A34" s="34" t="s">
        <v>30</v>
      </c>
      <c r="B34" s="36">
        <v>0</v>
      </c>
    </row>
    <row r="35" spans="1:2" x14ac:dyDescent="0.3">
      <c r="A35" s="34" t="s">
        <v>31</v>
      </c>
      <c r="B35" s="36">
        <v>678450572.18375516</v>
      </c>
    </row>
    <row r="36" spans="1:2" x14ac:dyDescent="0.3">
      <c r="A36" s="34" t="s">
        <v>32</v>
      </c>
      <c r="B36" s="36">
        <v>3356971265.7165279</v>
      </c>
    </row>
    <row r="37" spans="1:2" x14ac:dyDescent="0.3">
      <c r="A37" s="34" t="s">
        <v>33</v>
      </c>
      <c r="B37" s="36">
        <v>955.0729264474005</v>
      </c>
    </row>
    <row r="38" spans="1:2" x14ac:dyDescent="0.3">
      <c r="A38" s="34" t="s">
        <v>34</v>
      </c>
      <c r="B38" s="36">
        <v>1995486134.2583098</v>
      </c>
    </row>
    <row r="39" spans="1:2" x14ac:dyDescent="0.3">
      <c r="A39" s="34" t="s">
        <v>35</v>
      </c>
      <c r="B39" s="36">
        <v>505301456.8212176</v>
      </c>
    </row>
    <row r="40" spans="1:2" x14ac:dyDescent="0.3">
      <c r="A40" s="34" t="s">
        <v>36</v>
      </c>
      <c r="B40" s="36">
        <v>25038831499.249413</v>
      </c>
    </row>
    <row r="41" spans="1:2" x14ac:dyDescent="0.3">
      <c r="A41" s="34" t="s">
        <v>37</v>
      </c>
      <c r="B41" s="36">
        <v>2257810206.7729764</v>
      </c>
    </row>
    <row r="42" spans="1:2" x14ac:dyDescent="0.3">
      <c r="A42" s="34" t="s">
        <v>38</v>
      </c>
      <c r="B42" s="36">
        <v>0</v>
      </c>
    </row>
    <row r="43" spans="1:2" x14ac:dyDescent="0.3">
      <c r="A43" s="34" t="s">
        <v>39</v>
      </c>
      <c r="B43" s="36">
        <v>0</v>
      </c>
    </row>
    <row r="44" spans="1:2" x14ac:dyDescent="0.3">
      <c r="A44" s="34" t="s">
        <v>40</v>
      </c>
      <c r="B44" s="36">
        <v>506845039.89104593</v>
      </c>
    </row>
    <row r="45" spans="1:2" x14ac:dyDescent="0.3">
      <c r="A45" s="34" t="s">
        <v>41</v>
      </c>
      <c r="B45" s="36">
        <v>6201226102.1611595</v>
      </c>
    </row>
    <row r="46" spans="1:2" x14ac:dyDescent="0.3">
      <c r="A46" s="34" t="s">
        <v>42</v>
      </c>
      <c r="B46" s="36">
        <v>83005.220898639149</v>
      </c>
    </row>
    <row r="47" spans="1:2" x14ac:dyDescent="0.3">
      <c r="A47" s="34" t="s">
        <v>43</v>
      </c>
      <c r="B47" s="36">
        <v>34707566.285291232</v>
      </c>
    </row>
    <row r="48" spans="1:2" x14ac:dyDescent="0.3">
      <c r="A48" s="34" t="s">
        <v>44</v>
      </c>
      <c r="B48" s="36">
        <v>593625694.56127429</v>
      </c>
    </row>
    <row r="49" spans="1:2" x14ac:dyDescent="0.3">
      <c r="A49" s="34" t="s">
        <v>45</v>
      </c>
      <c r="B49" s="36">
        <v>1158184166.0625231</v>
      </c>
    </row>
    <row r="50" spans="1:2" x14ac:dyDescent="0.3">
      <c r="A50" s="34" t="s">
        <v>46</v>
      </c>
      <c r="B50" s="36">
        <v>58662015.712169491</v>
      </c>
    </row>
    <row r="51" spans="1:2" x14ac:dyDescent="0.3">
      <c r="A51" s="34" t="s">
        <v>47</v>
      </c>
      <c r="B51" s="36">
        <v>76506204.209438413</v>
      </c>
    </row>
    <row r="52" spans="1:2" x14ac:dyDescent="0.3">
      <c r="A52" s="34" t="s">
        <v>48</v>
      </c>
      <c r="B52" s="36">
        <v>106621884.58118013</v>
      </c>
    </row>
    <row r="53" spans="1:2" x14ac:dyDescent="0.3">
      <c r="A53" s="34" t="s">
        <v>49</v>
      </c>
      <c r="B53" s="36">
        <v>9420436.5467083789</v>
      </c>
    </row>
    <row r="54" spans="1:2" x14ac:dyDescent="0.3">
      <c r="A54" s="34" t="s">
        <v>50</v>
      </c>
      <c r="B54" s="36">
        <v>565874.7513140518</v>
      </c>
    </row>
    <row r="55" spans="1:2" x14ac:dyDescent="0.3">
      <c r="A55" s="34" t="s">
        <v>51</v>
      </c>
      <c r="B55" s="36">
        <v>8023.4663623382958</v>
      </c>
    </row>
    <row r="56" spans="1:2" x14ac:dyDescent="0.3">
      <c r="A56" s="34" t="s">
        <v>52</v>
      </c>
      <c r="B56" s="36">
        <v>24436002.091936521</v>
      </c>
    </row>
    <row r="57" spans="1:2" x14ac:dyDescent="0.3">
      <c r="A57" s="34" t="s">
        <v>53</v>
      </c>
      <c r="B57" s="36">
        <v>215266.94223057816</v>
      </c>
    </row>
    <row r="58" spans="1:2" x14ac:dyDescent="0.3">
      <c r="A58" s="34" t="s">
        <v>54</v>
      </c>
      <c r="B58" s="36">
        <v>2265390.5031970558</v>
      </c>
    </row>
    <row r="59" spans="1:2" x14ac:dyDescent="0.3">
      <c r="A59" s="34" t="s">
        <v>55</v>
      </c>
      <c r="B59" s="36">
        <v>0</v>
      </c>
    </row>
    <row r="60" spans="1:2" x14ac:dyDescent="0.3">
      <c r="A60" s="34" t="s">
        <v>56</v>
      </c>
      <c r="B60" s="36">
        <v>9464299253.8085136</v>
      </c>
    </row>
    <row r="61" spans="1:2" x14ac:dyDescent="0.3">
      <c r="A61" s="34" t="s">
        <v>57</v>
      </c>
      <c r="B61" s="36">
        <v>1176186608.4441569</v>
      </c>
    </row>
    <row r="62" spans="1:2" x14ac:dyDescent="0.3">
      <c r="A62" s="34" t="s">
        <v>58</v>
      </c>
      <c r="B62" s="36">
        <v>959382925.38531375</v>
      </c>
    </row>
    <row r="63" spans="1:2" x14ac:dyDescent="0.3">
      <c r="A63" s="34" t="s">
        <v>59</v>
      </c>
      <c r="B63" s="36">
        <v>647215957.55250502</v>
      </c>
    </row>
    <row r="64" spans="1:2" x14ac:dyDescent="0.3">
      <c r="A64" s="34" t="s">
        <v>60</v>
      </c>
      <c r="B64" s="36">
        <v>2435408573.3835025</v>
      </c>
    </row>
    <row r="65" spans="1:2" x14ac:dyDescent="0.3">
      <c r="A65" s="34" t="s">
        <v>61</v>
      </c>
      <c r="B65" s="36">
        <v>1406245.4051028194</v>
      </c>
    </row>
    <row r="66" spans="1:2" x14ac:dyDescent="0.3">
      <c r="A66" s="34" t="s">
        <v>62</v>
      </c>
      <c r="B66" s="36">
        <v>13605146.856527638</v>
      </c>
    </row>
    <row r="67" spans="1:2" x14ac:dyDescent="0.3">
      <c r="A67" s="34" t="s">
        <v>63</v>
      </c>
      <c r="B67" s="36">
        <v>7441094.2684711628</v>
      </c>
    </row>
    <row r="68" spans="1:2" x14ac:dyDescent="0.3">
      <c r="A68" s="34" t="s">
        <v>64</v>
      </c>
      <c r="B68" s="36">
        <v>16576474.299344968</v>
      </c>
    </row>
    <row r="69" spans="1:2" x14ac:dyDescent="0.3">
      <c r="A69" s="34" t="s">
        <v>65</v>
      </c>
      <c r="B69" s="36">
        <v>12536838.617209744</v>
      </c>
    </row>
    <row r="70" spans="1:2" x14ac:dyDescent="0.3">
      <c r="A70" s="34" t="s">
        <v>66</v>
      </c>
      <c r="B70" s="36">
        <v>0</v>
      </c>
    </row>
    <row r="71" spans="1:2" x14ac:dyDescent="0.3">
      <c r="A71" s="34" t="s">
        <v>67</v>
      </c>
      <c r="B71" s="36">
        <v>6117104965.4510469</v>
      </c>
    </row>
    <row r="72" spans="1:2" x14ac:dyDescent="0.3">
      <c r="A72" s="34" t="s">
        <v>68</v>
      </c>
      <c r="B72" s="36">
        <v>0</v>
      </c>
    </row>
    <row r="73" spans="1:2" x14ac:dyDescent="0.3">
      <c r="A73" s="34" t="s">
        <v>69</v>
      </c>
      <c r="B73" s="36">
        <v>0</v>
      </c>
    </row>
    <row r="74" spans="1:2" x14ac:dyDescent="0.3">
      <c r="A74" s="34" t="s">
        <v>70</v>
      </c>
      <c r="B74" s="36">
        <v>6349206594.4815979</v>
      </c>
    </row>
    <row r="75" spans="1:2" x14ac:dyDescent="0.3">
      <c r="A75" s="34" t="s">
        <v>71</v>
      </c>
      <c r="B75" s="36">
        <v>0</v>
      </c>
    </row>
    <row r="76" spans="1:2" x14ac:dyDescent="0.3">
      <c r="A76" s="34" t="s">
        <v>72</v>
      </c>
      <c r="B76" s="36">
        <v>2650072921.1468558</v>
      </c>
    </row>
    <row r="77" spans="1:2" x14ac:dyDescent="0.3">
      <c r="A77" s="34" t="s">
        <v>73</v>
      </c>
      <c r="B77" s="36">
        <v>561028446.30575657</v>
      </c>
    </row>
    <row r="78" spans="1:2" x14ac:dyDescent="0.3">
      <c r="A78" s="34" t="s">
        <v>74</v>
      </c>
      <c r="B78" s="36">
        <v>3104757969.3387661</v>
      </c>
    </row>
    <row r="79" spans="1:2" x14ac:dyDescent="0.3">
      <c r="A79" s="34" t="s">
        <v>75</v>
      </c>
      <c r="B79" s="36">
        <v>10612551826.966524</v>
      </c>
    </row>
    <row r="80" spans="1:2" x14ac:dyDescent="0.3">
      <c r="A80" s="34" t="s">
        <v>76</v>
      </c>
      <c r="B80" s="36">
        <v>11665038.949228477</v>
      </c>
    </row>
    <row r="81" spans="1:2" x14ac:dyDescent="0.3">
      <c r="A81" s="34" t="s">
        <v>77</v>
      </c>
      <c r="B81" s="36">
        <v>214865227.28719789</v>
      </c>
    </row>
    <row r="82" spans="1:2" x14ac:dyDescent="0.3">
      <c r="A82" s="34" t="s">
        <v>78</v>
      </c>
      <c r="B82" s="36">
        <v>247783343.57468006</v>
      </c>
    </row>
    <row r="83" spans="1:2" x14ac:dyDescent="0.3">
      <c r="A83" s="34" t="s">
        <v>79</v>
      </c>
      <c r="B83" s="36">
        <v>15622293.749944886</v>
      </c>
    </row>
    <row r="84" spans="1:2" x14ac:dyDescent="0.3">
      <c r="A84" s="34" t="s">
        <v>80</v>
      </c>
      <c r="B84" s="36">
        <v>66593.575818002209</v>
      </c>
    </row>
    <row r="85" spans="1:2" x14ac:dyDescent="0.3">
      <c r="A85" s="34" t="s">
        <v>81</v>
      </c>
      <c r="B85" s="36">
        <v>0</v>
      </c>
    </row>
    <row r="86" spans="1:2" x14ac:dyDescent="0.3">
      <c r="A86" s="34" t="s">
        <v>82</v>
      </c>
      <c r="B86" s="36">
        <v>6626149389.4914541</v>
      </c>
    </row>
    <row r="87" spans="1:2" x14ac:dyDescent="0.3">
      <c r="A87" s="34" t="s">
        <v>83</v>
      </c>
      <c r="B87" s="36">
        <v>759154681.50780237</v>
      </c>
    </row>
    <row r="88" spans="1:2" x14ac:dyDescent="0.3">
      <c r="A88" s="34" t="s">
        <v>84</v>
      </c>
      <c r="B88" s="36">
        <v>66141610.461088061</v>
      </c>
    </row>
    <row r="89" spans="1:2" x14ac:dyDescent="0.3">
      <c r="A89" s="34" t="s">
        <v>85</v>
      </c>
      <c r="B89" s="36">
        <v>1302686303.3083282</v>
      </c>
    </row>
    <row r="90" spans="1:2" x14ac:dyDescent="0.3">
      <c r="A90" s="34" t="s">
        <v>86</v>
      </c>
      <c r="B90" s="36">
        <v>66719723.128001437</v>
      </c>
    </row>
    <row r="91" spans="1:2" x14ac:dyDescent="0.3">
      <c r="A91" s="34" t="s">
        <v>87</v>
      </c>
      <c r="B91" s="36">
        <v>1383753555.8115373</v>
      </c>
    </row>
    <row r="92" spans="1:2" x14ac:dyDescent="0.3">
      <c r="A92" s="34" t="s">
        <v>88</v>
      </c>
      <c r="B92" s="36">
        <v>3649288.0337183559</v>
      </c>
    </row>
    <row r="93" spans="1:2" x14ac:dyDescent="0.3">
      <c r="A93" s="34" t="s">
        <v>89</v>
      </c>
      <c r="B93" s="36">
        <v>4726843792.329051</v>
      </c>
    </row>
    <row r="94" spans="1:2" x14ac:dyDescent="0.3">
      <c r="A94" s="34" t="s">
        <v>90</v>
      </c>
      <c r="B94" s="36">
        <v>0</v>
      </c>
    </row>
    <row r="95" spans="1:2" x14ac:dyDescent="0.3">
      <c r="A95" s="34" t="s">
        <v>91</v>
      </c>
      <c r="B95" s="36">
        <v>0</v>
      </c>
    </row>
    <row r="96" spans="1:2" x14ac:dyDescent="0.3">
      <c r="A96" s="34" t="s">
        <v>92</v>
      </c>
      <c r="B96" s="36">
        <v>344664323.94388986</v>
      </c>
    </row>
    <row r="97" spans="1:2" x14ac:dyDescent="0.3">
      <c r="A97" s="34" t="s">
        <v>93</v>
      </c>
      <c r="B97" s="36">
        <v>32943407.811147705</v>
      </c>
    </row>
    <row r="98" spans="1:2" x14ac:dyDescent="0.3">
      <c r="A98" s="34" t="s">
        <v>94</v>
      </c>
      <c r="B98" s="36">
        <v>748023237.46034062</v>
      </c>
    </row>
    <row r="99" spans="1:2" x14ac:dyDescent="0.3">
      <c r="A99" s="34" t="s">
        <v>95</v>
      </c>
      <c r="B99" s="36">
        <v>46123636.369929604</v>
      </c>
    </row>
    <row r="100" spans="1:2" x14ac:dyDescent="0.3">
      <c r="A100" s="34" t="s">
        <v>96</v>
      </c>
      <c r="B100" s="36">
        <v>1033833010.6592185</v>
      </c>
    </row>
    <row r="101" spans="1:2" x14ac:dyDescent="0.3">
      <c r="A101" s="34" t="s">
        <v>97</v>
      </c>
      <c r="B101" s="36">
        <v>4438498530.8410425</v>
      </c>
    </row>
    <row r="102" spans="1:2" x14ac:dyDescent="0.3">
      <c r="A102" s="34" t="s">
        <v>98</v>
      </c>
      <c r="B102" s="36">
        <v>23656309.878384974</v>
      </c>
    </row>
    <row r="103" spans="1:2" x14ac:dyDescent="0.3">
      <c r="A103" s="34" t="s">
        <v>99</v>
      </c>
      <c r="B103" s="36">
        <v>701793241.50980341</v>
      </c>
    </row>
    <row r="104" spans="1:2" x14ac:dyDescent="0.3">
      <c r="A104" s="34" t="s">
        <v>100</v>
      </c>
      <c r="B104" s="36">
        <v>2314845820.7613831</v>
      </c>
    </row>
    <row r="105" spans="1:2" x14ac:dyDescent="0.3">
      <c r="A105" s="34" t="s">
        <v>101</v>
      </c>
      <c r="B105" s="36">
        <v>2339287144.1239219</v>
      </c>
    </row>
    <row r="106" spans="1:2" x14ac:dyDescent="0.3">
      <c r="A106" s="34" t="s">
        <v>102</v>
      </c>
      <c r="B106" s="36">
        <v>0</v>
      </c>
    </row>
    <row r="107" spans="1:2" x14ac:dyDescent="0.3">
      <c r="A107" s="34" t="s">
        <v>103</v>
      </c>
      <c r="B107" s="36">
        <v>78157670.599764377</v>
      </c>
    </row>
    <row r="108" spans="1:2" x14ac:dyDescent="0.3">
      <c r="A108" s="34" t="s">
        <v>104</v>
      </c>
      <c r="B108" s="36">
        <v>251316.22218751282</v>
      </c>
    </row>
    <row r="109" spans="1:2" x14ac:dyDescent="0.3">
      <c r="A109" s="34" t="s">
        <v>105</v>
      </c>
      <c r="B109" s="36">
        <v>2669256426.4850211</v>
      </c>
    </row>
    <row r="110" spans="1:2" x14ac:dyDescent="0.3">
      <c r="A110" s="34" t="s">
        <v>106</v>
      </c>
      <c r="B110" s="36">
        <v>1247438016.7521126</v>
      </c>
    </row>
    <row r="111" spans="1:2" x14ac:dyDescent="0.3">
      <c r="A111" s="34" t="s">
        <v>107</v>
      </c>
      <c r="B111" s="36">
        <v>6808062.6444902252</v>
      </c>
    </row>
    <row r="112" spans="1:2" x14ac:dyDescent="0.3">
      <c r="A112" s="34" t="s">
        <v>108</v>
      </c>
      <c r="B112" s="36">
        <v>4699808655.0969543</v>
      </c>
    </row>
    <row r="113" spans="1:2" x14ac:dyDescent="0.3">
      <c r="A113" s="34" t="s">
        <v>109</v>
      </c>
      <c r="B113" s="36">
        <v>108247.61606187989</v>
      </c>
    </row>
    <row r="114" spans="1:2" x14ac:dyDescent="0.3">
      <c r="A114" s="34" t="s">
        <v>110</v>
      </c>
      <c r="B114" s="36">
        <v>140270.02615482573</v>
      </c>
    </row>
    <row r="115" spans="1:2" x14ac:dyDescent="0.3">
      <c r="A115" s="34" t="s">
        <v>111</v>
      </c>
      <c r="B115" s="36">
        <v>4468669585.6983595</v>
      </c>
    </row>
    <row r="116" spans="1:2" x14ac:dyDescent="0.3">
      <c r="A116" s="34" t="s">
        <v>112</v>
      </c>
      <c r="B116" s="36">
        <v>7283587042.7301035</v>
      </c>
    </row>
    <row r="117" spans="1:2" x14ac:dyDescent="0.3">
      <c r="A117" s="34" t="s">
        <v>113</v>
      </c>
      <c r="B117" s="36">
        <v>382166.96198875335</v>
      </c>
    </row>
    <row r="118" spans="1:2" x14ac:dyDescent="0.3">
      <c r="A118" s="34" t="s">
        <v>114</v>
      </c>
      <c r="B118" s="36">
        <v>1567021010.8807569</v>
      </c>
    </row>
    <row r="119" spans="1:2" x14ac:dyDescent="0.3">
      <c r="A119" s="34" t="s">
        <v>115</v>
      </c>
      <c r="B119" s="36">
        <v>1150557065.7950885</v>
      </c>
    </row>
    <row r="120" spans="1:2" x14ac:dyDescent="0.3">
      <c r="A120" s="34" t="s">
        <v>116</v>
      </c>
      <c r="B120" s="36">
        <v>55965550.547479212</v>
      </c>
    </row>
    <row r="121" spans="1:2" x14ac:dyDescent="0.3">
      <c r="A121" s="34" t="s">
        <v>117</v>
      </c>
      <c r="B121" s="36">
        <v>5906684249.2905178</v>
      </c>
    </row>
    <row r="122" spans="1:2" x14ac:dyDescent="0.3">
      <c r="A122" s="34" t="s">
        <v>118</v>
      </c>
      <c r="B122" s="36">
        <v>20988537.008290641</v>
      </c>
    </row>
    <row r="123" spans="1:2" x14ac:dyDescent="0.3">
      <c r="A123" s="34" t="s">
        <v>119</v>
      </c>
      <c r="B123" s="36">
        <v>0</v>
      </c>
    </row>
    <row r="124" spans="1:2" x14ac:dyDescent="0.3">
      <c r="A124" s="34" t="s">
        <v>120</v>
      </c>
      <c r="B124" s="36">
        <v>2002728505.9547429</v>
      </c>
    </row>
    <row r="125" spans="1:2" x14ac:dyDescent="0.3">
      <c r="A125" s="34" t="s">
        <v>121</v>
      </c>
      <c r="B125" s="36">
        <v>10933939.621450853</v>
      </c>
    </row>
    <row r="126" spans="1:2" x14ac:dyDescent="0.3">
      <c r="A126" s="34" t="s">
        <v>122</v>
      </c>
      <c r="B126" s="36">
        <v>2336285652.9273043</v>
      </c>
    </row>
    <row r="127" spans="1:2" x14ac:dyDescent="0.3">
      <c r="A127" s="34" t="s">
        <v>123</v>
      </c>
      <c r="B127" s="36">
        <v>33080.793117201974</v>
      </c>
    </row>
    <row r="128" spans="1:2" x14ac:dyDescent="0.3">
      <c r="A128" s="34" t="s">
        <v>124</v>
      </c>
      <c r="B128" s="36">
        <v>4812361.0564051066</v>
      </c>
    </row>
    <row r="129" spans="1:2" x14ac:dyDescent="0.3">
      <c r="A129" s="34" t="s">
        <v>125</v>
      </c>
      <c r="B129" s="36">
        <v>312275.39858081983</v>
      </c>
    </row>
    <row r="130" spans="1:2" x14ac:dyDescent="0.3">
      <c r="A130" s="34" t="s">
        <v>126</v>
      </c>
      <c r="B130" s="36">
        <v>7476552.1796778515</v>
      </c>
    </row>
    <row r="131" spans="1:2" x14ac:dyDescent="0.3">
      <c r="A131" s="34" t="s">
        <v>127</v>
      </c>
      <c r="B131" s="36">
        <v>23898903.295305461</v>
      </c>
    </row>
    <row r="132" spans="1:2" x14ac:dyDescent="0.3">
      <c r="A132" s="34" t="s">
        <v>128</v>
      </c>
      <c r="B132" s="36">
        <v>4862351.7751751719</v>
      </c>
    </row>
    <row r="133" spans="1:2" x14ac:dyDescent="0.3">
      <c r="A133" s="34" t="s">
        <v>129</v>
      </c>
      <c r="B133" s="36">
        <v>557539.23725913558</v>
      </c>
    </row>
    <row r="134" spans="1:2" x14ac:dyDescent="0.3">
      <c r="A134" s="34" t="s">
        <v>130</v>
      </c>
      <c r="B134" s="36">
        <v>64667522.083753861</v>
      </c>
    </row>
    <row r="135" spans="1:2" x14ac:dyDescent="0.3">
      <c r="A135" s="34" t="s">
        <v>131</v>
      </c>
      <c r="B135" s="36">
        <v>9081019.8765657507</v>
      </c>
    </row>
    <row r="136" spans="1:2" x14ac:dyDescent="0.3">
      <c r="A136" s="34" t="s">
        <v>132</v>
      </c>
      <c r="B136" s="36">
        <v>33811721.887459964</v>
      </c>
    </row>
    <row r="137" spans="1:2" x14ac:dyDescent="0.3">
      <c r="A137" s="34" t="s">
        <v>133</v>
      </c>
      <c r="B137" s="36">
        <v>4610028.8224805137</v>
      </c>
    </row>
    <row r="138" spans="1:2" x14ac:dyDescent="0.3">
      <c r="A138" s="34" t="s">
        <v>134</v>
      </c>
      <c r="B138" s="36">
        <v>1427588.206996754</v>
      </c>
    </row>
    <row r="139" spans="1:2" x14ac:dyDescent="0.3">
      <c r="A139" s="34" t="s">
        <v>135</v>
      </c>
      <c r="B139" s="36">
        <v>157560177.41904041</v>
      </c>
    </row>
    <row r="140" spans="1:2" x14ac:dyDescent="0.3">
      <c r="A140" s="34" t="s">
        <v>136</v>
      </c>
      <c r="B140" s="36">
        <v>523372378.38464683</v>
      </c>
    </row>
    <row r="141" spans="1:2" x14ac:dyDescent="0.3">
      <c r="A141" s="34" t="s">
        <v>137</v>
      </c>
      <c r="B141" s="36">
        <v>28417284.933762491</v>
      </c>
    </row>
    <row r="142" spans="1:2" x14ac:dyDescent="0.3">
      <c r="A142" s="34" t="s">
        <v>138</v>
      </c>
      <c r="B142" s="36">
        <v>47939.994341939506</v>
      </c>
    </row>
    <row r="143" spans="1:2" x14ac:dyDescent="0.3">
      <c r="A143" s="34" t="s">
        <v>139</v>
      </c>
      <c r="B143" s="36">
        <v>455584507.21643496</v>
      </c>
    </row>
    <row r="144" spans="1:2" x14ac:dyDescent="0.3">
      <c r="A144" s="34" t="s">
        <v>140</v>
      </c>
      <c r="B144" s="36">
        <v>275542055.42882681</v>
      </c>
    </row>
    <row r="145" spans="1:2" x14ac:dyDescent="0.3">
      <c r="A145" s="34" t="s">
        <v>141</v>
      </c>
      <c r="B145" s="36">
        <v>2208854767.2354994</v>
      </c>
    </row>
    <row r="146" spans="1:2" x14ac:dyDescent="0.3">
      <c r="A146" s="34" t="s">
        <v>142</v>
      </c>
      <c r="B146" s="36">
        <v>103703687.12014003</v>
      </c>
    </row>
    <row r="147" spans="1:2" x14ac:dyDescent="0.3">
      <c r="A147" s="34" t="s">
        <v>143</v>
      </c>
      <c r="B147" s="36">
        <v>185752367.37968725</v>
      </c>
    </row>
    <row r="148" spans="1:2" x14ac:dyDescent="0.3">
      <c r="A148" s="34" t="s">
        <v>144</v>
      </c>
      <c r="B148" s="36">
        <v>1121878487.771446</v>
      </c>
    </row>
    <row r="149" spans="1:2" x14ac:dyDescent="0.3">
      <c r="A149" s="34" t="s">
        <v>145</v>
      </c>
      <c r="B149" s="36">
        <v>369220056.92887765</v>
      </c>
    </row>
    <row r="150" spans="1:2" x14ac:dyDescent="0.3">
      <c r="A150" s="34" t="s">
        <v>146</v>
      </c>
      <c r="B150" s="36">
        <v>17416566.756157838</v>
      </c>
    </row>
    <row r="151" spans="1:2" x14ac:dyDescent="0.3">
      <c r="A151" s="34" t="s">
        <v>147</v>
      </c>
      <c r="B151" s="36">
        <v>631310543.00192595</v>
      </c>
    </row>
    <row r="152" spans="1:2" x14ac:dyDescent="0.3">
      <c r="A152" s="34" t="s">
        <v>148</v>
      </c>
      <c r="B152" s="36">
        <v>370668352.38438547</v>
      </c>
    </row>
    <row r="153" spans="1:2" x14ac:dyDescent="0.3">
      <c r="A153" s="34" t="s">
        <v>149</v>
      </c>
      <c r="B153" s="36">
        <v>664747707.87406266</v>
      </c>
    </row>
    <row r="154" spans="1:2" x14ac:dyDescent="0.3">
      <c r="A154" s="34" t="s">
        <v>150</v>
      </c>
      <c r="B154" s="36">
        <v>2175316674.2820086</v>
      </c>
    </row>
    <row r="155" spans="1:2" x14ac:dyDescent="0.3">
      <c r="A155" s="34" t="s">
        <v>151</v>
      </c>
      <c r="B155" s="36">
        <v>0</v>
      </c>
    </row>
    <row r="156" spans="1:2" x14ac:dyDescent="0.3">
      <c r="A156" s="34" t="s">
        <v>152</v>
      </c>
      <c r="B156" s="36">
        <v>1976723036.626754</v>
      </c>
    </row>
    <row r="157" spans="1:2" x14ac:dyDescent="0.3">
      <c r="A157" s="34" t="s">
        <v>153</v>
      </c>
      <c r="B157" s="36">
        <v>522879805.24816525</v>
      </c>
    </row>
    <row r="158" spans="1:2" x14ac:dyDescent="0.3">
      <c r="A158" s="34" t="s">
        <v>154</v>
      </c>
      <c r="B158" s="36">
        <v>101685770.14869782</v>
      </c>
    </row>
    <row r="159" spans="1:2" x14ac:dyDescent="0.3">
      <c r="A159" s="34" t="s">
        <v>155</v>
      </c>
      <c r="B159" s="36">
        <v>699079.36808424222</v>
      </c>
    </row>
    <row r="160" spans="1:2" x14ac:dyDescent="0.3">
      <c r="A160" s="34" t="s">
        <v>156</v>
      </c>
      <c r="B160" s="36">
        <v>482121116.04489166</v>
      </c>
    </row>
    <row r="161" spans="1:2" x14ac:dyDescent="0.3">
      <c r="A161" s="34" t="s">
        <v>157</v>
      </c>
      <c r="B161" s="36">
        <v>109914216.58748239</v>
      </c>
    </row>
    <row r="162" spans="1:2" x14ac:dyDescent="0.3">
      <c r="A162" s="34" t="s">
        <v>158</v>
      </c>
      <c r="B162" s="36">
        <v>817733382.70816183</v>
      </c>
    </row>
    <row r="163" spans="1:2" x14ac:dyDescent="0.3">
      <c r="A163" s="34" t="s">
        <v>159</v>
      </c>
      <c r="B163" s="36">
        <v>56454371.33764571</v>
      </c>
    </row>
    <row r="164" spans="1:2" x14ac:dyDescent="0.3">
      <c r="A164" s="34" t="s">
        <v>160</v>
      </c>
      <c r="B164" s="36">
        <v>10172790226.097872</v>
      </c>
    </row>
    <row r="165" spans="1:2" x14ac:dyDescent="0.3">
      <c r="A165" s="34" t="s">
        <v>161</v>
      </c>
      <c r="B165" s="36">
        <v>349000822.44754851</v>
      </c>
    </row>
    <row r="166" spans="1:2" x14ac:dyDescent="0.3">
      <c r="A166" s="34" t="s">
        <v>162</v>
      </c>
      <c r="B166" s="36">
        <v>183060758.12381023</v>
      </c>
    </row>
    <row r="167" spans="1:2" x14ac:dyDescent="0.3">
      <c r="A167" s="34" t="s">
        <v>163</v>
      </c>
      <c r="B167" s="36">
        <v>8903316748.7543678</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521008259.74777991</v>
      </c>
    </row>
    <row r="180" spans="1:2" x14ac:dyDescent="0.3">
      <c r="A180" s="34" t="s">
        <v>176</v>
      </c>
      <c r="B180" s="36">
        <v>5576055.7014029482</v>
      </c>
    </row>
    <row r="181" spans="1:2" x14ac:dyDescent="0.3">
      <c r="A181" s="34" t="s">
        <v>177</v>
      </c>
      <c r="B181" s="36">
        <v>0</v>
      </c>
    </row>
    <row r="182" spans="1:2" x14ac:dyDescent="0.3">
      <c r="A182" s="34" t="s">
        <v>178</v>
      </c>
      <c r="B182" s="36">
        <v>81106989.41045548</v>
      </c>
    </row>
    <row r="183" spans="1:2" x14ac:dyDescent="0.3">
      <c r="A183" s="34" t="s">
        <v>179</v>
      </c>
      <c r="B183" s="36">
        <v>44273671.784451045</v>
      </c>
    </row>
    <row r="184" spans="1:2" x14ac:dyDescent="0.3">
      <c r="A184" s="34" t="s">
        <v>180</v>
      </c>
      <c r="B184" s="36">
        <v>108304787.56209795</v>
      </c>
    </row>
    <row r="185" spans="1:2" x14ac:dyDescent="0.3">
      <c r="A185" s="34" t="s">
        <v>181</v>
      </c>
      <c r="B185" s="36">
        <v>459167.70341323572</v>
      </c>
    </row>
    <row r="186" spans="1:2" x14ac:dyDescent="0.3">
      <c r="A186" s="34" t="s">
        <v>182</v>
      </c>
      <c r="B186" s="36">
        <v>2352479078.8087997</v>
      </c>
    </row>
    <row r="187" spans="1:2" x14ac:dyDescent="0.3">
      <c r="A187" s="34" t="s">
        <v>183</v>
      </c>
      <c r="B187" s="36">
        <v>3571101425.6567278</v>
      </c>
    </row>
    <row r="188" spans="1:2" x14ac:dyDescent="0.3">
      <c r="A188" s="34" t="s">
        <v>184</v>
      </c>
      <c r="B188" s="36">
        <v>3358111.0735510113</v>
      </c>
    </row>
    <row r="189" spans="1:2" x14ac:dyDescent="0.3">
      <c r="A189" s="34" t="s">
        <v>185</v>
      </c>
      <c r="B189" s="36">
        <v>1364640.0032078964</v>
      </c>
    </row>
    <row r="190" spans="1:2" x14ac:dyDescent="0.3">
      <c r="A190" s="34" t="s">
        <v>186</v>
      </c>
      <c r="B190" s="36">
        <v>1153524.3354055176</v>
      </c>
    </row>
    <row r="191" spans="1:2" x14ac:dyDescent="0.3">
      <c r="A191" s="34" t="s">
        <v>187</v>
      </c>
      <c r="B191" s="36">
        <v>0</v>
      </c>
    </row>
    <row r="192" spans="1:2" x14ac:dyDescent="0.3">
      <c r="A192" s="34" t="s">
        <v>188</v>
      </c>
      <c r="B192" s="36">
        <v>2254931699.6134419</v>
      </c>
    </row>
    <row r="193" spans="1:2" x14ac:dyDescent="0.3">
      <c r="A193" s="34" t="s">
        <v>189</v>
      </c>
      <c r="B193" s="36">
        <v>0</v>
      </c>
    </row>
    <row r="194" spans="1:2" x14ac:dyDescent="0.3">
      <c r="A194" s="34" t="s">
        <v>190</v>
      </c>
      <c r="B194" s="36">
        <v>457506184.88221961</v>
      </c>
    </row>
    <row r="195" spans="1:2" x14ac:dyDescent="0.3">
      <c r="A195" s="34" t="s">
        <v>191</v>
      </c>
      <c r="B195" s="36">
        <v>1457416531.8543971</v>
      </c>
    </row>
    <row r="196" spans="1:2" x14ac:dyDescent="0.3">
      <c r="A196" s="34" t="s">
        <v>192</v>
      </c>
      <c r="B196" s="36">
        <v>100998948.31868175</v>
      </c>
    </row>
    <row r="197" spans="1:2" x14ac:dyDescent="0.3">
      <c r="A197" s="34" t="s">
        <v>193</v>
      </c>
      <c r="B197" s="36">
        <v>9478053.9717014655</v>
      </c>
    </row>
    <row r="198" spans="1:2" x14ac:dyDescent="0.3">
      <c r="A198" s="34" t="s">
        <v>194</v>
      </c>
      <c r="B198" s="36">
        <v>1694447797.7466333</v>
      </c>
    </row>
    <row r="199" spans="1:2" x14ac:dyDescent="0.3">
      <c r="A199" s="34" t="s">
        <v>195</v>
      </c>
      <c r="B199" s="36">
        <v>3332615403.5449739</v>
      </c>
    </row>
    <row r="200" spans="1:2" x14ac:dyDescent="0.3">
      <c r="A200" s="34" t="s">
        <v>196</v>
      </c>
      <c r="B200" s="36">
        <v>0</v>
      </c>
    </row>
    <row r="201" spans="1:2" x14ac:dyDescent="0.3">
      <c r="A201" s="34" t="s">
        <v>197</v>
      </c>
      <c r="B201" s="36">
        <v>3232932.9508219687</v>
      </c>
    </row>
    <row r="202" spans="1:2" x14ac:dyDescent="0.3">
      <c r="A202" s="34" t="s">
        <v>198</v>
      </c>
      <c r="B202" s="36">
        <v>1726797.738328415</v>
      </c>
    </row>
    <row r="203" spans="1:2" x14ac:dyDescent="0.3">
      <c r="A203" s="34" t="s">
        <v>199</v>
      </c>
      <c r="B203" s="36">
        <v>2074952.405060617</v>
      </c>
    </row>
    <row r="204" spans="1:2" x14ac:dyDescent="0.3">
      <c r="A204" s="34" t="s">
        <v>200</v>
      </c>
      <c r="B204" s="36">
        <v>884171826.45149696</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2AFBB-4B98-4ADF-ABBB-E82498047D9E}">
  <sheetPr codeName="Sheet4"/>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250</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4210292.070437815</v>
      </c>
    </row>
    <row r="6" spans="1:2" x14ac:dyDescent="0.3">
      <c r="A6" s="34" t="s">
        <v>2</v>
      </c>
      <c r="B6" s="36">
        <v>18479110841.169552</v>
      </c>
    </row>
    <row r="7" spans="1:2" x14ac:dyDescent="0.3">
      <c r="A7" s="34" t="s">
        <v>3</v>
      </c>
      <c r="B7" s="36">
        <v>73836479.408664927</v>
      </c>
    </row>
    <row r="8" spans="1:2" x14ac:dyDescent="0.3">
      <c r="A8" s="34" t="s">
        <v>4</v>
      </c>
      <c r="B8" s="36">
        <v>161193.04596135442</v>
      </c>
    </row>
    <row r="9" spans="1:2" x14ac:dyDescent="0.3">
      <c r="A9" s="34" t="s">
        <v>5</v>
      </c>
      <c r="B9" s="36">
        <v>359816765.62606055</v>
      </c>
    </row>
    <row r="10" spans="1:2" x14ac:dyDescent="0.3">
      <c r="A10" s="34" t="s">
        <v>6</v>
      </c>
      <c r="B10" s="36">
        <v>0</v>
      </c>
    </row>
    <row r="11" spans="1:2" x14ac:dyDescent="0.3">
      <c r="A11" s="34" t="s">
        <v>7</v>
      </c>
      <c r="B11" s="36">
        <v>0</v>
      </c>
    </row>
    <row r="12" spans="1:2" x14ac:dyDescent="0.3">
      <c r="A12" s="34" t="s">
        <v>8</v>
      </c>
      <c r="B12" s="36">
        <v>3636.6808820269389</v>
      </c>
    </row>
    <row r="13" spans="1:2" x14ac:dyDescent="0.3">
      <c r="A13" s="34" t="s">
        <v>9</v>
      </c>
      <c r="B13" s="36">
        <v>0</v>
      </c>
    </row>
    <row r="14" spans="1:2" x14ac:dyDescent="0.3">
      <c r="A14" s="34" t="s">
        <v>10</v>
      </c>
      <c r="B14" s="36">
        <v>566550791.0058291</v>
      </c>
    </row>
    <row r="15" spans="1:2" x14ac:dyDescent="0.3">
      <c r="A15" s="34" t="s">
        <v>11</v>
      </c>
      <c r="B15" s="36">
        <v>8189629390.7507896</v>
      </c>
    </row>
    <row r="16" spans="1:2" x14ac:dyDescent="0.3">
      <c r="A16" s="34" t="s">
        <v>12</v>
      </c>
      <c r="B16" s="36">
        <v>185018829.1093891</v>
      </c>
    </row>
    <row r="17" spans="1:2" x14ac:dyDescent="0.3">
      <c r="A17" s="34" t="s">
        <v>13</v>
      </c>
      <c r="B17" s="36">
        <v>0</v>
      </c>
    </row>
    <row r="18" spans="1:2" x14ac:dyDescent="0.3">
      <c r="A18" s="34" t="s">
        <v>14</v>
      </c>
      <c r="B18" s="36">
        <v>436926748.91315097</v>
      </c>
    </row>
    <row r="19" spans="1:2" x14ac:dyDescent="0.3">
      <c r="A19" s="34" t="s">
        <v>15</v>
      </c>
      <c r="B19" s="36">
        <v>1280723.1665592752</v>
      </c>
    </row>
    <row r="20" spans="1:2" x14ac:dyDescent="0.3">
      <c r="A20" s="34" t="s">
        <v>16</v>
      </c>
      <c r="B20" s="36">
        <v>74.668389949419421</v>
      </c>
    </row>
    <row r="21" spans="1:2" x14ac:dyDescent="0.3">
      <c r="A21" s="34" t="s">
        <v>17</v>
      </c>
      <c r="B21" s="36">
        <v>0</v>
      </c>
    </row>
    <row r="22" spans="1:2" x14ac:dyDescent="0.3">
      <c r="A22" s="34" t="s">
        <v>18</v>
      </c>
      <c r="B22" s="36">
        <v>2985356.5711974734</v>
      </c>
    </row>
    <row r="23" spans="1:2" x14ac:dyDescent="0.3">
      <c r="A23" s="34" t="s">
        <v>19</v>
      </c>
      <c r="B23" s="36">
        <v>3554699876.2238598</v>
      </c>
    </row>
    <row r="24" spans="1:2" x14ac:dyDescent="0.3">
      <c r="A24" s="34" t="s">
        <v>20</v>
      </c>
      <c r="B24" s="36">
        <v>40340028.292639524</v>
      </c>
    </row>
    <row r="25" spans="1:2" x14ac:dyDescent="0.3">
      <c r="A25" s="34" t="s">
        <v>21</v>
      </c>
      <c r="B25" s="36">
        <v>327185442.46956402</v>
      </c>
    </row>
    <row r="26" spans="1:2" x14ac:dyDescent="0.3">
      <c r="A26" s="34" t="s">
        <v>22</v>
      </c>
      <c r="B26" s="36">
        <v>600709184.44008458</v>
      </c>
    </row>
    <row r="27" spans="1:2" x14ac:dyDescent="0.3">
      <c r="A27" s="34" t="s">
        <v>23</v>
      </c>
      <c r="B27" s="36">
        <v>12671689.069703482</v>
      </c>
    </row>
    <row r="28" spans="1:2" x14ac:dyDescent="0.3">
      <c r="A28" s="34" t="s">
        <v>24</v>
      </c>
      <c r="B28" s="36">
        <v>24001916.631757401</v>
      </c>
    </row>
    <row r="29" spans="1:2" x14ac:dyDescent="0.3">
      <c r="A29" s="34" t="s">
        <v>25</v>
      </c>
      <c r="B29" s="36">
        <v>4974657436.0649614</v>
      </c>
    </row>
    <row r="30" spans="1:2" x14ac:dyDescent="0.3">
      <c r="A30" s="34" t="s">
        <v>26</v>
      </c>
      <c r="B30" s="36">
        <v>21572270.646747291</v>
      </c>
    </row>
    <row r="31" spans="1:2" x14ac:dyDescent="0.3">
      <c r="A31" s="34" t="s">
        <v>27</v>
      </c>
      <c r="B31" s="36">
        <v>56511104.919678316</v>
      </c>
    </row>
    <row r="32" spans="1:2" x14ac:dyDescent="0.3">
      <c r="A32" s="34" t="s">
        <v>28</v>
      </c>
      <c r="B32" s="36">
        <v>0</v>
      </c>
    </row>
    <row r="33" spans="1:2" x14ac:dyDescent="0.3">
      <c r="A33" s="34" t="s">
        <v>29</v>
      </c>
      <c r="B33" s="36">
        <v>0</v>
      </c>
    </row>
    <row r="34" spans="1:2" x14ac:dyDescent="0.3">
      <c r="A34" s="34" t="s">
        <v>30</v>
      </c>
      <c r="B34" s="36">
        <v>783821005.90441346</v>
      </c>
    </row>
    <row r="35" spans="1:2" x14ac:dyDescent="0.3">
      <c r="A35" s="34" t="s">
        <v>31</v>
      </c>
      <c r="B35" s="36">
        <v>4909879899.9737282</v>
      </c>
    </row>
    <row r="36" spans="1:2" x14ac:dyDescent="0.3">
      <c r="A36" s="34" t="s">
        <v>32</v>
      </c>
      <c r="B36" s="36">
        <v>64599679926.000595</v>
      </c>
    </row>
    <row r="37" spans="1:2" x14ac:dyDescent="0.3">
      <c r="A37" s="34" t="s">
        <v>33</v>
      </c>
      <c r="B37" s="36">
        <v>0</v>
      </c>
    </row>
    <row r="38" spans="1:2" x14ac:dyDescent="0.3">
      <c r="A38" s="34" t="s">
        <v>34</v>
      </c>
      <c r="B38" s="36">
        <v>24824667.471020564</v>
      </c>
    </row>
    <row r="39" spans="1:2" x14ac:dyDescent="0.3">
      <c r="A39" s="34" t="s">
        <v>35</v>
      </c>
      <c r="B39" s="36">
        <v>5647169.9900210593</v>
      </c>
    </row>
    <row r="40" spans="1:2" x14ac:dyDescent="0.3">
      <c r="A40" s="34" t="s">
        <v>36</v>
      </c>
      <c r="B40" s="36">
        <v>251633.77835600157</v>
      </c>
    </row>
    <row r="41" spans="1:2" x14ac:dyDescent="0.3">
      <c r="A41" s="34" t="s">
        <v>37</v>
      </c>
      <c r="B41" s="36">
        <v>15898147391.009407</v>
      </c>
    </row>
    <row r="42" spans="1:2" x14ac:dyDescent="0.3">
      <c r="A42" s="34" t="s">
        <v>38</v>
      </c>
      <c r="B42" s="36">
        <v>5340513605.9138613</v>
      </c>
    </row>
    <row r="43" spans="1:2" x14ac:dyDescent="0.3">
      <c r="A43" s="34" t="s">
        <v>39</v>
      </c>
      <c r="B43" s="36">
        <v>4817235899.9010267</v>
      </c>
    </row>
    <row r="44" spans="1:2" x14ac:dyDescent="0.3">
      <c r="A44" s="34" t="s">
        <v>40</v>
      </c>
      <c r="B44" s="36">
        <v>6187116963.0514755</v>
      </c>
    </row>
    <row r="45" spans="1:2" x14ac:dyDescent="0.3">
      <c r="A45" s="34" t="s">
        <v>41</v>
      </c>
      <c r="B45" s="36">
        <v>5189.3997444186753</v>
      </c>
    </row>
    <row r="46" spans="1:2" x14ac:dyDescent="0.3">
      <c r="A46" s="34" t="s">
        <v>42</v>
      </c>
      <c r="B46" s="36">
        <v>17507.766766103017</v>
      </c>
    </row>
    <row r="47" spans="1:2" x14ac:dyDescent="0.3">
      <c r="A47" s="34" t="s">
        <v>43</v>
      </c>
      <c r="B47" s="36">
        <v>24843432.835572321</v>
      </c>
    </row>
    <row r="48" spans="1:2" x14ac:dyDescent="0.3">
      <c r="A48" s="34" t="s">
        <v>44</v>
      </c>
      <c r="B48" s="36">
        <v>1016535270.2024348</v>
      </c>
    </row>
    <row r="49" spans="1:2" x14ac:dyDescent="0.3">
      <c r="A49" s="34" t="s">
        <v>45</v>
      </c>
      <c r="B49" s="36">
        <v>8913803384.1881065</v>
      </c>
    </row>
    <row r="50" spans="1:2" x14ac:dyDescent="0.3">
      <c r="A50" s="34" t="s">
        <v>46</v>
      </c>
      <c r="B50" s="36">
        <v>288430918.81397408</v>
      </c>
    </row>
    <row r="51" spans="1:2" x14ac:dyDescent="0.3">
      <c r="A51" s="34" t="s">
        <v>47</v>
      </c>
      <c r="B51" s="36">
        <v>3375940893.7320786</v>
      </c>
    </row>
    <row r="52" spans="1:2" x14ac:dyDescent="0.3">
      <c r="A52" s="34" t="s">
        <v>48</v>
      </c>
      <c r="B52" s="36">
        <v>1250030758.8518138</v>
      </c>
    </row>
    <row r="53" spans="1:2" x14ac:dyDescent="0.3">
      <c r="A53" s="34" t="s">
        <v>49</v>
      </c>
      <c r="B53" s="36">
        <v>61681013.047695689</v>
      </c>
    </row>
    <row r="54" spans="1:2" x14ac:dyDescent="0.3">
      <c r="A54" s="34" t="s">
        <v>50</v>
      </c>
      <c r="B54" s="36">
        <v>0</v>
      </c>
    </row>
    <row r="55" spans="1:2" x14ac:dyDescent="0.3">
      <c r="A55" s="34" t="s">
        <v>51</v>
      </c>
      <c r="B55" s="36">
        <v>2453589.6314456584</v>
      </c>
    </row>
    <row r="56" spans="1:2" x14ac:dyDescent="0.3">
      <c r="A56" s="34" t="s">
        <v>52</v>
      </c>
      <c r="B56" s="36">
        <v>181540086.2527231</v>
      </c>
    </row>
    <row r="57" spans="1:2" x14ac:dyDescent="0.3">
      <c r="A57" s="34" t="s">
        <v>53</v>
      </c>
      <c r="B57" s="36">
        <v>4155889.7005332503</v>
      </c>
    </row>
    <row r="58" spans="1:2" x14ac:dyDescent="0.3">
      <c r="A58" s="34" t="s">
        <v>54</v>
      </c>
      <c r="B58" s="36">
        <v>150073.07853287572</v>
      </c>
    </row>
    <row r="59" spans="1:2" x14ac:dyDescent="0.3">
      <c r="A59" s="34" t="s">
        <v>55</v>
      </c>
      <c r="B59" s="36">
        <v>0</v>
      </c>
    </row>
    <row r="60" spans="1:2" x14ac:dyDescent="0.3">
      <c r="A60" s="34" t="s">
        <v>56</v>
      </c>
      <c r="B60" s="36">
        <v>3484114481.222156</v>
      </c>
    </row>
    <row r="61" spans="1:2" x14ac:dyDescent="0.3">
      <c r="A61" s="34" t="s">
        <v>57</v>
      </c>
      <c r="B61" s="36">
        <v>1029657119.8615665</v>
      </c>
    </row>
    <row r="62" spans="1:2" x14ac:dyDescent="0.3">
      <c r="A62" s="34" t="s">
        <v>58</v>
      </c>
      <c r="B62" s="36">
        <v>486920756.17858446</v>
      </c>
    </row>
    <row r="63" spans="1:2" x14ac:dyDescent="0.3">
      <c r="A63" s="34" t="s">
        <v>59</v>
      </c>
      <c r="B63" s="36">
        <v>302186002.22414374</v>
      </c>
    </row>
    <row r="64" spans="1:2" x14ac:dyDescent="0.3">
      <c r="A64" s="34" t="s">
        <v>60</v>
      </c>
      <c r="B64" s="36">
        <v>20325394118.119194</v>
      </c>
    </row>
    <row r="65" spans="1:2" x14ac:dyDescent="0.3">
      <c r="A65" s="34" t="s">
        <v>61</v>
      </c>
      <c r="B65" s="36">
        <v>17760258.310333677</v>
      </c>
    </row>
    <row r="66" spans="1:2" x14ac:dyDescent="0.3">
      <c r="A66" s="34" t="s">
        <v>62</v>
      </c>
      <c r="B66" s="36">
        <v>166572393.28320435</v>
      </c>
    </row>
    <row r="67" spans="1:2" x14ac:dyDescent="0.3">
      <c r="A67" s="34" t="s">
        <v>63</v>
      </c>
      <c r="B67" s="36">
        <v>176277247.39438155</v>
      </c>
    </row>
    <row r="68" spans="1:2" x14ac:dyDescent="0.3">
      <c r="A68" s="34" t="s">
        <v>64</v>
      </c>
      <c r="B68" s="36">
        <v>397074051.55841237</v>
      </c>
    </row>
    <row r="69" spans="1:2" x14ac:dyDescent="0.3">
      <c r="A69" s="34" t="s">
        <v>65</v>
      </c>
      <c r="B69" s="36">
        <v>337615441.46856505</v>
      </c>
    </row>
    <row r="70" spans="1:2" x14ac:dyDescent="0.3">
      <c r="A70" s="34" t="s">
        <v>66</v>
      </c>
      <c r="B70" s="36">
        <v>537950.24872124707</v>
      </c>
    </row>
    <row r="71" spans="1:2" x14ac:dyDescent="0.3">
      <c r="A71" s="34" t="s">
        <v>67</v>
      </c>
      <c r="B71" s="36">
        <v>3584985282.2990103</v>
      </c>
    </row>
    <row r="72" spans="1:2" x14ac:dyDescent="0.3">
      <c r="A72" s="34" t="s">
        <v>68</v>
      </c>
      <c r="B72" s="36">
        <v>0</v>
      </c>
    </row>
    <row r="73" spans="1:2" x14ac:dyDescent="0.3">
      <c r="A73" s="34" t="s">
        <v>69</v>
      </c>
      <c r="B73" s="36">
        <v>0</v>
      </c>
    </row>
    <row r="74" spans="1:2" x14ac:dyDescent="0.3">
      <c r="A74" s="34" t="s">
        <v>70</v>
      </c>
      <c r="B74" s="36">
        <v>732980364.43196607</v>
      </c>
    </row>
    <row r="75" spans="1:2" x14ac:dyDescent="0.3">
      <c r="A75" s="34" t="s">
        <v>71</v>
      </c>
      <c r="B75" s="36">
        <v>0</v>
      </c>
    </row>
    <row r="76" spans="1:2" x14ac:dyDescent="0.3">
      <c r="A76" s="34" t="s">
        <v>72</v>
      </c>
      <c r="B76" s="36">
        <v>90652697.944591016</v>
      </c>
    </row>
    <row r="77" spans="1:2" x14ac:dyDescent="0.3">
      <c r="A77" s="34" t="s">
        <v>73</v>
      </c>
      <c r="B77" s="36">
        <v>14223590169.972061</v>
      </c>
    </row>
    <row r="78" spans="1:2" x14ac:dyDescent="0.3">
      <c r="A78" s="34" t="s">
        <v>74</v>
      </c>
      <c r="B78" s="36">
        <v>219680191.76718006</v>
      </c>
    </row>
    <row r="79" spans="1:2" x14ac:dyDescent="0.3">
      <c r="A79" s="34" t="s">
        <v>75</v>
      </c>
      <c r="B79" s="36">
        <v>16847623999.143028</v>
      </c>
    </row>
    <row r="80" spans="1:2" x14ac:dyDescent="0.3">
      <c r="A80" s="34" t="s">
        <v>76</v>
      </c>
      <c r="B80" s="36">
        <v>389914065.41041434</v>
      </c>
    </row>
    <row r="81" spans="1:2" x14ac:dyDescent="0.3">
      <c r="A81" s="34" t="s">
        <v>77</v>
      </c>
      <c r="B81" s="36">
        <v>91221259.364796177</v>
      </c>
    </row>
    <row r="82" spans="1:2" x14ac:dyDescent="0.3">
      <c r="A82" s="34" t="s">
        <v>78</v>
      </c>
      <c r="B82" s="36">
        <v>3436705758.3416014</v>
      </c>
    </row>
    <row r="83" spans="1:2" x14ac:dyDescent="0.3">
      <c r="A83" s="34" t="s">
        <v>79</v>
      </c>
      <c r="B83" s="36">
        <v>220939566.49316382</v>
      </c>
    </row>
    <row r="84" spans="1:2" x14ac:dyDescent="0.3">
      <c r="A84" s="34" t="s">
        <v>80</v>
      </c>
      <c r="B84" s="36">
        <v>0</v>
      </c>
    </row>
    <row r="85" spans="1:2" x14ac:dyDescent="0.3">
      <c r="A85" s="34" t="s">
        <v>81</v>
      </c>
      <c r="B85" s="36">
        <v>702334.22910281504</v>
      </c>
    </row>
    <row r="86" spans="1:2" x14ac:dyDescent="0.3">
      <c r="A86" s="34" t="s">
        <v>82</v>
      </c>
      <c r="B86" s="36">
        <v>662305748.64766288</v>
      </c>
    </row>
    <row r="87" spans="1:2" x14ac:dyDescent="0.3">
      <c r="A87" s="34" t="s">
        <v>83</v>
      </c>
      <c r="B87" s="36">
        <v>74150666.738107949</v>
      </c>
    </row>
    <row r="88" spans="1:2" x14ac:dyDescent="0.3">
      <c r="A88" s="34" t="s">
        <v>84</v>
      </c>
      <c r="B88" s="36">
        <v>0</v>
      </c>
    </row>
    <row r="89" spans="1:2" x14ac:dyDescent="0.3">
      <c r="A89" s="34" t="s">
        <v>85</v>
      </c>
      <c r="B89" s="36">
        <v>2003284152.0699964</v>
      </c>
    </row>
    <row r="90" spans="1:2" x14ac:dyDescent="0.3">
      <c r="A90" s="34" t="s">
        <v>86</v>
      </c>
      <c r="B90" s="36">
        <v>44.029617155707598</v>
      </c>
    </row>
    <row r="91" spans="1:2" x14ac:dyDescent="0.3">
      <c r="A91" s="34" t="s">
        <v>87</v>
      </c>
      <c r="B91" s="36">
        <v>267084308.77113864</v>
      </c>
    </row>
    <row r="92" spans="1:2" x14ac:dyDescent="0.3">
      <c r="A92" s="34" t="s">
        <v>88</v>
      </c>
      <c r="B92" s="36">
        <v>2068.7419743577789</v>
      </c>
    </row>
    <row r="93" spans="1:2" x14ac:dyDescent="0.3">
      <c r="A93" s="34" t="s">
        <v>89</v>
      </c>
      <c r="B93" s="36">
        <v>4213908289.7183037</v>
      </c>
    </row>
    <row r="94" spans="1:2" x14ac:dyDescent="0.3">
      <c r="A94" s="34" t="s">
        <v>90</v>
      </c>
      <c r="B94" s="36">
        <v>0</v>
      </c>
    </row>
    <row r="95" spans="1:2" x14ac:dyDescent="0.3">
      <c r="A95" s="34" t="s">
        <v>91</v>
      </c>
      <c r="B95" s="36">
        <v>0</v>
      </c>
    </row>
    <row r="96" spans="1:2" x14ac:dyDescent="0.3">
      <c r="A96" s="34" t="s">
        <v>92</v>
      </c>
      <c r="B96" s="36">
        <v>2173620731.7305965</v>
      </c>
    </row>
    <row r="97" spans="1:2" x14ac:dyDescent="0.3">
      <c r="A97" s="34" t="s">
        <v>93</v>
      </c>
      <c r="B97" s="36">
        <v>573669729.72216117</v>
      </c>
    </row>
    <row r="98" spans="1:2" x14ac:dyDescent="0.3">
      <c r="A98" s="34" t="s">
        <v>94</v>
      </c>
      <c r="B98" s="36">
        <v>0</v>
      </c>
    </row>
    <row r="99" spans="1:2" x14ac:dyDescent="0.3">
      <c r="A99" s="34" t="s">
        <v>95</v>
      </c>
      <c r="B99" s="36">
        <v>1024557514.9816645</v>
      </c>
    </row>
    <row r="100" spans="1:2" x14ac:dyDescent="0.3">
      <c r="A100" s="34" t="s">
        <v>96</v>
      </c>
      <c r="B100" s="36">
        <v>8131588084.2679224</v>
      </c>
    </row>
    <row r="101" spans="1:2" x14ac:dyDescent="0.3">
      <c r="A101" s="34" t="s">
        <v>97</v>
      </c>
      <c r="B101" s="36">
        <v>7903322972.9330845</v>
      </c>
    </row>
    <row r="102" spans="1:2" x14ac:dyDescent="0.3">
      <c r="A102" s="34" t="s">
        <v>98</v>
      </c>
      <c r="B102" s="36">
        <v>4288560.9248885978</v>
      </c>
    </row>
    <row r="103" spans="1:2" x14ac:dyDescent="0.3">
      <c r="A103" s="34" t="s">
        <v>99</v>
      </c>
      <c r="B103" s="36">
        <v>5354820.901620334</v>
      </c>
    </row>
    <row r="104" spans="1:2" x14ac:dyDescent="0.3">
      <c r="A104" s="34" t="s">
        <v>100</v>
      </c>
      <c r="B104" s="36">
        <v>0</v>
      </c>
    </row>
    <row r="105" spans="1:2" x14ac:dyDescent="0.3">
      <c r="A105" s="34" t="s">
        <v>101</v>
      </c>
      <c r="B105" s="36">
        <v>248755910.30941257</v>
      </c>
    </row>
    <row r="106" spans="1:2" x14ac:dyDescent="0.3">
      <c r="A106" s="34" t="s">
        <v>102</v>
      </c>
      <c r="B106" s="36">
        <v>0</v>
      </c>
    </row>
    <row r="107" spans="1:2" x14ac:dyDescent="0.3">
      <c r="A107" s="34" t="s">
        <v>103</v>
      </c>
      <c r="B107" s="36">
        <v>3485466.9742513495</v>
      </c>
    </row>
    <row r="108" spans="1:2" x14ac:dyDescent="0.3">
      <c r="A108" s="34" t="s">
        <v>104</v>
      </c>
      <c r="B108" s="36">
        <v>1209264399.8358102</v>
      </c>
    </row>
    <row r="109" spans="1:2" x14ac:dyDescent="0.3">
      <c r="A109" s="34" t="s">
        <v>105</v>
      </c>
      <c r="B109" s="36">
        <v>1710626785.5738254</v>
      </c>
    </row>
    <row r="110" spans="1:2" x14ac:dyDescent="0.3">
      <c r="A110" s="34" t="s">
        <v>106</v>
      </c>
      <c r="B110" s="36">
        <v>690447073.54943812</v>
      </c>
    </row>
    <row r="111" spans="1:2" x14ac:dyDescent="0.3">
      <c r="A111" s="34" t="s">
        <v>107</v>
      </c>
      <c r="B111" s="36">
        <v>219959726.54514936</v>
      </c>
    </row>
    <row r="112" spans="1:2" x14ac:dyDescent="0.3">
      <c r="A112" s="34" t="s">
        <v>108</v>
      </c>
      <c r="B112" s="36">
        <v>0</v>
      </c>
    </row>
    <row r="113" spans="1:2" x14ac:dyDescent="0.3">
      <c r="A113" s="34" t="s">
        <v>109</v>
      </c>
      <c r="B113" s="36">
        <v>0</v>
      </c>
    </row>
    <row r="114" spans="1:2" x14ac:dyDescent="0.3">
      <c r="A114" s="34" t="s">
        <v>110</v>
      </c>
      <c r="B114" s="36">
        <v>0</v>
      </c>
    </row>
    <row r="115" spans="1:2" x14ac:dyDescent="0.3">
      <c r="A115" s="34" t="s">
        <v>111</v>
      </c>
      <c r="B115" s="36">
        <v>8232807505.982132</v>
      </c>
    </row>
    <row r="116" spans="1:2" x14ac:dyDescent="0.3">
      <c r="A116" s="34" t="s">
        <v>112</v>
      </c>
      <c r="B116" s="36">
        <v>6870847093.9539757</v>
      </c>
    </row>
    <row r="117" spans="1:2" x14ac:dyDescent="0.3">
      <c r="A117" s="34" t="s">
        <v>113</v>
      </c>
      <c r="B117" s="36">
        <v>141.68069922974169</v>
      </c>
    </row>
    <row r="118" spans="1:2" x14ac:dyDescent="0.3">
      <c r="A118" s="34" t="s">
        <v>114</v>
      </c>
      <c r="B118" s="36">
        <v>5453083.1170760142</v>
      </c>
    </row>
    <row r="119" spans="1:2" x14ac:dyDescent="0.3">
      <c r="A119" s="34" t="s">
        <v>115</v>
      </c>
      <c r="B119" s="36">
        <v>237890887.64841136</v>
      </c>
    </row>
    <row r="120" spans="1:2" x14ac:dyDescent="0.3">
      <c r="A120" s="34" t="s">
        <v>116</v>
      </c>
      <c r="B120" s="36">
        <v>1071425414.027184</v>
      </c>
    </row>
    <row r="121" spans="1:2" x14ac:dyDescent="0.3">
      <c r="A121" s="34" t="s">
        <v>117</v>
      </c>
      <c r="B121" s="36">
        <v>10563615292.604666</v>
      </c>
    </row>
    <row r="122" spans="1:2" x14ac:dyDescent="0.3">
      <c r="A122" s="34" t="s">
        <v>118</v>
      </c>
      <c r="B122" s="36">
        <v>596572681.44477141</v>
      </c>
    </row>
    <row r="123" spans="1:2" x14ac:dyDescent="0.3">
      <c r="A123" s="34" t="s">
        <v>119</v>
      </c>
      <c r="B123" s="36">
        <v>0</v>
      </c>
    </row>
    <row r="124" spans="1:2" x14ac:dyDescent="0.3">
      <c r="A124" s="34" t="s">
        <v>120</v>
      </c>
      <c r="B124" s="36">
        <v>69836308.34892258</v>
      </c>
    </row>
    <row r="125" spans="1:2" x14ac:dyDescent="0.3">
      <c r="A125" s="34" t="s">
        <v>121</v>
      </c>
      <c r="B125" s="36">
        <v>1616673.5229927176</v>
      </c>
    </row>
    <row r="126" spans="1:2" x14ac:dyDescent="0.3">
      <c r="A126" s="34" t="s">
        <v>122</v>
      </c>
      <c r="B126" s="36">
        <v>550872799.86772943</v>
      </c>
    </row>
    <row r="127" spans="1:2" x14ac:dyDescent="0.3">
      <c r="A127" s="34" t="s">
        <v>123</v>
      </c>
      <c r="B127" s="36">
        <v>181004.64989637959</v>
      </c>
    </row>
    <row r="128" spans="1:2" x14ac:dyDescent="0.3">
      <c r="A128" s="34" t="s">
        <v>124</v>
      </c>
      <c r="B128" s="36">
        <v>90712349.00077346</v>
      </c>
    </row>
    <row r="129" spans="1:2" x14ac:dyDescent="0.3">
      <c r="A129" s="34" t="s">
        <v>125</v>
      </c>
      <c r="B129" s="36">
        <v>2089596.6382127299</v>
      </c>
    </row>
    <row r="130" spans="1:2" x14ac:dyDescent="0.3">
      <c r="A130" s="34" t="s">
        <v>126</v>
      </c>
      <c r="B130" s="36">
        <v>184804112.80939952</v>
      </c>
    </row>
    <row r="131" spans="1:2" x14ac:dyDescent="0.3">
      <c r="A131" s="34" t="s">
        <v>127</v>
      </c>
      <c r="B131" s="36">
        <v>660967.37622717151</v>
      </c>
    </row>
    <row r="132" spans="1:2" x14ac:dyDescent="0.3">
      <c r="A132" s="34" t="s">
        <v>128</v>
      </c>
      <c r="B132" s="36">
        <v>0</v>
      </c>
    </row>
    <row r="133" spans="1:2" x14ac:dyDescent="0.3">
      <c r="A133" s="34" t="s">
        <v>129</v>
      </c>
      <c r="B133" s="36">
        <v>0</v>
      </c>
    </row>
    <row r="134" spans="1:2" x14ac:dyDescent="0.3">
      <c r="A134" s="34" t="s">
        <v>130</v>
      </c>
      <c r="B134" s="36">
        <v>162539.02495978345</v>
      </c>
    </row>
    <row r="135" spans="1:2" x14ac:dyDescent="0.3">
      <c r="A135" s="34" t="s">
        <v>131</v>
      </c>
      <c r="B135" s="36">
        <v>513389643.75347865</v>
      </c>
    </row>
    <row r="136" spans="1:2" x14ac:dyDescent="0.3">
      <c r="A136" s="34" t="s">
        <v>132</v>
      </c>
      <c r="B136" s="36">
        <v>3746487.2705670856</v>
      </c>
    </row>
    <row r="137" spans="1:2" x14ac:dyDescent="0.3">
      <c r="A137" s="34" t="s">
        <v>133</v>
      </c>
      <c r="B137" s="36">
        <v>71803315.619130984</v>
      </c>
    </row>
    <row r="138" spans="1:2" x14ac:dyDescent="0.3">
      <c r="A138" s="34" t="s">
        <v>134</v>
      </c>
      <c r="B138" s="36">
        <v>27531173.68782597</v>
      </c>
    </row>
    <row r="139" spans="1:2" x14ac:dyDescent="0.3">
      <c r="A139" s="34" t="s">
        <v>135</v>
      </c>
      <c r="B139" s="36">
        <v>8264764742.9402971</v>
      </c>
    </row>
    <row r="140" spans="1:2" x14ac:dyDescent="0.3">
      <c r="A140" s="34" t="s">
        <v>136</v>
      </c>
      <c r="B140" s="36">
        <v>3142765337.2988906</v>
      </c>
    </row>
    <row r="141" spans="1:2" x14ac:dyDescent="0.3">
      <c r="A141" s="34" t="s">
        <v>137</v>
      </c>
      <c r="B141" s="36">
        <v>2237244202.0091329</v>
      </c>
    </row>
    <row r="142" spans="1:2" x14ac:dyDescent="0.3">
      <c r="A142" s="34" t="s">
        <v>138</v>
      </c>
      <c r="B142" s="36">
        <v>0</v>
      </c>
    </row>
    <row r="143" spans="1:2" x14ac:dyDescent="0.3">
      <c r="A143" s="34" t="s">
        <v>139</v>
      </c>
      <c r="B143" s="36">
        <v>87478639.129023418</v>
      </c>
    </row>
    <row r="144" spans="1:2" x14ac:dyDescent="0.3">
      <c r="A144" s="34" t="s">
        <v>140</v>
      </c>
      <c r="B144" s="36">
        <v>2448771725.6236286</v>
      </c>
    </row>
    <row r="145" spans="1:2" x14ac:dyDescent="0.3">
      <c r="A145" s="34" t="s">
        <v>141</v>
      </c>
      <c r="B145" s="36">
        <v>57466241.052877612</v>
      </c>
    </row>
    <row r="146" spans="1:2" x14ac:dyDescent="0.3">
      <c r="A146" s="34" t="s">
        <v>142</v>
      </c>
      <c r="B146" s="36">
        <v>8187394.3724681213</v>
      </c>
    </row>
    <row r="147" spans="1:2" x14ac:dyDescent="0.3">
      <c r="A147" s="34" t="s">
        <v>143</v>
      </c>
      <c r="B147" s="36">
        <v>351458014.83140713</v>
      </c>
    </row>
    <row r="148" spans="1:2" x14ac:dyDescent="0.3">
      <c r="A148" s="34" t="s">
        <v>144</v>
      </c>
      <c r="B148" s="36">
        <v>14781711747.073862</v>
      </c>
    </row>
    <row r="149" spans="1:2" x14ac:dyDescent="0.3">
      <c r="A149" s="34" t="s">
        <v>145</v>
      </c>
      <c r="B149" s="36">
        <v>1479939420.1207042</v>
      </c>
    </row>
    <row r="150" spans="1:2" x14ac:dyDescent="0.3">
      <c r="A150" s="34" t="s">
        <v>146</v>
      </c>
      <c r="B150" s="36">
        <v>2314787709.5425072</v>
      </c>
    </row>
    <row r="151" spans="1:2" x14ac:dyDescent="0.3">
      <c r="A151" s="34" t="s">
        <v>147</v>
      </c>
      <c r="B151" s="36">
        <v>15847301790.006458</v>
      </c>
    </row>
    <row r="152" spans="1:2" x14ac:dyDescent="0.3">
      <c r="A152" s="34" t="s">
        <v>148</v>
      </c>
      <c r="B152" s="36">
        <v>40539861.543837272</v>
      </c>
    </row>
    <row r="153" spans="1:2" x14ac:dyDescent="0.3">
      <c r="A153" s="34" t="s">
        <v>149</v>
      </c>
      <c r="B153" s="36">
        <v>5238.1605924328751</v>
      </c>
    </row>
    <row r="154" spans="1:2" x14ac:dyDescent="0.3">
      <c r="A154" s="34" t="s">
        <v>150</v>
      </c>
      <c r="B154" s="36">
        <v>8783615269.5380001</v>
      </c>
    </row>
    <row r="155" spans="1:2" x14ac:dyDescent="0.3">
      <c r="A155" s="34" t="s">
        <v>151</v>
      </c>
      <c r="B155" s="36">
        <v>157985756.3146638</v>
      </c>
    </row>
    <row r="156" spans="1:2" x14ac:dyDescent="0.3">
      <c r="A156" s="34" t="s">
        <v>152</v>
      </c>
      <c r="B156" s="36">
        <v>6337988216.1131954</v>
      </c>
    </row>
    <row r="157" spans="1:2" x14ac:dyDescent="0.3">
      <c r="A157" s="34" t="s">
        <v>153</v>
      </c>
      <c r="B157" s="36">
        <v>8876991397.6335335</v>
      </c>
    </row>
    <row r="158" spans="1:2" x14ac:dyDescent="0.3">
      <c r="A158" s="34" t="s">
        <v>154</v>
      </c>
      <c r="B158" s="36">
        <v>0</v>
      </c>
    </row>
    <row r="159" spans="1:2" x14ac:dyDescent="0.3">
      <c r="A159" s="34" t="s">
        <v>155</v>
      </c>
      <c r="B159" s="36">
        <v>302.35308090584294</v>
      </c>
    </row>
    <row r="160" spans="1:2" x14ac:dyDescent="0.3">
      <c r="A160" s="34" t="s">
        <v>156</v>
      </c>
      <c r="B160" s="36">
        <v>954857963.86705971</v>
      </c>
    </row>
    <row r="161" spans="1:2" x14ac:dyDescent="0.3">
      <c r="A161" s="34" t="s">
        <v>157</v>
      </c>
      <c r="B161" s="36">
        <v>6597157835.8791542</v>
      </c>
    </row>
    <row r="162" spans="1:2" x14ac:dyDescent="0.3">
      <c r="A162" s="34" t="s">
        <v>158</v>
      </c>
      <c r="B162" s="36">
        <v>18039281517.153397</v>
      </c>
    </row>
    <row r="163" spans="1:2" x14ac:dyDescent="0.3">
      <c r="A163" s="34" t="s">
        <v>159</v>
      </c>
      <c r="B163" s="36">
        <v>3952871.7548423395</v>
      </c>
    </row>
    <row r="164" spans="1:2" x14ac:dyDescent="0.3">
      <c r="A164" s="34" t="s">
        <v>160</v>
      </c>
      <c r="B164" s="36">
        <v>1552181339.3074796</v>
      </c>
    </row>
    <row r="165" spans="1:2" x14ac:dyDescent="0.3">
      <c r="A165" s="34" t="s">
        <v>161</v>
      </c>
      <c r="B165" s="36">
        <v>5435537084.0830679</v>
      </c>
    </row>
    <row r="166" spans="1:2" x14ac:dyDescent="0.3">
      <c r="A166" s="34" t="s">
        <v>162</v>
      </c>
      <c r="B166" s="36">
        <v>133266079.69225447</v>
      </c>
    </row>
    <row r="167" spans="1:2" x14ac:dyDescent="0.3">
      <c r="A167" s="34" t="s">
        <v>163</v>
      </c>
      <c r="B167" s="36">
        <v>4657172690.1561842</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9277785.0249296352</v>
      </c>
    </row>
    <row r="180" spans="1:2" x14ac:dyDescent="0.3">
      <c r="A180" s="34" t="s">
        <v>176</v>
      </c>
      <c r="B180" s="36">
        <v>164521756.69880685</v>
      </c>
    </row>
    <row r="181" spans="1:2" x14ac:dyDescent="0.3">
      <c r="A181" s="34" t="s">
        <v>177</v>
      </c>
      <c r="B181" s="36">
        <v>0</v>
      </c>
    </row>
    <row r="182" spans="1:2" x14ac:dyDescent="0.3">
      <c r="A182" s="34" t="s">
        <v>178</v>
      </c>
      <c r="B182" s="36">
        <v>39484333.98444774</v>
      </c>
    </row>
    <row r="183" spans="1:2" x14ac:dyDescent="0.3">
      <c r="A183" s="34" t="s">
        <v>179</v>
      </c>
      <c r="B183" s="36">
        <v>0</v>
      </c>
    </row>
    <row r="184" spans="1:2" x14ac:dyDescent="0.3">
      <c r="A184" s="34" t="s">
        <v>180</v>
      </c>
      <c r="B184" s="36">
        <v>830682480.70153964</v>
      </c>
    </row>
    <row r="185" spans="1:2" x14ac:dyDescent="0.3">
      <c r="A185" s="34" t="s">
        <v>181</v>
      </c>
      <c r="B185" s="36">
        <v>63183.011342360296</v>
      </c>
    </row>
    <row r="186" spans="1:2" x14ac:dyDescent="0.3">
      <c r="A186" s="34" t="s">
        <v>182</v>
      </c>
      <c r="B186" s="36">
        <v>3595173215.2354894</v>
      </c>
    </row>
    <row r="187" spans="1:2" x14ac:dyDescent="0.3">
      <c r="A187" s="34" t="s">
        <v>183</v>
      </c>
      <c r="B187" s="36">
        <v>615565922.05054724</v>
      </c>
    </row>
    <row r="188" spans="1:2" x14ac:dyDescent="0.3">
      <c r="A188" s="34" t="s">
        <v>184</v>
      </c>
      <c r="B188" s="36">
        <v>39036695.228930555</v>
      </c>
    </row>
    <row r="189" spans="1:2" x14ac:dyDescent="0.3">
      <c r="A189" s="34" t="s">
        <v>185</v>
      </c>
      <c r="B189" s="36">
        <v>17976622.046304781</v>
      </c>
    </row>
    <row r="190" spans="1:2" x14ac:dyDescent="0.3">
      <c r="A190" s="34" t="s">
        <v>186</v>
      </c>
      <c r="B190" s="36">
        <v>43075926.792129353</v>
      </c>
    </row>
    <row r="191" spans="1:2" x14ac:dyDescent="0.3">
      <c r="A191" s="34" t="s">
        <v>187</v>
      </c>
      <c r="B191" s="36">
        <v>1563531977.3169534</v>
      </c>
    </row>
    <row r="192" spans="1:2" x14ac:dyDescent="0.3">
      <c r="A192" s="34" t="s">
        <v>188</v>
      </c>
      <c r="B192" s="36">
        <v>2341816.1563235316</v>
      </c>
    </row>
    <row r="193" spans="1:2" x14ac:dyDescent="0.3">
      <c r="A193" s="34" t="s">
        <v>189</v>
      </c>
      <c r="B193" s="36">
        <v>5.8265072402076658E-2</v>
      </c>
    </row>
    <row r="194" spans="1:2" x14ac:dyDescent="0.3">
      <c r="A194" s="34" t="s">
        <v>190</v>
      </c>
      <c r="B194" s="36">
        <v>3216004173.263052</v>
      </c>
    </row>
    <row r="195" spans="1:2" x14ac:dyDescent="0.3">
      <c r="A195" s="34" t="s">
        <v>191</v>
      </c>
      <c r="B195" s="36">
        <v>1078252537.1386986</v>
      </c>
    </row>
    <row r="196" spans="1:2" x14ac:dyDescent="0.3">
      <c r="A196" s="34" t="s">
        <v>192</v>
      </c>
      <c r="B196" s="36">
        <v>1392701176.4343274</v>
      </c>
    </row>
    <row r="197" spans="1:2" x14ac:dyDescent="0.3">
      <c r="A197" s="34" t="s">
        <v>193</v>
      </c>
      <c r="B197" s="36">
        <v>5616498.4199706763</v>
      </c>
    </row>
    <row r="198" spans="1:2" x14ac:dyDescent="0.3">
      <c r="A198" s="34" t="s">
        <v>194</v>
      </c>
      <c r="B198" s="36">
        <v>13558666202.049639</v>
      </c>
    </row>
    <row r="199" spans="1:2" x14ac:dyDescent="0.3">
      <c r="A199" s="34" t="s">
        <v>195</v>
      </c>
      <c r="B199" s="36">
        <v>864162981.08326554</v>
      </c>
    </row>
    <row r="200" spans="1:2" x14ac:dyDescent="0.3">
      <c r="A200" s="34" t="s">
        <v>196</v>
      </c>
      <c r="B200" s="36">
        <v>0</v>
      </c>
    </row>
    <row r="201" spans="1:2" x14ac:dyDescent="0.3">
      <c r="A201" s="34" t="s">
        <v>197</v>
      </c>
      <c r="B201" s="36">
        <v>51210687.887854472</v>
      </c>
    </row>
    <row r="202" spans="1:2" x14ac:dyDescent="0.3">
      <c r="A202" s="34" t="s">
        <v>198</v>
      </c>
      <c r="B202" s="36">
        <v>48657628.156439796</v>
      </c>
    </row>
    <row r="203" spans="1:2" x14ac:dyDescent="0.3">
      <c r="A203" s="34" t="s">
        <v>199</v>
      </c>
      <c r="B203" s="36">
        <v>497762.27608025284</v>
      </c>
    </row>
    <row r="204" spans="1:2" x14ac:dyDescent="0.3">
      <c r="A204" s="34" t="s">
        <v>200</v>
      </c>
      <c r="B204" s="36">
        <v>14685855.34985611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78AEB-98EC-4C95-9D1B-5E42EBBE44CB}">
  <sheetPr codeName="Sheet3"/>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251</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160479782.03233555</v>
      </c>
    </row>
    <row r="6" spans="1:2" x14ac:dyDescent="0.3">
      <c r="A6" s="34" t="s">
        <v>2</v>
      </c>
      <c r="B6" s="36">
        <v>11300553755.209949</v>
      </c>
    </row>
    <row r="7" spans="1:2" x14ac:dyDescent="0.3">
      <c r="A7" s="34" t="s">
        <v>3</v>
      </c>
      <c r="B7" s="36">
        <v>2026106995.0092993</v>
      </c>
    </row>
    <row r="8" spans="1:2" x14ac:dyDescent="0.3">
      <c r="A8" s="34" t="s">
        <v>4</v>
      </c>
      <c r="B8" s="36">
        <v>5336596.9087427249</v>
      </c>
    </row>
    <row r="9" spans="1:2" x14ac:dyDescent="0.3">
      <c r="A9" s="34" t="s">
        <v>5</v>
      </c>
      <c r="B9" s="36">
        <v>176710636.83616802</v>
      </c>
    </row>
    <row r="10" spans="1:2" x14ac:dyDescent="0.3">
      <c r="A10" s="34" t="s">
        <v>6</v>
      </c>
      <c r="B10" s="36">
        <v>0</v>
      </c>
    </row>
    <row r="11" spans="1:2" x14ac:dyDescent="0.3">
      <c r="A11" s="34" t="s">
        <v>7</v>
      </c>
      <c r="B11" s="36">
        <v>0</v>
      </c>
    </row>
    <row r="12" spans="1:2" x14ac:dyDescent="0.3">
      <c r="A12" s="34" t="s">
        <v>8</v>
      </c>
      <c r="B12" s="36">
        <v>1675422.4564488193</v>
      </c>
    </row>
    <row r="13" spans="1:2" x14ac:dyDescent="0.3">
      <c r="A13" s="34" t="s">
        <v>9</v>
      </c>
      <c r="B13" s="36">
        <v>0</v>
      </c>
    </row>
    <row r="14" spans="1:2" x14ac:dyDescent="0.3">
      <c r="A14" s="34" t="s">
        <v>10</v>
      </c>
      <c r="B14" s="36">
        <v>16027616799.206875</v>
      </c>
    </row>
    <row r="15" spans="1:2" x14ac:dyDescent="0.3">
      <c r="A15" s="34" t="s">
        <v>11</v>
      </c>
      <c r="B15" s="36">
        <v>5770137730.5377607</v>
      </c>
    </row>
    <row r="16" spans="1:2" x14ac:dyDescent="0.3">
      <c r="A16" s="34" t="s">
        <v>12</v>
      </c>
      <c r="B16" s="36">
        <v>888452383.31383479</v>
      </c>
    </row>
    <row r="17" spans="1:2" x14ac:dyDescent="0.3">
      <c r="A17" s="34" t="s">
        <v>13</v>
      </c>
      <c r="B17" s="36">
        <v>20219701.940951608</v>
      </c>
    </row>
    <row r="18" spans="1:2" x14ac:dyDescent="0.3">
      <c r="A18" s="34" t="s">
        <v>14</v>
      </c>
      <c r="B18" s="36">
        <v>208219199.46725631</v>
      </c>
    </row>
    <row r="19" spans="1:2" x14ac:dyDescent="0.3">
      <c r="A19" s="34" t="s">
        <v>15</v>
      </c>
      <c r="B19" s="36">
        <v>234994346.79501814</v>
      </c>
    </row>
    <row r="20" spans="1:2" x14ac:dyDescent="0.3">
      <c r="A20" s="34" t="s">
        <v>16</v>
      </c>
      <c r="B20" s="36">
        <v>52440268.21853736</v>
      </c>
    </row>
    <row r="21" spans="1:2" x14ac:dyDescent="0.3">
      <c r="A21" s="34" t="s">
        <v>17</v>
      </c>
      <c r="B21" s="36">
        <v>0</v>
      </c>
    </row>
    <row r="22" spans="1:2" x14ac:dyDescent="0.3">
      <c r="A22" s="34" t="s">
        <v>18</v>
      </c>
      <c r="B22" s="36">
        <v>1146535889.6408486</v>
      </c>
    </row>
    <row r="23" spans="1:2" x14ac:dyDescent="0.3">
      <c r="A23" s="34" t="s">
        <v>19</v>
      </c>
      <c r="B23" s="36">
        <v>29958210899.539738</v>
      </c>
    </row>
    <row r="24" spans="1:2" x14ac:dyDescent="0.3">
      <c r="A24" s="34" t="s">
        <v>20</v>
      </c>
      <c r="B24" s="36">
        <v>18500441748.492359</v>
      </c>
    </row>
    <row r="25" spans="1:2" x14ac:dyDescent="0.3">
      <c r="A25" s="34" t="s">
        <v>21</v>
      </c>
      <c r="B25" s="36">
        <v>1059204151.6175803</v>
      </c>
    </row>
    <row r="26" spans="1:2" x14ac:dyDescent="0.3">
      <c r="A26" s="34" t="s">
        <v>22</v>
      </c>
      <c r="B26" s="36">
        <v>8295022326.9218435</v>
      </c>
    </row>
    <row r="27" spans="1:2" x14ac:dyDescent="0.3">
      <c r="A27" s="34" t="s">
        <v>23</v>
      </c>
      <c r="B27" s="36">
        <v>535398.43828654836</v>
      </c>
    </row>
    <row r="28" spans="1:2" x14ac:dyDescent="0.3">
      <c r="A28" s="34" t="s">
        <v>24</v>
      </c>
      <c r="B28" s="36">
        <v>164678688.58085251</v>
      </c>
    </row>
    <row r="29" spans="1:2" x14ac:dyDescent="0.3">
      <c r="A29" s="34" t="s">
        <v>25</v>
      </c>
      <c r="B29" s="36">
        <v>7090741682.9221792</v>
      </c>
    </row>
    <row r="30" spans="1:2" x14ac:dyDescent="0.3">
      <c r="A30" s="34" t="s">
        <v>26</v>
      </c>
      <c r="B30" s="36">
        <v>285351905.31416756</v>
      </c>
    </row>
    <row r="31" spans="1:2" x14ac:dyDescent="0.3">
      <c r="A31" s="34" t="s">
        <v>27</v>
      </c>
      <c r="B31" s="36">
        <v>3355181921.9173203</v>
      </c>
    </row>
    <row r="32" spans="1:2" x14ac:dyDescent="0.3">
      <c r="A32" s="34" t="s">
        <v>28</v>
      </c>
      <c r="B32" s="36">
        <v>0</v>
      </c>
    </row>
    <row r="33" spans="1:2" x14ac:dyDescent="0.3">
      <c r="A33" s="34" t="s">
        <v>29</v>
      </c>
      <c r="B33" s="36">
        <v>0</v>
      </c>
    </row>
    <row r="34" spans="1:2" x14ac:dyDescent="0.3">
      <c r="A34" s="34" t="s">
        <v>30</v>
      </c>
      <c r="B34" s="36">
        <v>865846787.26824415</v>
      </c>
    </row>
    <row r="35" spans="1:2" x14ac:dyDescent="0.3">
      <c r="A35" s="34" t="s">
        <v>31</v>
      </c>
      <c r="B35" s="36">
        <v>3032553925.4484324</v>
      </c>
    </row>
    <row r="36" spans="1:2" x14ac:dyDescent="0.3">
      <c r="A36" s="34" t="s">
        <v>32</v>
      </c>
      <c r="B36" s="36">
        <v>17862100583.110779</v>
      </c>
    </row>
    <row r="37" spans="1:2" x14ac:dyDescent="0.3">
      <c r="A37" s="34" t="s">
        <v>33</v>
      </c>
      <c r="B37" s="36">
        <v>0</v>
      </c>
    </row>
    <row r="38" spans="1:2" x14ac:dyDescent="0.3">
      <c r="A38" s="34" t="s">
        <v>34</v>
      </c>
      <c r="B38" s="36">
        <v>1652302218.070087</v>
      </c>
    </row>
    <row r="39" spans="1:2" x14ac:dyDescent="0.3">
      <c r="A39" s="34" t="s">
        <v>35</v>
      </c>
      <c r="B39" s="36">
        <v>198050458.02895463</v>
      </c>
    </row>
    <row r="40" spans="1:2" x14ac:dyDescent="0.3">
      <c r="A40" s="34" t="s">
        <v>36</v>
      </c>
      <c r="B40" s="36">
        <v>3017081105.3807349</v>
      </c>
    </row>
    <row r="41" spans="1:2" x14ac:dyDescent="0.3">
      <c r="A41" s="34" t="s">
        <v>37</v>
      </c>
      <c r="B41" s="36">
        <v>18606571459.256233</v>
      </c>
    </row>
    <row r="42" spans="1:2" x14ac:dyDescent="0.3">
      <c r="A42" s="34" t="s">
        <v>38</v>
      </c>
      <c r="B42" s="36">
        <v>5430020873.5106592</v>
      </c>
    </row>
    <row r="43" spans="1:2" x14ac:dyDescent="0.3">
      <c r="A43" s="34" t="s">
        <v>39</v>
      </c>
      <c r="B43" s="36">
        <v>11193115323.744671</v>
      </c>
    </row>
    <row r="44" spans="1:2" x14ac:dyDescent="0.3">
      <c r="A44" s="34" t="s">
        <v>40</v>
      </c>
      <c r="B44" s="36">
        <v>1315647155.8144255</v>
      </c>
    </row>
    <row r="45" spans="1:2" x14ac:dyDescent="0.3">
      <c r="A45" s="34" t="s">
        <v>41</v>
      </c>
      <c r="B45" s="36">
        <v>792204247.75612068</v>
      </c>
    </row>
    <row r="46" spans="1:2" x14ac:dyDescent="0.3">
      <c r="A46" s="34" t="s">
        <v>42</v>
      </c>
      <c r="B46" s="36">
        <v>1672305.1018164316</v>
      </c>
    </row>
    <row r="47" spans="1:2" x14ac:dyDescent="0.3">
      <c r="A47" s="34" t="s">
        <v>43</v>
      </c>
      <c r="B47" s="36">
        <v>53873899.456497259</v>
      </c>
    </row>
    <row r="48" spans="1:2" x14ac:dyDescent="0.3">
      <c r="A48" s="34" t="s">
        <v>44</v>
      </c>
      <c r="B48" s="36">
        <v>2225543212.278264</v>
      </c>
    </row>
    <row r="49" spans="1:2" x14ac:dyDescent="0.3">
      <c r="A49" s="34" t="s">
        <v>45</v>
      </c>
      <c r="B49" s="36">
        <v>7052998515.7004461</v>
      </c>
    </row>
    <row r="50" spans="1:2" x14ac:dyDescent="0.3">
      <c r="A50" s="34" t="s">
        <v>46</v>
      </c>
      <c r="B50" s="36">
        <v>624554956.07305706</v>
      </c>
    </row>
    <row r="51" spans="1:2" x14ac:dyDescent="0.3">
      <c r="A51" s="34" t="s">
        <v>47</v>
      </c>
      <c r="B51" s="36">
        <v>3589372920.8442655</v>
      </c>
    </row>
    <row r="52" spans="1:2" x14ac:dyDescent="0.3">
      <c r="A52" s="34" t="s">
        <v>48</v>
      </c>
      <c r="B52" s="36">
        <v>2771000422.6458197</v>
      </c>
    </row>
    <row r="53" spans="1:2" x14ac:dyDescent="0.3">
      <c r="A53" s="34" t="s">
        <v>49</v>
      </c>
      <c r="B53" s="36">
        <v>130035630.00794843</v>
      </c>
    </row>
    <row r="54" spans="1:2" x14ac:dyDescent="0.3">
      <c r="A54" s="34" t="s">
        <v>50</v>
      </c>
      <c r="B54" s="36">
        <v>0</v>
      </c>
    </row>
    <row r="55" spans="1:2" x14ac:dyDescent="0.3">
      <c r="A55" s="34" t="s">
        <v>51</v>
      </c>
      <c r="B55" s="36">
        <v>5477848.8753236067</v>
      </c>
    </row>
    <row r="56" spans="1:2" x14ac:dyDescent="0.3">
      <c r="A56" s="34" t="s">
        <v>52</v>
      </c>
      <c r="B56" s="36">
        <v>389253765.40468395</v>
      </c>
    </row>
    <row r="57" spans="1:2" x14ac:dyDescent="0.3">
      <c r="A57" s="34" t="s">
        <v>53</v>
      </c>
      <c r="B57" s="36">
        <v>9084949.142308386</v>
      </c>
    </row>
    <row r="58" spans="1:2" x14ac:dyDescent="0.3">
      <c r="A58" s="34" t="s">
        <v>54</v>
      </c>
      <c r="B58" s="36">
        <v>1561634.3654425861</v>
      </c>
    </row>
    <row r="59" spans="1:2" x14ac:dyDescent="0.3">
      <c r="A59" s="34" t="s">
        <v>55</v>
      </c>
      <c r="B59" s="36">
        <v>0</v>
      </c>
    </row>
    <row r="60" spans="1:2" x14ac:dyDescent="0.3">
      <c r="A60" s="34" t="s">
        <v>56</v>
      </c>
      <c r="B60" s="36">
        <v>12333644849.059015</v>
      </c>
    </row>
    <row r="61" spans="1:2" x14ac:dyDescent="0.3">
      <c r="A61" s="34" t="s">
        <v>57</v>
      </c>
      <c r="B61" s="36">
        <v>5952798847.0452862</v>
      </c>
    </row>
    <row r="62" spans="1:2" x14ac:dyDescent="0.3">
      <c r="A62" s="34" t="s">
        <v>58</v>
      </c>
      <c r="B62" s="36">
        <v>1265847997.2270977</v>
      </c>
    </row>
    <row r="63" spans="1:2" x14ac:dyDescent="0.3">
      <c r="A63" s="34" t="s">
        <v>59</v>
      </c>
      <c r="B63" s="36">
        <v>1978623582.6141515</v>
      </c>
    </row>
    <row r="64" spans="1:2" x14ac:dyDescent="0.3">
      <c r="A64" s="34" t="s">
        <v>60</v>
      </c>
      <c r="B64" s="36">
        <v>9859172158.4768887</v>
      </c>
    </row>
    <row r="65" spans="1:2" x14ac:dyDescent="0.3">
      <c r="A65" s="34" t="s">
        <v>61</v>
      </c>
      <c r="B65" s="36">
        <v>66521328.870631449</v>
      </c>
    </row>
    <row r="66" spans="1:2" x14ac:dyDescent="0.3">
      <c r="A66" s="34" t="s">
        <v>62</v>
      </c>
      <c r="B66" s="36">
        <v>620868655.31585312</v>
      </c>
    </row>
    <row r="67" spans="1:2" x14ac:dyDescent="0.3">
      <c r="A67" s="34" t="s">
        <v>63</v>
      </c>
      <c r="B67" s="36">
        <v>655806773.27909625</v>
      </c>
    </row>
    <row r="68" spans="1:2" x14ac:dyDescent="0.3">
      <c r="A68" s="34" t="s">
        <v>64</v>
      </c>
      <c r="B68" s="36">
        <v>1482237284.2248394</v>
      </c>
    </row>
    <row r="69" spans="1:2" x14ac:dyDescent="0.3">
      <c r="A69" s="34" t="s">
        <v>65</v>
      </c>
      <c r="B69" s="36">
        <v>1251282812.4632287</v>
      </c>
    </row>
    <row r="70" spans="1:2" x14ac:dyDescent="0.3">
      <c r="A70" s="34" t="s">
        <v>66</v>
      </c>
      <c r="B70" s="36">
        <v>3613520361.120851</v>
      </c>
    </row>
    <row r="71" spans="1:2" x14ac:dyDescent="0.3">
      <c r="A71" s="34" t="s">
        <v>67</v>
      </c>
      <c r="B71" s="36">
        <v>1325148877.4108906</v>
      </c>
    </row>
    <row r="72" spans="1:2" x14ac:dyDescent="0.3">
      <c r="A72" s="34" t="s">
        <v>68</v>
      </c>
      <c r="B72" s="36">
        <v>0</v>
      </c>
    </row>
    <row r="73" spans="1:2" x14ac:dyDescent="0.3">
      <c r="A73" s="34" t="s">
        <v>69</v>
      </c>
      <c r="B73" s="36">
        <v>0</v>
      </c>
    </row>
    <row r="74" spans="1:2" x14ac:dyDescent="0.3">
      <c r="A74" s="34" t="s">
        <v>70</v>
      </c>
      <c r="B74" s="36">
        <v>8764492929.4954548</v>
      </c>
    </row>
    <row r="75" spans="1:2" x14ac:dyDescent="0.3">
      <c r="A75" s="34" t="s">
        <v>71</v>
      </c>
      <c r="B75" s="36">
        <v>0</v>
      </c>
    </row>
    <row r="76" spans="1:2" x14ac:dyDescent="0.3">
      <c r="A76" s="34" t="s">
        <v>72</v>
      </c>
      <c r="B76" s="36">
        <v>1472768146.7684262</v>
      </c>
    </row>
    <row r="77" spans="1:2" x14ac:dyDescent="0.3">
      <c r="A77" s="34" t="s">
        <v>73</v>
      </c>
      <c r="B77" s="36">
        <v>519175154.45051187</v>
      </c>
    </row>
    <row r="78" spans="1:2" x14ac:dyDescent="0.3">
      <c r="A78" s="34" t="s">
        <v>74</v>
      </c>
      <c r="B78" s="36">
        <v>1259445739.6481423</v>
      </c>
    </row>
    <row r="79" spans="1:2" x14ac:dyDescent="0.3">
      <c r="A79" s="34" t="s">
        <v>75</v>
      </c>
      <c r="B79" s="36">
        <v>11691676257.930744</v>
      </c>
    </row>
    <row r="80" spans="1:2" x14ac:dyDescent="0.3">
      <c r="A80" s="34" t="s">
        <v>76</v>
      </c>
      <c r="B80" s="36">
        <v>1338136311.0714967</v>
      </c>
    </row>
    <row r="81" spans="1:2" x14ac:dyDescent="0.3">
      <c r="A81" s="34" t="s">
        <v>77</v>
      </c>
      <c r="B81" s="36">
        <v>469412229.54392463</v>
      </c>
    </row>
    <row r="82" spans="1:2" x14ac:dyDescent="0.3">
      <c r="A82" s="34" t="s">
        <v>78</v>
      </c>
      <c r="B82" s="36">
        <v>1539311517.660135</v>
      </c>
    </row>
    <row r="83" spans="1:2" x14ac:dyDescent="0.3">
      <c r="A83" s="34" t="s">
        <v>79</v>
      </c>
      <c r="B83" s="36">
        <v>827035292.81944418</v>
      </c>
    </row>
    <row r="84" spans="1:2" x14ac:dyDescent="0.3">
      <c r="A84" s="34" t="s">
        <v>80</v>
      </c>
      <c r="B84" s="36">
        <v>0</v>
      </c>
    </row>
    <row r="85" spans="1:2" x14ac:dyDescent="0.3">
      <c r="A85" s="34" t="s">
        <v>81</v>
      </c>
      <c r="B85" s="36">
        <v>0</v>
      </c>
    </row>
    <row r="86" spans="1:2" x14ac:dyDescent="0.3">
      <c r="A86" s="34" t="s">
        <v>82</v>
      </c>
      <c r="B86" s="36">
        <v>4745477845.3132896</v>
      </c>
    </row>
    <row r="87" spans="1:2" x14ac:dyDescent="0.3">
      <c r="A87" s="34" t="s">
        <v>83</v>
      </c>
      <c r="B87" s="36">
        <v>1173073710.640903</v>
      </c>
    </row>
    <row r="88" spans="1:2" x14ac:dyDescent="0.3">
      <c r="A88" s="34" t="s">
        <v>84</v>
      </c>
      <c r="B88" s="36">
        <v>0</v>
      </c>
    </row>
    <row r="89" spans="1:2" x14ac:dyDescent="0.3">
      <c r="A89" s="34" t="s">
        <v>85</v>
      </c>
      <c r="B89" s="36">
        <v>1822804966.0636697</v>
      </c>
    </row>
    <row r="90" spans="1:2" x14ac:dyDescent="0.3">
      <c r="A90" s="34" t="s">
        <v>86</v>
      </c>
      <c r="B90" s="36">
        <v>118197.19275731394</v>
      </c>
    </row>
    <row r="91" spans="1:2" x14ac:dyDescent="0.3">
      <c r="A91" s="34" t="s">
        <v>87</v>
      </c>
      <c r="B91" s="36">
        <v>819369210.53020954</v>
      </c>
    </row>
    <row r="92" spans="1:2" x14ac:dyDescent="0.3">
      <c r="A92" s="34" t="s">
        <v>88</v>
      </c>
      <c r="B92" s="36">
        <v>140650187.94710371</v>
      </c>
    </row>
    <row r="93" spans="1:2" x14ac:dyDescent="0.3">
      <c r="A93" s="34" t="s">
        <v>89</v>
      </c>
      <c r="B93" s="36">
        <v>4218321035.2630606</v>
      </c>
    </row>
    <row r="94" spans="1:2" x14ac:dyDescent="0.3">
      <c r="A94" s="34" t="s">
        <v>90</v>
      </c>
      <c r="B94" s="36">
        <v>0</v>
      </c>
    </row>
    <row r="95" spans="1:2" x14ac:dyDescent="0.3">
      <c r="A95" s="34" t="s">
        <v>91</v>
      </c>
      <c r="B95" s="36">
        <v>0</v>
      </c>
    </row>
    <row r="96" spans="1:2" x14ac:dyDescent="0.3">
      <c r="A96" s="34" t="s">
        <v>92</v>
      </c>
      <c r="B96" s="36">
        <v>1240556947.7384076</v>
      </c>
    </row>
    <row r="97" spans="1:2" x14ac:dyDescent="0.3">
      <c r="A97" s="34" t="s">
        <v>93</v>
      </c>
      <c r="B97" s="36">
        <v>654444258.81346428</v>
      </c>
    </row>
    <row r="98" spans="1:2" x14ac:dyDescent="0.3">
      <c r="A98" s="34" t="s">
        <v>94</v>
      </c>
      <c r="B98" s="36">
        <v>0</v>
      </c>
    </row>
    <row r="99" spans="1:2" x14ac:dyDescent="0.3">
      <c r="A99" s="34" t="s">
        <v>95</v>
      </c>
      <c r="B99" s="36">
        <v>309376164.7279709</v>
      </c>
    </row>
    <row r="100" spans="1:2" x14ac:dyDescent="0.3">
      <c r="A100" s="34" t="s">
        <v>96</v>
      </c>
      <c r="B100" s="36">
        <v>2570389152.4576459</v>
      </c>
    </row>
    <row r="101" spans="1:2" x14ac:dyDescent="0.3">
      <c r="A101" s="34" t="s">
        <v>97</v>
      </c>
      <c r="B101" s="36">
        <v>6207056533.1946821</v>
      </c>
    </row>
    <row r="102" spans="1:2" x14ac:dyDescent="0.3">
      <c r="A102" s="34" t="s">
        <v>98</v>
      </c>
      <c r="B102" s="36">
        <v>46200623.350248925</v>
      </c>
    </row>
    <row r="103" spans="1:2" x14ac:dyDescent="0.3">
      <c r="A103" s="34" t="s">
        <v>99</v>
      </c>
      <c r="B103" s="36">
        <v>1229597304.5012434</v>
      </c>
    </row>
    <row r="104" spans="1:2" x14ac:dyDescent="0.3">
      <c r="A104" s="34" t="s">
        <v>100</v>
      </c>
      <c r="B104" s="36">
        <v>0</v>
      </c>
    </row>
    <row r="105" spans="1:2" x14ac:dyDescent="0.3">
      <c r="A105" s="34" t="s">
        <v>101</v>
      </c>
      <c r="B105" s="36">
        <v>235876814.0904806</v>
      </c>
    </row>
    <row r="106" spans="1:2" x14ac:dyDescent="0.3">
      <c r="A106" s="34" t="s">
        <v>102</v>
      </c>
      <c r="B106" s="36">
        <v>0</v>
      </c>
    </row>
    <row r="107" spans="1:2" x14ac:dyDescent="0.3">
      <c r="A107" s="34" t="s">
        <v>103</v>
      </c>
      <c r="B107" s="36">
        <v>89142802.463345513</v>
      </c>
    </row>
    <row r="108" spans="1:2" x14ac:dyDescent="0.3">
      <c r="A108" s="34" t="s">
        <v>104</v>
      </c>
      <c r="B108" s="36">
        <v>186740161.58925113</v>
      </c>
    </row>
    <row r="109" spans="1:2" x14ac:dyDescent="0.3">
      <c r="A109" s="34" t="s">
        <v>105</v>
      </c>
      <c r="B109" s="36">
        <v>16337355348.691204</v>
      </c>
    </row>
    <row r="110" spans="1:2" x14ac:dyDescent="0.3">
      <c r="A110" s="34" t="s">
        <v>106</v>
      </c>
      <c r="B110" s="36">
        <v>5159353907.1749296</v>
      </c>
    </row>
    <row r="111" spans="1:2" x14ac:dyDescent="0.3">
      <c r="A111" s="34" t="s">
        <v>107</v>
      </c>
      <c r="B111" s="36">
        <v>735793125.97457051</v>
      </c>
    </row>
    <row r="112" spans="1:2" x14ac:dyDescent="0.3">
      <c r="A112" s="34" t="s">
        <v>108</v>
      </c>
      <c r="B112" s="36">
        <v>0</v>
      </c>
    </row>
    <row r="113" spans="1:2" x14ac:dyDescent="0.3">
      <c r="A113" s="34" t="s">
        <v>109</v>
      </c>
      <c r="B113" s="36">
        <v>0</v>
      </c>
    </row>
    <row r="114" spans="1:2" x14ac:dyDescent="0.3">
      <c r="A114" s="34" t="s">
        <v>110</v>
      </c>
      <c r="B114" s="36">
        <v>41404669.922701366</v>
      </c>
    </row>
    <row r="115" spans="1:2" x14ac:dyDescent="0.3">
      <c r="A115" s="34" t="s">
        <v>111</v>
      </c>
      <c r="B115" s="36">
        <v>39947538064.848289</v>
      </c>
    </row>
    <row r="116" spans="1:2" x14ac:dyDescent="0.3">
      <c r="A116" s="34" t="s">
        <v>112</v>
      </c>
      <c r="B116" s="36">
        <v>9663040452.3044376</v>
      </c>
    </row>
    <row r="117" spans="1:2" x14ac:dyDescent="0.3">
      <c r="A117" s="34" t="s">
        <v>113</v>
      </c>
      <c r="B117" s="36">
        <v>1051685.1936384081</v>
      </c>
    </row>
    <row r="118" spans="1:2" x14ac:dyDescent="0.3">
      <c r="A118" s="34" t="s">
        <v>114</v>
      </c>
      <c r="B118" s="36">
        <v>210957468.21589252</v>
      </c>
    </row>
    <row r="119" spans="1:2" x14ac:dyDescent="0.3">
      <c r="A119" s="34" t="s">
        <v>115</v>
      </c>
      <c r="B119" s="36">
        <v>1637621465.7966013</v>
      </c>
    </row>
    <row r="120" spans="1:2" x14ac:dyDescent="0.3">
      <c r="A120" s="34" t="s">
        <v>116</v>
      </c>
      <c r="B120" s="36">
        <v>219220773.20930052</v>
      </c>
    </row>
    <row r="121" spans="1:2" x14ac:dyDescent="0.3">
      <c r="A121" s="34" t="s">
        <v>117</v>
      </c>
      <c r="B121" s="36">
        <v>6190845807.9099817</v>
      </c>
    </row>
    <row r="122" spans="1:2" x14ac:dyDescent="0.3">
      <c r="A122" s="34" t="s">
        <v>118</v>
      </c>
      <c r="B122" s="36">
        <v>2204060434.3891792</v>
      </c>
    </row>
    <row r="123" spans="1:2" x14ac:dyDescent="0.3">
      <c r="A123" s="34" t="s">
        <v>119</v>
      </c>
      <c r="B123" s="36">
        <v>0</v>
      </c>
    </row>
    <row r="124" spans="1:2" x14ac:dyDescent="0.3">
      <c r="A124" s="34" t="s">
        <v>120</v>
      </c>
      <c r="B124" s="36">
        <v>277390978.62418884</v>
      </c>
    </row>
    <row r="125" spans="1:2" x14ac:dyDescent="0.3">
      <c r="A125" s="34" t="s">
        <v>121</v>
      </c>
      <c r="B125" s="36">
        <v>16266267.802800255</v>
      </c>
    </row>
    <row r="126" spans="1:2" x14ac:dyDescent="0.3">
      <c r="A126" s="34" t="s">
        <v>122</v>
      </c>
      <c r="B126" s="36">
        <v>1987781094.013171</v>
      </c>
    </row>
    <row r="127" spans="1:2" x14ac:dyDescent="0.3">
      <c r="A127" s="34" t="s">
        <v>123</v>
      </c>
      <c r="B127" s="36">
        <v>2624446.8920477158</v>
      </c>
    </row>
    <row r="128" spans="1:2" x14ac:dyDescent="0.3">
      <c r="A128" s="34" t="s">
        <v>124</v>
      </c>
      <c r="B128" s="36">
        <v>338082521.26147282</v>
      </c>
    </row>
    <row r="129" spans="1:2" x14ac:dyDescent="0.3">
      <c r="A129" s="34" t="s">
        <v>125</v>
      </c>
      <c r="B129" s="36">
        <v>7829804.1563586676</v>
      </c>
    </row>
    <row r="130" spans="1:2" x14ac:dyDescent="0.3">
      <c r="A130" s="34" t="s">
        <v>126</v>
      </c>
      <c r="B130" s="36">
        <v>623663403.73415613</v>
      </c>
    </row>
    <row r="131" spans="1:2" x14ac:dyDescent="0.3">
      <c r="A131" s="34" t="s">
        <v>127</v>
      </c>
      <c r="B131" s="36">
        <v>20278998.787187047</v>
      </c>
    </row>
    <row r="132" spans="1:2" x14ac:dyDescent="0.3">
      <c r="A132" s="34" t="s">
        <v>128</v>
      </c>
      <c r="B132" s="36">
        <v>0</v>
      </c>
    </row>
    <row r="133" spans="1:2" x14ac:dyDescent="0.3">
      <c r="A133" s="34" t="s">
        <v>129</v>
      </c>
      <c r="B133" s="36">
        <v>0</v>
      </c>
    </row>
    <row r="134" spans="1:2" x14ac:dyDescent="0.3">
      <c r="A134" s="34" t="s">
        <v>130</v>
      </c>
      <c r="B134" s="36">
        <v>19103358.897769816</v>
      </c>
    </row>
    <row r="135" spans="1:2" x14ac:dyDescent="0.3">
      <c r="A135" s="34" t="s">
        <v>131</v>
      </c>
      <c r="B135" s="36">
        <v>2238520231.3780537</v>
      </c>
    </row>
    <row r="136" spans="1:2" x14ac:dyDescent="0.3">
      <c r="A136" s="34" t="s">
        <v>132</v>
      </c>
      <c r="B136" s="36">
        <v>68817019.446090221</v>
      </c>
    </row>
    <row r="137" spans="1:2" x14ac:dyDescent="0.3">
      <c r="A137" s="34" t="s">
        <v>133</v>
      </c>
      <c r="B137" s="36">
        <v>268924461.93578112</v>
      </c>
    </row>
    <row r="138" spans="1:2" x14ac:dyDescent="0.3">
      <c r="A138" s="34" t="s">
        <v>134</v>
      </c>
      <c r="B138" s="36">
        <v>103310807.8652288</v>
      </c>
    </row>
    <row r="139" spans="1:2" x14ac:dyDescent="0.3">
      <c r="A139" s="34" t="s">
        <v>135</v>
      </c>
      <c r="B139" s="36">
        <v>8536114366.1653633</v>
      </c>
    </row>
    <row r="140" spans="1:2" x14ac:dyDescent="0.3">
      <c r="A140" s="34" t="s">
        <v>136</v>
      </c>
      <c r="B140" s="36">
        <v>3842372803.0360889</v>
      </c>
    </row>
    <row r="141" spans="1:2" x14ac:dyDescent="0.3">
      <c r="A141" s="34" t="s">
        <v>137</v>
      </c>
      <c r="B141" s="36">
        <v>2294311402.6310005</v>
      </c>
    </row>
    <row r="142" spans="1:2" x14ac:dyDescent="0.3">
      <c r="A142" s="34" t="s">
        <v>138</v>
      </c>
      <c r="B142" s="36">
        <v>0</v>
      </c>
    </row>
    <row r="143" spans="1:2" x14ac:dyDescent="0.3">
      <c r="A143" s="34" t="s">
        <v>139</v>
      </c>
      <c r="B143" s="36">
        <v>2478191540.4347315</v>
      </c>
    </row>
    <row r="144" spans="1:2" x14ac:dyDescent="0.3">
      <c r="A144" s="34" t="s">
        <v>140</v>
      </c>
      <c r="B144" s="36">
        <v>1322925405.5566063</v>
      </c>
    </row>
    <row r="145" spans="1:2" x14ac:dyDescent="0.3">
      <c r="A145" s="34" t="s">
        <v>141</v>
      </c>
      <c r="B145" s="36">
        <v>9353696.322021855</v>
      </c>
    </row>
    <row r="146" spans="1:2" x14ac:dyDescent="0.3">
      <c r="A146" s="34" t="s">
        <v>142</v>
      </c>
      <c r="B146" s="36">
        <v>20728266.15800231</v>
      </c>
    </row>
    <row r="147" spans="1:2" x14ac:dyDescent="0.3">
      <c r="A147" s="34" t="s">
        <v>143</v>
      </c>
      <c r="B147" s="36">
        <v>1113716468.381283</v>
      </c>
    </row>
    <row r="148" spans="1:2" x14ac:dyDescent="0.3">
      <c r="A148" s="34" t="s">
        <v>144</v>
      </c>
      <c r="B148" s="36">
        <v>9379864304.0801659</v>
      </c>
    </row>
    <row r="149" spans="1:2" x14ac:dyDescent="0.3">
      <c r="A149" s="34" t="s">
        <v>145</v>
      </c>
      <c r="B149" s="36">
        <v>1128789593.8262</v>
      </c>
    </row>
    <row r="150" spans="1:2" x14ac:dyDescent="0.3">
      <c r="A150" s="34" t="s">
        <v>146</v>
      </c>
      <c r="B150" s="36">
        <v>567710938.86763585</v>
      </c>
    </row>
    <row r="151" spans="1:2" x14ac:dyDescent="0.3">
      <c r="A151" s="34" t="s">
        <v>147</v>
      </c>
      <c r="B151" s="36">
        <v>83692768.001483113</v>
      </c>
    </row>
    <row r="152" spans="1:2" x14ac:dyDescent="0.3">
      <c r="A152" s="34" t="s">
        <v>148</v>
      </c>
      <c r="B152" s="36">
        <v>1305852381.3814907</v>
      </c>
    </row>
    <row r="153" spans="1:2" x14ac:dyDescent="0.3">
      <c r="A153" s="34" t="s">
        <v>149</v>
      </c>
      <c r="B153" s="36">
        <v>838336774.20529997</v>
      </c>
    </row>
    <row r="154" spans="1:2" x14ac:dyDescent="0.3">
      <c r="A154" s="34" t="s">
        <v>150</v>
      </c>
      <c r="B154" s="36">
        <v>5226502227.0516844</v>
      </c>
    </row>
    <row r="155" spans="1:2" x14ac:dyDescent="0.3">
      <c r="A155" s="34" t="s">
        <v>151</v>
      </c>
      <c r="B155" s="36">
        <v>30864719459.58395</v>
      </c>
    </row>
    <row r="156" spans="1:2" x14ac:dyDescent="0.3">
      <c r="A156" s="34" t="s">
        <v>152</v>
      </c>
      <c r="B156" s="36">
        <v>1710554597.825423</v>
      </c>
    </row>
    <row r="157" spans="1:2" x14ac:dyDescent="0.3">
      <c r="A157" s="34" t="s">
        <v>153</v>
      </c>
      <c r="B157" s="36">
        <v>4017094676.6829638</v>
      </c>
    </row>
    <row r="158" spans="1:2" x14ac:dyDescent="0.3">
      <c r="A158" s="34" t="s">
        <v>154</v>
      </c>
      <c r="B158" s="36">
        <v>73410671.615122825</v>
      </c>
    </row>
    <row r="159" spans="1:2" x14ac:dyDescent="0.3">
      <c r="A159" s="34" t="s">
        <v>155</v>
      </c>
      <c r="B159" s="36">
        <v>24329074.201741837</v>
      </c>
    </row>
    <row r="160" spans="1:2" x14ac:dyDescent="0.3">
      <c r="A160" s="34" t="s">
        <v>156</v>
      </c>
      <c r="B160" s="36">
        <v>7178876872.3539124</v>
      </c>
    </row>
    <row r="161" spans="1:2" x14ac:dyDescent="0.3">
      <c r="A161" s="34" t="s">
        <v>157</v>
      </c>
      <c r="B161" s="36">
        <v>506550301.75024664</v>
      </c>
    </row>
    <row r="162" spans="1:2" x14ac:dyDescent="0.3">
      <c r="A162" s="34" t="s">
        <v>158</v>
      </c>
      <c r="B162" s="36">
        <v>1694662747.7870066</v>
      </c>
    </row>
    <row r="163" spans="1:2" x14ac:dyDescent="0.3">
      <c r="A163" s="34" t="s">
        <v>159</v>
      </c>
      <c r="B163" s="36">
        <v>346355688.44096035</v>
      </c>
    </row>
    <row r="164" spans="1:2" x14ac:dyDescent="0.3">
      <c r="A164" s="34" t="s">
        <v>160</v>
      </c>
      <c r="B164" s="36">
        <v>6041496565.1566601</v>
      </c>
    </row>
    <row r="165" spans="1:2" x14ac:dyDescent="0.3">
      <c r="A165" s="34" t="s">
        <v>161</v>
      </c>
      <c r="B165" s="36">
        <v>773376673.37838519</v>
      </c>
    </row>
    <row r="166" spans="1:2" x14ac:dyDescent="0.3">
      <c r="A166" s="34" t="s">
        <v>162</v>
      </c>
      <c r="B166" s="36">
        <v>2236596031.2901154</v>
      </c>
    </row>
    <row r="167" spans="1:2" x14ac:dyDescent="0.3">
      <c r="A167" s="34" t="s">
        <v>163</v>
      </c>
      <c r="B167" s="36">
        <v>22379029762.602184</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3567860334.6817465</v>
      </c>
    </row>
    <row r="180" spans="1:2" x14ac:dyDescent="0.3">
      <c r="A180" s="34" t="s">
        <v>176</v>
      </c>
      <c r="B180" s="36">
        <v>617004534.21834385</v>
      </c>
    </row>
    <row r="181" spans="1:2" x14ac:dyDescent="0.3">
      <c r="A181" s="34" t="s">
        <v>177</v>
      </c>
      <c r="B181" s="36">
        <v>10885332748.862724</v>
      </c>
    </row>
    <row r="182" spans="1:2" x14ac:dyDescent="0.3">
      <c r="A182" s="34" t="s">
        <v>178</v>
      </c>
      <c r="B182" s="36">
        <v>2199754347.1661892</v>
      </c>
    </row>
    <row r="183" spans="1:2" x14ac:dyDescent="0.3">
      <c r="A183" s="34" t="s">
        <v>179</v>
      </c>
      <c r="B183" s="36">
        <v>0</v>
      </c>
    </row>
    <row r="184" spans="1:2" x14ac:dyDescent="0.3">
      <c r="A184" s="34" t="s">
        <v>180</v>
      </c>
      <c r="B184" s="36">
        <v>1411355837.8844261</v>
      </c>
    </row>
    <row r="185" spans="1:2" x14ac:dyDescent="0.3">
      <c r="A185" s="34" t="s">
        <v>181</v>
      </c>
      <c r="B185" s="36">
        <v>1930053638.6732244</v>
      </c>
    </row>
    <row r="186" spans="1:2" x14ac:dyDescent="0.3">
      <c r="A186" s="34" t="s">
        <v>182</v>
      </c>
      <c r="B186" s="36">
        <v>13477348881.106556</v>
      </c>
    </row>
    <row r="187" spans="1:2" x14ac:dyDescent="0.3">
      <c r="A187" s="34" t="s">
        <v>183</v>
      </c>
      <c r="B187" s="36">
        <v>978606243.34464991</v>
      </c>
    </row>
    <row r="188" spans="1:2" x14ac:dyDescent="0.3">
      <c r="A188" s="34" t="s">
        <v>184</v>
      </c>
      <c r="B188" s="36">
        <v>146051749.84269086</v>
      </c>
    </row>
    <row r="189" spans="1:2" x14ac:dyDescent="0.3">
      <c r="A189" s="34" t="s">
        <v>185</v>
      </c>
      <c r="B189" s="36">
        <v>67423953.706043392</v>
      </c>
    </row>
    <row r="190" spans="1:2" x14ac:dyDescent="0.3">
      <c r="A190" s="34" t="s">
        <v>186</v>
      </c>
      <c r="B190" s="36">
        <v>26571381.050333835</v>
      </c>
    </row>
    <row r="191" spans="1:2" x14ac:dyDescent="0.3">
      <c r="A191" s="34" t="s">
        <v>187</v>
      </c>
      <c r="B191" s="36">
        <v>1589877252.0073774</v>
      </c>
    </row>
    <row r="192" spans="1:2" x14ac:dyDescent="0.3">
      <c r="A192" s="34" t="s">
        <v>188</v>
      </c>
      <c r="B192" s="36">
        <v>1572713724.3819015</v>
      </c>
    </row>
    <row r="193" spans="1:2" x14ac:dyDescent="0.3">
      <c r="A193" s="34" t="s">
        <v>189</v>
      </c>
      <c r="B193" s="36">
        <v>1182277.135668942</v>
      </c>
    </row>
    <row r="194" spans="1:2" x14ac:dyDescent="0.3">
      <c r="A194" s="34" t="s">
        <v>190</v>
      </c>
      <c r="B194" s="36">
        <v>2684764642.1069713</v>
      </c>
    </row>
    <row r="195" spans="1:2" x14ac:dyDescent="0.3">
      <c r="A195" s="34" t="s">
        <v>191</v>
      </c>
      <c r="B195" s="36">
        <v>187209279.64870179</v>
      </c>
    </row>
    <row r="196" spans="1:2" x14ac:dyDescent="0.3">
      <c r="A196" s="34" t="s">
        <v>192</v>
      </c>
      <c r="B196" s="36">
        <v>9854372526.9324894</v>
      </c>
    </row>
    <row r="197" spans="1:2" x14ac:dyDescent="0.3">
      <c r="A197" s="34" t="s">
        <v>193</v>
      </c>
      <c r="B197" s="36">
        <v>207491350.66174406</v>
      </c>
    </row>
    <row r="198" spans="1:2" x14ac:dyDescent="0.3">
      <c r="A198" s="34" t="s">
        <v>194</v>
      </c>
      <c r="B198" s="36">
        <v>23085519018.849113</v>
      </c>
    </row>
    <row r="199" spans="1:2" x14ac:dyDescent="0.3">
      <c r="A199" s="34" t="s">
        <v>195</v>
      </c>
      <c r="B199" s="36">
        <v>8134269312.8076401</v>
      </c>
    </row>
    <row r="200" spans="1:2" x14ac:dyDescent="0.3">
      <c r="A200" s="34" t="s">
        <v>196</v>
      </c>
      <c r="B200" s="36">
        <v>0</v>
      </c>
    </row>
    <row r="201" spans="1:2" x14ac:dyDescent="0.3">
      <c r="A201" s="34" t="s">
        <v>197</v>
      </c>
      <c r="B201" s="36">
        <v>191593063.37080899</v>
      </c>
    </row>
    <row r="202" spans="1:2" x14ac:dyDescent="0.3">
      <c r="A202" s="34" t="s">
        <v>198</v>
      </c>
      <c r="B202" s="36">
        <v>182726143.12117156</v>
      </c>
    </row>
    <row r="203" spans="1:2" x14ac:dyDescent="0.3">
      <c r="A203" s="34" t="s">
        <v>199</v>
      </c>
      <c r="B203" s="36">
        <v>6623446.5027999794</v>
      </c>
    </row>
    <row r="204" spans="1:2" x14ac:dyDescent="0.3">
      <c r="A204" s="34" t="s">
        <v>200</v>
      </c>
      <c r="B204" s="36">
        <v>67325137.911443219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5815A-4BA3-4796-ADE0-2D8F173D4CA3}">
  <sheetPr codeName="Sheet16"/>
  <dimension ref="A1:N209"/>
  <sheetViews>
    <sheetView zoomScaleNormal="100" workbookViewId="0">
      <selection sqref="A1:B2"/>
    </sheetView>
  </sheetViews>
  <sheetFormatPr defaultRowHeight="14.4" x14ac:dyDescent="0.3"/>
  <cols>
    <col min="1" max="1" width="71.33203125" customWidth="1"/>
    <col min="2" max="2" width="55.6640625" customWidth="1"/>
    <col min="3" max="3" width="25.44140625" customWidth="1"/>
    <col min="4" max="4" width="17.6640625" customWidth="1"/>
    <col min="5" max="5" width="22.109375" customWidth="1"/>
    <col min="6" max="6" width="18.5546875" customWidth="1"/>
    <col min="7" max="8" width="12.6640625" customWidth="1"/>
    <col min="9" max="9" width="12.44140625" customWidth="1"/>
    <col min="10" max="10" width="10" bestFit="1" customWidth="1"/>
  </cols>
  <sheetData>
    <row r="1" spans="1:14" ht="24" thickBot="1" x14ac:dyDescent="0.5">
      <c r="A1" s="10" t="s">
        <v>242</v>
      </c>
      <c r="B1" s="38" t="s">
        <v>261</v>
      </c>
    </row>
    <row r="2" spans="1:14" ht="21" thickTop="1" thickBot="1" x14ac:dyDescent="0.45">
      <c r="A2" s="10" t="s">
        <v>243</v>
      </c>
      <c r="B2" t="s">
        <v>280</v>
      </c>
    </row>
    <row r="3" spans="1:14" ht="15" thickTop="1" x14ac:dyDescent="0.3"/>
    <row r="4" spans="1:14" x14ac:dyDescent="0.3">
      <c r="D4" t="s">
        <v>301</v>
      </c>
      <c r="E4" t="s">
        <v>302</v>
      </c>
    </row>
    <row r="5" spans="1:14" x14ac:dyDescent="0.3">
      <c r="A5" t="s">
        <v>269</v>
      </c>
      <c r="B5" t="s">
        <v>270</v>
      </c>
      <c r="C5" s="37">
        <v>582000000000</v>
      </c>
      <c r="D5" s="35">
        <f>VLOOKUP("Plastics, basic", $A$10:$B$209, 2, FALSE)/$C5</f>
        <v>3.6618747807877425E-2</v>
      </c>
      <c r="E5" s="35">
        <f>VLOOKUP("Chemicals nec", $A$10:$B$209, 2, FALSE)/$C5</f>
        <v>4.0855232562764666E-2</v>
      </c>
    </row>
    <row r="6" spans="1:14" x14ac:dyDescent="0.3">
      <c r="A6" t="s">
        <v>271</v>
      </c>
      <c r="B6" t="s">
        <v>272</v>
      </c>
      <c r="C6" s="37">
        <v>416000000000</v>
      </c>
      <c r="D6" s="35">
        <f>VLOOKUP("Plastics, basic", $A$10:$B$209, 2, FALSE)/$C6</f>
        <v>5.1231036596597744E-2</v>
      </c>
      <c r="E6" s="35">
        <f>VLOOKUP("Chemicals nec", $A$10:$B$209, 2, FALSE)/$C6</f>
        <v>5.7158041710406338E-2</v>
      </c>
    </row>
    <row r="7" spans="1:14" x14ac:dyDescent="0.3">
      <c r="A7" t="s">
        <v>273</v>
      </c>
      <c r="B7" t="s">
        <v>274</v>
      </c>
      <c r="C7" s="37">
        <v>74900000000</v>
      </c>
      <c r="D7" s="35">
        <f>VLOOKUP("Plastics, basic", $A$10:$B$209, 2, FALSE)/$C7</f>
        <v>0.28454087081688467</v>
      </c>
      <c r="E7" s="35">
        <f>VLOOKUP("Chemicals nec", $A$10:$B$209, 2, FALSE)/$C7</f>
        <v>0.31745988453309798</v>
      </c>
    </row>
    <row r="9" spans="1:14" x14ac:dyDescent="0.3">
      <c r="A9" s="8" t="s">
        <v>203</v>
      </c>
      <c r="B9" s="8" t="s">
        <v>244</v>
      </c>
      <c r="C9" s="8" t="s">
        <v>263</v>
      </c>
      <c r="D9" s="8" t="s">
        <v>264</v>
      </c>
      <c r="E9" s="8" t="s">
        <v>265</v>
      </c>
      <c r="F9" s="8" t="s">
        <v>266</v>
      </c>
      <c r="G9" s="8" t="s">
        <v>201</v>
      </c>
      <c r="H9" s="8" t="s">
        <v>202</v>
      </c>
    </row>
    <row r="10" spans="1:14" x14ac:dyDescent="0.3">
      <c r="A10" s="9" t="s">
        <v>32</v>
      </c>
      <c r="B10" s="29">
        <f t="shared" ref="B10:B41" si="0">SUM(C10:F10)</f>
        <v>85893511358.259399</v>
      </c>
      <c r="C10" s="4">
        <f>VLOOKUP(A10, output_exiobase_v3.10.2_EXIO_IOT_2019_pxp_Y_imports_footprint_FR[], 2, FALSE)</f>
        <v>74759583.431489974</v>
      </c>
      <c r="D10" s="4">
        <f>VLOOKUP(A10, output_exiobase_v3.10.2_EXIO_IOT_2019_pxp_Z_imports_footprint_FR[], 2, FALSE)</f>
        <v>3356971265.7165279</v>
      </c>
      <c r="E10" s="4">
        <f>VLOOKUP(A10, output_exiobase_v3.10.2_EXIO_IOT_2019_pxp_Y_production_footprint_FR[], 2, FALSE)</f>
        <v>64599679926.000595</v>
      </c>
      <c r="F10" s="4">
        <f>VLOOKUP(A10, output_exiobase_v3.10.2_EXIO_IOT_2019_pxp_Z_production_footprint_FR[], 2, FALSE)</f>
        <v>17862100583.110779</v>
      </c>
      <c r="G10" s="35">
        <f t="shared" ref="G10:G41" si="1">(C10+D10)/B10</f>
        <v>3.9953318881496946E-2</v>
      </c>
      <c r="H10" s="1">
        <f t="shared" ref="H10:H41" si="2">(E10+F10)/B10</f>
        <v>0.960046681118503</v>
      </c>
      <c r="I10" s="6"/>
      <c r="J10" s="5"/>
      <c r="N10" s="7"/>
    </row>
    <row r="11" spans="1:14" x14ac:dyDescent="0.3">
      <c r="A11" s="9" t="s">
        <v>163</v>
      </c>
      <c r="B11" s="29">
        <f t="shared" si="0"/>
        <v>65082726237.441391</v>
      </c>
      <c r="C11" s="4">
        <f>VLOOKUP(A11, output_exiobase_v3.10.2_EXIO_IOT_2019_pxp_Y_imports_footprint_FR[], 2, FALSE)</f>
        <v>29143207035.928654</v>
      </c>
      <c r="D11" s="4">
        <f>VLOOKUP(A11, output_exiobase_v3.10.2_EXIO_IOT_2019_pxp_Z_imports_footprint_FR[], 2, FALSE)</f>
        <v>8903316748.7543678</v>
      </c>
      <c r="E11" s="4">
        <f>VLOOKUP(A11, output_exiobase_v3.10.2_EXIO_IOT_2019_pxp_Y_production_footprint_FR[], 2, FALSE)</f>
        <v>4657172690.1561842</v>
      </c>
      <c r="F11" s="4">
        <f>VLOOKUP(A11, output_exiobase_v3.10.2_EXIO_IOT_2019_pxp_Z_production_footprint_FR[], 2, FALSE)</f>
        <v>22379029762.602184</v>
      </c>
      <c r="G11" s="35">
        <f t="shared" si="1"/>
        <v>0.58458712448335126</v>
      </c>
      <c r="H11" s="1">
        <f t="shared" si="2"/>
        <v>0.41541287551664874</v>
      </c>
      <c r="I11" s="6"/>
      <c r="N11" s="7"/>
    </row>
    <row r="12" spans="1:14" x14ac:dyDescent="0.3">
      <c r="A12" s="9" t="s">
        <v>2</v>
      </c>
      <c r="B12" s="29">
        <f t="shared" si="0"/>
        <v>54704660530.068787</v>
      </c>
      <c r="C12" s="4">
        <f>VLOOKUP(A12, output_exiobase_v3.10.2_EXIO_IOT_2019_pxp_Y_imports_footprint_FR[], 2, FALSE)</f>
        <v>20975693660.748566</v>
      </c>
      <c r="D12" s="4">
        <f>VLOOKUP(A12, output_exiobase_v3.10.2_EXIO_IOT_2019_pxp_Z_imports_footprint_FR[], 2, FALSE)</f>
        <v>3949302272.940721</v>
      </c>
      <c r="E12" s="4">
        <f>VLOOKUP(A12, output_exiobase_v3.10.2_EXIO_IOT_2019_pxp_Y_production_footprint_FR[], 2, FALSE)</f>
        <v>18479110841.169552</v>
      </c>
      <c r="F12" s="4">
        <f>VLOOKUP(A12, output_exiobase_v3.10.2_EXIO_IOT_2019_pxp_Z_production_footprint_FR[], 2, FALSE)</f>
        <v>11300553755.209949</v>
      </c>
      <c r="G12" s="35">
        <f t="shared" si="1"/>
        <v>0.45562838142445089</v>
      </c>
      <c r="H12" s="1">
        <f t="shared" si="2"/>
        <v>0.54437161857554905</v>
      </c>
      <c r="I12" s="6"/>
      <c r="N12" s="7"/>
    </row>
    <row r="13" spans="1:14" x14ac:dyDescent="0.3">
      <c r="A13" s="9" t="s">
        <v>111</v>
      </c>
      <c r="B13" s="29">
        <f t="shared" si="0"/>
        <v>53326698100.675964</v>
      </c>
      <c r="C13" s="4">
        <f>VLOOKUP(A13, output_exiobase_v3.10.2_EXIO_IOT_2019_pxp_Y_imports_footprint_FR[], 2, FALSE)</f>
        <v>677682944.14717865</v>
      </c>
      <c r="D13" s="4">
        <f>VLOOKUP(A13, output_exiobase_v3.10.2_EXIO_IOT_2019_pxp_Z_imports_footprint_FR[], 2, FALSE)</f>
        <v>4468669585.6983595</v>
      </c>
      <c r="E13" s="4">
        <f>VLOOKUP(A13, output_exiobase_v3.10.2_EXIO_IOT_2019_pxp_Y_production_footprint_FR[], 2, FALSE)</f>
        <v>8232807505.982132</v>
      </c>
      <c r="F13" s="4">
        <f>VLOOKUP(A13, output_exiobase_v3.10.2_EXIO_IOT_2019_pxp_Z_production_footprint_FR[], 2, FALSE)</f>
        <v>39947538064.848289</v>
      </c>
      <c r="G13" s="35">
        <f t="shared" si="1"/>
        <v>9.6506116319628341E-2</v>
      </c>
      <c r="H13" s="1">
        <f t="shared" si="2"/>
        <v>0.90349388368037153</v>
      </c>
      <c r="I13" s="6"/>
      <c r="N13" s="7"/>
    </row>
    <row r="14" spans="1:14" x14ac:dyDescent="0.3">
      <c r="A14" s="9" t="s">
        <v>60</v>
      </c>
      <c r="B14" s="29">
        <f t="shared" si="0"/>
        <v>44252500825.678337</v>
      </c>
      <c r="C14" s="4">
        <f>VLOOKUP(A14, output_exiobase_v3.10.2_EXIO_IOT_2019_pxp_Y_imports_footprint_FR[], 2, FALSE)</f>
        <v>11632525975.69875</v>
      </c>
      <c r="D14" s="4">
        <f>VLOOKUP(A14, output_exiobase_v3.10.2_EXIO_IOT_2019_pxp_Z_imports_footprint_FR[], 2, FALSE)</f>
        <v>2435408573.3835025</v>
      </c>
      <c r="E14" s="4">
        <f>VLOOKUP(A14, output_exiobase_v3.10.2_EXIO_IOT_2019_pxp_Y_production_footprint_FR[], 2, FALSE)</f>
        <v>20325394118.119194</v>
      </c>
      <c r="F14" s="4">
        <f>VLOOKUP(A14, output_exiobase_v3.10.2_EXIO_IOT_2019_pxp_Z_production_footprint_FR[], 2, FALSE)</f>
        <v>9859172158.4768887</v>
      </c>
      <c r="G14" s="35">
        <f t="shared" si="1"/>
        <v>0.31790145837179606</v>
      </c>
      <c r="H14" s="1">
        <f t="shared" si="2"/>
        <v>0.68209854162820394</v>
      </c>
      <c r="I14" s="6"/>
      <c r="N14" s="7"/>
    </row>
    <row r="15" spans="1:14" x14ac:dyDescent="0.3">
      <c r="A15" s="9" t="s">
        <v>75</v>
      </c>
      <c r="B15" s="29">
        <f t="shared" si="0"/>
        <v>40532549940.842987</v>
      </c>
      <c r="C15" s="4">
        <f>VLOOKUP(A15, output_exiobase_v3.10.2_EXIO_IOT_2019_pxp_Y_imports_footprint_FR[], 2, FALSE)</f>
        <v>1380697856.8026955</v>
      </c>
      <c r="D15" s="4">
        <f>VLOOKUP(A15, output_exiobase_v3.10.2_EXIO_IOT_2019_pxp_Z_imports_footprint_FR[], 2, FALSE)</f>
        <v>10612551826.966524</v>
      </c>
      <c r="E15" s="4">
        <f>VLOOKUP(A15, output_exiobase_v3.10.2_EXIO_IOT_2019_pxp_Y_production_footprint_FR[], 2, FALSE)</f>
        <v>16847623999.143028</v>
      </c>
      <c r="F15" s="4">
        <f>VLOOKUP(A15, output_exiobase_v3.10.2_EXIO_IOT_2019_pxp_Z_production_footprint_FR[], 2, FALSE)</f>
        <v>11691676257.930744</v>
      </c>
      <c r="G15" s="35">
        <f t="shared" si="1"/>
        <v>0.29589181290773209</v>
      </c>
      <c r="H15" s="1">
        <f t="shared" si="2"/>
        <v>0.70410818709226808</v>
      </c>
      <c r="I15" s="6"/>
      <c r="N15" s="7"/>
    </row>
    <row r="16" spans="1:14" x14ac:dyDescent="0.3">
      <c r="A16" s="9" t="s">
        <v>37</v>
      </c>
      <c r="B16" s="29">
        <f t="shared" si="0"/>
        <v>40401349170.788376</v>
      </c>
      <c r="C16" s="4">
        <f>VLOOKUP(A16, output_exiobase_v3.10.2_EXIO_IOT_2019_pxp_Y_imports_footprint_FR[], 2, FALSE)</f>
        <v>3638820113.7497563</v>
      </c>
      <c r="D16" s="4">
        <f>VLOOKUP(A16, output_exiobase_v3.10.2_EXIO_IOT_2019_pxp_Z_imports_footprint_FR[], 2, FALSE)</f>
        <v>2257810206.7729764</v>
      </c>
      <c r="E16" s="4">
        <f>VLOOKUP(A16, output_exiobase_v3.10.2_EXIO_IOT_2019_pxp_Y_production_footprint_FR[], 2, FALSE)</f>
        <v>15898147391.009407</v>
      </c>
      <c r="F16" s="4">
        <f>VLOOKUP(A16, output_exiobase_v3.10.2_EXIO_IOT_2019_pxp_Z_production_footprint_FR[], 2, FALSE)</f>
        <v>18606571459.256233</v>
      </c>
      <c r="G16" s="35">
        <f t="shared" si="1"/>
        <v>0.14595132196194596</v>
      </c>
      <c r="H16" s="1">
        <f t="shared" si="2"/>
        <v>0.85404867803805395</v>
      </c>
      <c r="I16" s="6"/>
      <c r="N16" s="7"/>
    </row>
    <row r="17" spans="1:14" x14ac:dyDescent="0.3">
      <c r="A17" s="9" t="s">
        <v>194</v>
      </c>
      <c r="B17" s="29">
        <f t="shared" si="0"/>
        <v>38338633018.645386</v>
      </c>
      <c r="C17" s="4">
        <f>VLOOKUP(A17, output_exiobase_v3.10.2_EXIO_IOT_2019_pxp_Y_imports_footprint_FR[], 2, FALSE)</f>
        <v>0</v>
      </c>
      <c r="D17" s="4">
        <f>VLOOKUP(A17, output_exiobase_v3.10.2_EXIO_IOT_2019_pxp_Z_imports_footprint_FR[], 2, FALSE)</f>
        <v>1694447797.7466333</v>
      </c>
      <c r="E17" s="4">
        <f>VLOOKUP(A17, output_exiobase_v3.10.2_EXIO_IOT_2019_pxp_Y_production_footprint_FR[], 2, FALSE)</f>
        <v>13558666202.049639</v>
      </c>
      <c r="F17" s="4">
        <f>VLOOKUP(A17, output_exiobase_v3.10.2_EXIO_IOT_2019_pxp_Z_production_footprint_FR[], 2, FALSE)</f>
        <v>23085519018.849113</v>
      </c>
      <c r="G17" s="35">
        <f t="shared" si="1"/>
        <v>4.4196875692530967E-2</v>
      </c>
      <c r="H17" s="1">
        <f t="shared" si="2"/>
        <v>0.95580312430746894</v>
      </c>
      <c r="I17" s="6"/>
      <c r="N17" s="7"/>
    </row>
    <row r="18" spans="1:14" ht="13.95" customHeight="1" x14ac:dyDescent="0.3">
      <c r="A18" s="9" t="s">
        <v>97</v>
      </c>
      <c r="B18" s="29">
        <f t="shared" si="0"/>
        <v>37570119338.157326</v>
      </c>
      <c r="C18" s="4">
        <f>VLOOKUP(A18, output_exiobase_v3.10.2_EXIO_IOT_2019_pxp_Y_imports_footprint_FR[], 2, FALSE)</f>
        <v>19021241301.188519</v>
      </c>
      <c r="D18" s="4">
        <f>VLOOKUP(A18, output_exiobase_v3.10.2_EXIO_IOT_2019_pxp_Z_imports_footprint_FR[], 2, FALSE)</f>
        <v>4438498530.8410425</v>
      </c>
      <c r="E18" s="4">
        <f>VLOOKUP(A18, output_exiobase_v3.10.2_EXIO_IOT_2019_pxp_Y_production_footprint_FR[], 2, FALSE)</f>
        <v>7903322972.9330845</v>
      </c>
      <c r="F18" s="4">
        <f>VLOOKUP(A18, output_exiobase_v3.10.2_EXIO_IOT_2019_pxp_Z_production_footprint_FR[], 2, FALSE)</f>
        <v>6207056533.1946821</v>
      </c>
      <c r="G18" s="35">
        <f t="shared" si="1"/>
        <v>0.62442548081563198</v>
      </c>
      <c r="H18" s="1">
        <f t="shared" si="2"/>
        <v>0.37557451918436807</v>
      </c>
      <c r="I18" s="6"/>
      <c r="N18" s="7"/>
    </row>
    <row r="19" spans="1:14" x14ac:dyDescent="0.3">
      <c r="A19" s="9" t="s">
        <v>19</v>
      </c>
      <c r="B19" s="29">
        <f t="shared" si="0"/>
        <v>34048713561.719547</v>
      </c>
      <c r="C19" s="4">
        <f>VLOOKUP(A19, output_exiobase_v3.10.2_EXIO_IOT_2019_pxp_Y_imports_footprint_FR[], 2, FALSE)</f>
        <v>102923540.06489006</v>
      </c>
      <c r="D19" s="4">
        <f>VLOOKUP(A19, output_exiobase_v3.10.2_EXIO_IOT_2019_pxp_Z_imports_footprint_FR[], 2, FALSE)</f>
        <v>432879245.89105928</v>
      </c>
      <c r="E19" s="4">
        <f>VLOOKUP(A19, output_exiobase_v3.10.2_EXIO_IOT_2019_pxp_Y_production_footprint_FR[], 2, FALSE)</f>
        <v>3554699876.2238598</v>
      </c>
      <c r="F19" s="4">
        <f>VLOOKUP(A19, output_exiobase_v3.10.2_EXIO_IOT_2019_pxp_Z_production_footprint_FR[], 2, FALSE)</f>
        <v>29958210899.539738</v>
      </c>
      <c r="G19" s="35">
        <f t="shared" si="1"/>
        <v>1.5736359172122856E-2</v>
      </c>
      <c r="H19" s="1">
        <f t="shared" si="2"/>
        <v>0.9842636408278771</v>
      </c>
      <c r="I19" s="6"/>
      <c r="N19" s="7"/>
    </row>
    <row r="20" spans="1:14" x14ac:dyDescent="0.3">
      <c r="A20" s="9" t="s">
        <v>151</v>
      </c>
      <c r="B20" s="29">
        <f t="shared" si="0"/>
        <v>31022705215.898613</v>
      </c>
      <c r="C20" s="4">
        <f>VLOOKUP(A20, output_exiobase_v3.10.2_EXIO_IOT_2019_pxp_Y_imports_footprint_FR[], 2, FALSE)</f>
        <v>0</v>
      </c>
      <c r="D20" s="4">
        <f>VLOOKUP(A20, output_exiobase_v3.10.2_EXIO_IOT_2019_pxp_Z_imports_footprint_FR[], 2, FALSE)</f>
        <v>0</v>
      </c>
      <c r="E20" s="4">
        <f>VLOOKUP(A20, output_exiobase_v3.10.2_EXIO_IOT_2019_pxp_Y_production_footprint_FR[], 2, FALSE)</f>
        <v>157985756.3146638</v>
      </c>
      <c r="F20" s="4">
        <f>VLOOKUP(A20, output_exiobase_v3.10.2_EXIO_IOT_2019_pxp_Z_production_footprint_FR[], 2, FALSE)</f>
        <v>30864719459.58395</v>
      </c>
      <c r="G20" s="35">
        <f t="shared" si="1"/>
        <v>0</v>
      </c>
      <c r="H20" s="1">
        <f t="shared" si="2"/>
        <v>1</v>
      </c>
      <c r="I20" s="6"/>
      <c r="N20" s="7"/>
    </row>
    <row r="21" spans="1:14" x14ac:dyDescent="0.3">
      <c r="A21" s="9" t="s">
        <v>10</v>
      </c>
      <c r="B21" s="29">
        <f t="shared" si="0"/>
        <v>30867804771.358448</v>
      </c>
      <c r="C21" s="4">
        <f>VLOOKUP(A21, output_exiobase_v3.10.2_EXIO_IOT_2019_pxp_Y_imports_footprint_FR[], 2, FALSE)</f>
        <v>70363733.808913559</v>
      </c>
      <c r="D21" s="4">
        <f>VLOOKUP(A21, output_exiobase_v3.10.2_EXIO_IOT_2019_pxp_Z_imports_footprint_FR[], 2, FALSE)</f>
        <v>14203273447.33683</v>
      </c>
      <c r="E21" s="4">
        <f>VLOOKUP(A21, output_exiobase_v3.10.2_EXIO_IOT_2019_pxp_Y_production_footprint_FR[], 2, FALSE)</f>
        <v>566550791.0058291</v>
      </c>
      <c r="F21" s="4">
        <f>VLOOKUP(A21, output_exiobase_v3.10.2_EXIO_IOT_2019_pxp_Z_production_footprint_FR[], 2, FALSE)</f>
        <v>16027616799.206875</v>
      </c>
      <c r="G21" s="35">
        <f t="shared" si="1"/>
        <v>0.46241180047859887</v>
      </c>
      <c r="H21" s="1">
        <f t="shared" si="2"/>
        <v>0.53758819952140113</v>
      </c>
      <c r="I21" s="6"/>
      <c r="N21" s="7"/>
    </row>
    <row r="22" spans="1:14" x14ac:dyDescent="0.3">
      <c r="A22" s="9" t="s">
        <v>56</v>
      </c>
      <c r="B22" s="29">
        <f t="shared" si="0"/>
        <v>29388791703.138756</v>
      </c>
      <c r="C22" s="4">
        <f>VLOOKUP(A22, output_exiobase_v3.10.2_EXIO_IOT_2019_pxp_Y_imports_footprint_FR[], 2, FALSE)</f>
        <v>4106733119.0490699</v>
      </c>
      <c r="D22" s="4">
        <f>VLOOKUP(A22, output_exiobase_v3.10.2_EXIO_IOT_2019_pxp_Z_imports_footprint_FR[], 2, FALSE)</f>
        <v>9464299253.8085136</v>
      </c>
      <c r="E22" s="4">
        <f>VLOOKUP(A22, output_exiobase_v3.10.2_EXIO_IOT_2019_pxp_Y_production_footprint_FR[], 2, FALSE)</f>
        <v>3484114481.222156</v>
      </c>
      <c r="F22" s="4">
        <f>VLOOKUP(A22, output_exiobase_v3.10.2_EXIO_IOT_2019_pxp_Z_production_footprint_FR[], 2, FALSE)</f>
        <v>12333644849.059015</v>
      </c>
      <c r="G22" s="35">
        <f t="shared" si="1"/>
        <v>0.4617757854743032</v>
      </c>
      <c r="H22" s="1">
        <f t="shared" si="2"/>
        <v>0.5382242145256968</v>
      </c>
      <c r="I22" s="6"/>
      <c r="N22" s="7"/>
    </row>
    <row r="23" spans="1:14" x14ac:dyDescent="0.3">
      <c r="A23" s="9" t="s">
        <v>36</v>
      </c>
      <c r="B23" s="29">
        <f t="shared" si="0"/>
        <v>28056164238.409363</v>
      </c>
      <c r="C23" s="4">
        <f>VLOOKUP(A23, output_exiobase_v3.10.2_EXIO_IOT_2019_pxp_Y_imports_footprint_FR[], 2, FALSE)</f>
        <v>8.6081898540471156E-4</v>
      </c>
      <c r="D23" s="4">
        <f>VLOOKUP(A23, output_exiobase_v3.10.2_EXIO_IOT_2019_pxp_Z_imports_footprint_FR[], 2, FALSE)</f>
        <v>25038831499.249413</v>
      </c>
      <c r="E23" s="4">
        <f>VLOOKUP(A23, output_exiobase_v3.10.2_EXIO_IOT_2019_pxp_Y_production_footprint_FR[], 2, FALSE)</f>
        <v>251633.77835600157</v>
      </c>
      <c r="F23" s="4">
        <f>VLOOKUP(A23, output_exiobase_v3.10.2_EXIO_IOT_2019_pxp_Z_production_footprint_FR[], 2, FALSE)</f>
        <v>3017081105.3807349</v>
      </c>
      <c r="G23" s="35">
        <f t="shared" si="1"/>
        <v>0.89245383960832714</v>
      </c>
      <c r="H23" s="1">
        <f t="shared" si="2"/>
        <v>0.1075461603916729</v>
      </c>
      <c r="I23" s="6"/>
      <c r="N23" s="7"/>
    </row>
    <row r="24" spans="1:14" x14ac:dyDescent="0.3">
      <c r="A24" s="9" t="s">
        <v>144</v>
      </c>
      <c r="B24" s="29">
        <f t="shared" si="0"/>
        <v>26612771206.617611</v>
      </c>
      <c r="C24" s="4">
        <f>VLOOKUP(A24, output_exiobase_v3.10.2_EXIO_IOT_2019_pxp_Y_imports_footprint_FR[], 2, FALSE)</f>
        <v>1329316667.6921356</v>
      </c>
      <c r="D24" s="4">
        <f>VLOOKUP(A24, output_exiobase_v3.10.2_EXIO_IOT_2019_pxp_Z_imports_footprint_FR[], 2, FALSE)</f>
        <v>1121878487.771446</v>
      </c>
      <c r="E24" s="4">
        <f>VLOOKUP(A24, output_exiobase_v3.10.2_EXIO_IOT_2019_pxp_Y_production_footprint_FR[], 2, FALSE)</f>
        <v>14781711747.073862</v>
      </c>
      <c r="F24" s="4">
        <f>VLOOKUP(A24, output_exiobase_v3.10.2_EXIO_IOT_2019_pxp_Z_production_footprint_FR[], 2, FALSE)</f>
        <v>9379864304.0801659</v>
      </c>
      <c r="G24" s="35">
        <f t="shared" si="1"/>
        <v>9.2105971844602938E-2</v>
      </c>
      <c r="H24" s="1">
        <f t="shared" si="2"/>
        <v>0.9078940281553971</v>
      </c>
      <c r="I24" s="6"/>
      <c r="N24" s="7"/>
    </row>
    <row r="25" spans="1:14" x14ac:dyDescent="0.3">
      <c r="A25" s="9" t="s">
        <v>105</v>
      </c>
      <c r="B25" s="29">
        <f t="shared" si="0"/>
        <v>26160138971.931076</v>
      </c>
      <c r="C25" s="4">
        <f>VLOOKUP(A25, output_exiobase_v3.10.2_EXIO_IOT_2019_pxp_Y_imports_footprint_FR[], 2, FALSE)</f>
        <v>5442900411.1810236</v>
      </c>
      <c r="D25" s="4">
        <f>VLOOKUP(A25, output_exiobase_v3.10.2_EXIO_IOT_2019_pxp_Z_imports_footprint_FR[], 2, FALSE)</f>
        <v>2669256426.4850211</v>
      </c>
      <c r="E25" s="4">
        <f>VLOOKUP(A25, output_exiobase_v3.10.2_EXIO_IOT_2019_pxp_Y_production_footprint_FR[], 2, FALSE)</f>
        <v>1710626785.5738254</v>
      </c>
      <c r="F25" s="4">
        <f>VLOOKUP(A25, output_exiobase_v3.10.2_EXIO_IOT_2019_pxp_Z_production_footprint_FR[], 2, FALSE)</f>
        <v>16337355348.691204</v>
      </c>
      <c r="G25" s="35">
        <f t="shared" si="1"/>
        <v>0.31009609109378616</v>
      </c>
      <c r="H25" s="1">
        <f t="shared" si="2"/>
        <v>0.68990390890621378</v>
      </c>
      <c r="N25" s="7"/>
    </row>
    <row r="26" spans="1:14" x14ac:dyDescent="0.3">
      <c r="A26" s="9" t="s">
        <v>117</v>
      </c>
      <c r="B26" s="29">
        <f t="shared" si="0"/>
        <v>25137549626.708752</v>
      </c>
      <c r="C26" s="4">
        <f>VLOOKUP(A26, output_exiobase_v3.10.2_EXIO_IOT_2019_pxp_Y_imports_footprint_FR[], 2, FALSE)</f>
        <v>2476404276.9035873</v>
      </c>
      <c r="D26" s="4">
        <f>VLOOKUP(A26, output_exiobase_v3.10.2_EXIO_IOT_2019_pxp_Z_imports_footprint_FR[], 2, FALSE)</f>
        <v>5906684249.2905178</v>
      </c>
      <c r="E26" s="4">
        <f>VLOOKUP(A26, output_exiobase_v3.10.2_EXIO_IOT_2019_pxp_Y_production_footprint_FR[], 2, FALSE)</f>
        <v>10563615292.604666</v>
      </c>
      <c r="F26" s="4">
        <f>VLOOKUP(A26, output_exiobase_v3.10.2_EXIO_IOT_2019_pxp_Z_production_footprint_FR[], 2, FALSE)</f>
        <v>6190845807.9099817</v>
      </c>
      <c r="G26" s="35">
        <f t="shared" si="1"/>
        <v>0.3334886912480538</v>
      </c>
      <c r="H26" s="1">
        <f t="shared" si="2"/>
        <v>0.66651130875194631</v>
      </c>
      <c r="N26" s="7"/>
    </row>
    <row r="27" spans="1:14" x14ac:dyDescent="0.3">
      <c r="A27" s="9" t="s">
        <v>112</v>
      </c>
      <c r="B27" s="29">
        <f t="shared" si="0"/>
        <v>24918697248.798706</v>
      </c>
      <c r="C27" s="4">
        <f>VLOOKUP(A27, output_exiobase_v3.10.2_EXIO_IOT_2019_pxp_Y_imports_footprint_FR[], 2, FALSE)</f>
        <v>1101222659.8101907</v>
      </c>
      <c r="D27" s="4">
        <f>VLOOKUP(A27, output_exiobase_v3.10.2_EXIO_IOT_2019_pxp_Z_imports_footprint_FR[], 2, FALSE)</f>
        <v>7283587042.7301035</v>
      </c>
      <c r="E27" s="4">
        <f>VLOOKUP(A27, output_exiobase_v3.10.2_EXIO_IOT_2019_pxp_Y_production_footprint_FR[], 2, FALSE)</f>
        <v>6870847093.9539757</v>
      </c>
      <c r="F27" s="4">
        <f>VLOOKUP(A27, output_exiobase_v3.10.2_EXIO_IOT_2019_pxp_Z_production_footprint_FR[], 2, FALSE)</f>
        <v>9663040452.3044376</v>
      </c>
      <c r="G27" s="35">
        <f t="shared" si="1"/>
        <v>0.33648667981407071</v>
      </c>
      <c r="H27" s="1">
        <f t="shared" si="2"/>
        <v>0.66351332018592935</v>
      </c>
      <c r="N27" s="7"/>
    </row>
    <row r="28" spans="1:14" x14ac:dyDescent="0.3">
      <c r="A28" s="9" t="s">
        <v>25</v>
      </c>
      <c r="B28" s="29">
        <f t="shared" si="0"/>
        <v>23777745351.529037</v>
      </c>
      <c r="C28" s="4">
        <f>VLOOKUP(A28, output_exiobase_v3.10.2_EXIO_IOT_2019_pxp_Y_imports_footprint_FR[], 2, FALSE)</f>
        <v>6899700806.8565512</v>
      </c>
      <c r="D28" s="4">
        <f>VLOOKUP(A28, output_exiobase_v3.10.2_EXIO_IOT_2019_pxp_Z_imports_footprint_FR[], 2, FALSE)</f>
        <v>4812645425.6853466</v>
      </c>
      <c r="E28" s="4">
        <f>VLOOKUP(A28, output_exiobase_v3.10.2_EXIO_IOT_2019_pxp_Y_production_footprint_FR[], 2, FALSE)</f>
        <v>4974657436.0649614</v>
      </c>
      <c r="F28" s="4">
        <f>VLOOKUP(A28, output_exiobase_v3.10.2_EXIO_IOT_2019_pxp_Z_production_footprint_FR[], 2, FALSE)</f>
        <v>7090741682.9221792</v>
      </c>
      <c r="G28" s="35">
        <f t="shared" si="1"/>
        <v>0.49257598058130142</v>
      </c>
      <c r="H28" s="1">
        <f t="shared" si="2"/>
        <v>0.50742401941869864</v>
      </c>
      <c r="K28" s="6"/>
      <c r="N28" s="7"/>
    </row>
    <row r="29" spans="1:14" x14ac:dyDescent="0.3">
      <c r="A29" s="9" t="s">
        <v>20</v>
      </c>
      <c r="B29" s="29">
        <f t="shared" si="0"/>
        <v>23283440965.037785</v>
      </c>
      <c r="C29" s="4">
        <f>VLOOKUP(A29, output_exiobase_v3.10.2_EXIO_IOT_2019_pxp_Y_imports_footprint_FR[], 2, FALSE)</f>
        <v>3729344.4208797575</v>
      </c>
      <c r="D29" s="4">
        <f>VLOOKUP(A29, output_exiobase_v3.10.2_EXIO_IOT_2019_pxp_Z_imports_footprint_FR[], 2, FALSE)</f>
        <v>4738929843.8319063</v>
      </c>
      <c r="E29" s="4">
        <f>VLOOKUP(A29, output_exiobase_v3.10.2_EXIO_IOT_2019_pxp_Y_production_footprint_FR[], 2, FALSE)</f>
        <v>40340028.292639524</v>
      </c>
      <c r="F29" s="4">
        <f>VLOOKUP(A29, output_exiobase_v3.10.2_EXIO_IOT_2019_pxp_Z_production_footprint_FR[], 2, FALSE)</f>
        <v>18500441748.492359</v>
      </c>
      <c r="G29" s="35">
        <f t="shared" si="1"/>
        <v>0.20369236640642258</v>
      </c>
      <c r="H29" s="1">
        <f t="shared" si="2"/>
        <v>0.79630763359357748</v>
      </c>
      <c r="K29" s="6"/>
      <c r="N29" s="7"/>
    </row>
    <row r="30" spans="1:14" x14ac:dyDescent="0.3">
      <c r="A30" s="9" t="s">
        <v>135</v>
      </c>
      <c r="B30" s="29">
        <f t="shared" si="0"/>
        <v>21312111224.184662</v>
      </c>
      <c r="C30" s="4">
        <f>VLOOKUP(A30, output_exiobase_v3.10.2_EXIO_IOT_2019_pxp_Y_imports_footprint_FR[], 2, FALSE)</f>
        <v>4353671937.6599617</v>
      </c>
      <c r="D30" s="4">
        <f>VLOOKUP(A30, output_exiobase_v3.10.2_EXIO_IOT_2019_pxp_Z_imports_footprint_FR[], 2, FALSE)</f>
        <v>157560177.41904041</v>
      </c>
      <c r="E30" s="4">
        <f>VLOOKUP(A30, output_exiobase_v3.10.2_EXIO_IOT_2019_pxp_Y_production_footprint_FR[], 2, FALSE)</f>
        <v>8264764742.9402971</v>
      </c>
      <c r="F30" s="4">
        <f>VLOOKUP(A30, output_exiobase_v3.10.2_EXIO_IOT_2019_pxp_Z_production_footprint_FR[], 2, FALSE)</f>
        <v>8536114366.1653633</v>
      </c>
      <c r="G30" s="35">
        <f t="shared" si="1"/>
        <v>0.21167457637700973</v>
      </c>
      <c r="H30" s="1">
        <f t="shared" si="2"/>
        <v>0.7883254236229903</v>
      </c>
      <c r="K30" s="6"/>
      <c r="N30" s="7"/>
    </row>
    <row r="31" spans="1:14" x14ac:dyDescent="0.3">
      <c r="A31" s="9" t="s">
        <v>160</v>
      </c>
      <c r="B31" s="29">
        <f t="shared" si="0"/>
        <v>20597201343.831238</v>
      </c>
      <c r="C31" s="4">
        <f>VLOOKUP(A31, output_exiobase_v3.10.2_EXIO_IOT_2019_pxp_Y_imports_footprint_FR[], 2, FALSE)</f>
        <v>2830733213.2692246</v>
      </c>
      <c r="D31" s="4">
        <f>VLOOKUP(A31, output_exiobase_v3.10.2_EXIO_IOT_2019_pxp_Z_imports_footprint_FR[], 2, FALSE)</f>
        <v>10172790226.097872</v>
      </c>
      <c r="E31" s="4">
        <f>VLOOKUP(A31, output_exiobase_v3.10.2_EXIO_IOT_2019_pxp_Y_production_footprint_FR[], 2, FALSE)</f>
        <v>1552181339.3074796</v>
      </c>
      <c r="F31" s="4">
        <f>VLOOKUP(A31, output_exiobase_v3.10.2_EXIO_IOT_2019_pxp_Z_production_footprint_FR[], 2, FALSE)</f>
        <v>6041496565.1566601</v>
      </c>
      <c r="G31" s="35">
        <f t="shared" si="1"/>
        <v>0.63132477186089109</v>
      </c>
      <c r="H31" s="1">
        <f t="shared" si="2"/>
        <v>0.3686752281391088</v>
      </c>
      <c r="N31" s="7"/>
    </row>
    <row r="32" spans="1:14" x14ac:dyDescent="0.3">
      <c r="A32" s="9" t="s">
        <v>158</v>
      </c>
      <c r="B32" s="29">
        <f t="shared" si="0"/>
        <v>20554163208.816296</v>
      </c>
      <c r="C32" s="4">
        <f>VLOOKUP(A32, output_exiobase_v3.10.2_EXIO_IOT_2019_pxp_Y_imports_footprint_FR[], 2, FALSE)</f>
        <v>2485561.1677312627</v>
      </c>
      <c r="D32" s="4">
        <f>VLOOKUP(A32, output_exiobase_v3.10.2_EXIO_IOT_2019_pxp_Z_imports_footprint_FR[], 2, FALSE)</f>
        <v>817733382.70816183</v>
      </c>
      <c r="E32" s="4">
        <f>VLOOKUP(A32, output_exiobase_v3.10.2_EXIO_IOT_2019_pxp_Y_production_footprint_FR[], 2, FALSE)</f>
        <v>18039281517.153397</v>
      </c>
      <c r="F32" s="4">
        <f>VLOOKUP(A32, output_exiobase_v3.10.2_EXIO_IOT_2019_pxp_Z_production_footprint_FR[], 2, FALSE)</f>
        <v>1694662747.7870066</v>
      </c>
      <c r="G32" s="35">
        <f t="shared" si="1"/>
        <v>3.9905246228855315E-2</v>
      </c>
      <c r="H32" s="1">
        <f t="shared" si="2"/>
        <v>0.96009475377114473</v>
      </c>
      <c r="N32" s="7"/>
    </row>
    <row r="33" spans="1:14" x14ac:dyDescent="0.3">
      <c r="A33" s="9" t="s">
        <v>70</v>
      </c>
      <c r="B33" s="29">
        <f t="shared" si="0"/>
        <v>19573223827.501362</v>
      </c>
      <c r="C33" s="4">
        <f>VLOOKUP(A33, output_exiobase_v3.10.2_EXIO_IOT_2019_pxp_Y_imports_footprint_FR[], 2, FALSE)</f>
        <v>3726543939.0923433</v>
      </c>
      <c r="D33" s="4">
        <f>VLOOKUP(A33, output_exiobase_v3.10.2_EXIO_IOT_2019_pxp_Z_imports_footprint_FR[], 2, FALSE)</f>
        <v>6349206594.4815979</v>
      </c>
      <c r="E33" s="4">
        <f>VLOOKUP(A33, output_exiobase_v3.10.2_EXIO_IOT_2019_pxp_Y_production_footprint_FR[], 2, FALSE)</f>
        <v>732980364.43196607</v>
      </c>
      <c r="F33" s="4">
        <f>VLOOKUP(A33, output_exiobase_v3.10.2_EXIO_IOT_2019_pxp_Z_production_footprint_FR[], 2, FALSE)</f>
        <v>8764492929.4954548</v>
      </c>
      <c r="G33" s="35">
        <f t="shared" si="1"/>
        <v>0.51477215109638741</v>
      </c>
      <c r="H33" s="1">
        <f t="shared" si="2"/>
        <v>0.48522784890361265</v>
      </c>
      <c r="N33" s="7"/>
    </row>
    <row r="34" spans="1:14" x14ac:dyDescent="0.3">
      <c r="A34" s="9" t="s">
        <v>182</v>
      </c>
      <c r="B34" s="29">
        <f t="shared" si="0"/>
        <v>19552951873.925156</v>
      </c>
      <c r="C34" s="4">
        <f>VLOOKUP(A34, output_exiobase_v3.10.2_EXIO_IOT_2019_pxp_Y_imports_footprint_FR[], 2, FALSE)</f>
        <v>127950698.77430949</v>
      </c>
      <c r="D34" s="4">
        <f>VLOOKUP(A34, output_exiobase_v3.10.2_EXIO_IOT_2019_pxp_Z_imports_footprint_FR[], 2, FALSE)</f>
        <v>2352479078.8087997</v>
      </c>
      <c r="E34" s="4">
        <f>VLOOKUP(A34, output_exiobase_v3.10.2_EXIO_IOT_2019_pxp_Y_production_footprint_FR[], 2, FALSE)</f>
        <v>3595173215.2354894</v>
      </c>
      <c r="F34" s="4">
        <f>VLOOKUP(A34, output_exiobase_v3.10.2_EXIO_IOT_2019_pxp_Z_production_footprint_FR[], 2, FALSE)</f>
        <v>13477348881.106556</v>
      </c>
      <c r="G34" s="35">
        <f t="shared" si="1"/>
        <v>0.12685704918503313</v>
      </c>
      <c r="H34" s="1">
        <f t="shared" si="2"/>
        <v>0.87314295081496673</v>
      </c>
      <c r="N34" s="7"/>
    </row>
    <row r="35" spans="1:14" x14ac:dyDescent="0.3">
      <c r="A35" s="9" t="s">
        <v>67</v>
      </c>
      <c r="B35" s="29">
        <f t="shared" si="0"/>
        <v>18303703662.528244</v>
      </c>
      <c r="C35" s="4">
        <f>VLOOKUP(A35, output_exiobase_v3.10.2_EXIO_IOT_2019_pxp_Y_imports_footprint_FR[], 2, FALSE)</f>
        <v>7276464537.3672953</v>
      </c>
      <c r="D35" s="4">
        <f>VLOOKUP(A35, output_exiobase_v3.10.2_EXIO_IOT_2019_pxp_Z_imports_footprint_FR[], 2, FALSE)</f>
        <v>6117104965.4510469</v>
      </c>
      <c r="E35" s="4">
        <f>VLOOKUP(A35, output_exiobase_v3.10.2_EXIO_IOT_2019_pxp_Y_production_footprint_FR[], 2, FALSE)</f>
        <v>3584985282.2990103</v>
      </c>
      <c r="F35" s="4">
        <f>VLOOKUP(A35, output_exiobase_v3.10.2_EXIO_IOT_2019_pxp_Z_production_footprint_FR[], 2, FALSE)</f>
        <v>1325148877.4108906</v>
      </c>
      <c r="G35" s="35">
        <f t="shared" si="1"/>
        <v>0.73174094979684146</v>
      </c>
      <c r="H35" s="1">
        <f t="shared" si="2"/>
        <v>0.26825905020315854</v>
      </c>
      <c r="N35" s="7"/>
    </row>
    <row r="36" spans="1:14" x14ac:dyDescent="0.3">
      <c r="A36" s="9" t="s">
        <v>89</v>
      </c>
      <c r="B36" s="29">
        <f t="shared" si="0"/>
        <v>17818846238.713886</v>
      </c>
      <c r="C36" s="4">
        <f>VLOOKUP(A36, output_exiobase_v3.10.2_EXIO_IOT_2019_pxp_Y_imports_footprint_FR[], 2, FALSE)</f>
        <v>4659773121.4034719</v>
      </c>
      <c r="D36" s="4">
        <f>VLOOKUP(A36, output_exiobase_v3.10.2_EXIO_IOT_2019_pxp_Z_imports_footprint_FR[], 2, FALSE)</f>
        <v>4726843792.329051</v>
      </c>
      <c r="E36" s="4">
        <f>VLOOKUP(A36, output_exiobase_v3.10.2_EXIO_IOT_2019_pxp_Y_production_footprint_FR[], 2, FALSE)</f>
        <v>4213908289.7183037</v>
      </c>
      <c r="F36" s="4">
        <f>VLOOKUP(A36, output_exiobase_v3.10.2_EXIO_IOT_2019_pxp_Z_production_footprint_FR[], 2, FALSE)</f>
        <v>4218321035.2630606</v>
      </c>
      <c r="G36" s="35">
        <f t="shared" si="1"/>
        <v>0.52678028577062475</v>
      </c>
      <c r="H36" s="1">
        <f t="shared" si="2"/>
        <v>0.47321971422937531</v>
      </c>
      <c r="N36" s="7"/>
    </row>
    <row r="37" spans="1:14" x14ac:dyDescent="0.3">
      <c r="A37" s="9" t="s">
        <v>96</v>
      </c>
      <c r="B37" s="29">
        <f t="shared" si="0"/>
        <v>17454528340.088112</v>
      </c>
      <c r="C37" s="4">
        <f>VLOOKUP(A37, output_exiobase_v3.10.2_EXIO_IOT_2019_pxp_Y_imports_footprint_FR[], 2, FALSE)</f>
        <v>5718718092.7033253</v>
      </c>
      <c r="D37" s="4">
        <f>VLOOKUP(A37, output_exiobase_v3.10.2_EXIO_IOT_2019_pxp_Z_imports_footprint_FR[], 2, FALSE)</f>
        <v>1033833010.6592185</v>
      </c>
      <c r="E37" s="4">
        <f>VLOOKUP(A37, output_exiobase_v3.10.2_EXIO_IOT_2019_pxp_Y_production_footprint_FR[], 2, FALSE)</f>
        <v>8131588084.2679224</v>
      </c>
      <c r="F37" s="4">
        <f>VLOOKUP(A37, output_exiobase_v3.10.2_EXIO_IOT_2019_pxp_Z_production_footprint_FR[], 2, FALSE)</f>
        <v>2570389152.4576459</v>
      </c>
      <c r="G37" s="35">
        <f t="shared" si="1"/>
        <v>0.38686528629099909</v>
      </c>
      <c r="H37" s="1">
        <f t="shared" si="2"/>
        <v>0.61313471370900097</v>
      </c>
      <c r="N37" s="7"/>
    </row>
    <row r="38" spans="1:14" x14ac:dyDescent="0.3">
      <c r="A38" s="9" t="s">
        <v>45</v>
      </c>
      <c r="B38" s="29">
        <f t="shared" si="0"/>
        <v>17124986065.951077</v>
      </c>
      <c r="C38" s="4">
        <f>VLOOKUP(A38, output_exiobase_v3.10.2_EXIO_IOT_2019_pxp_Y_imports_footprint_FR[], 2, FALSE)</f>
        <v>0</v>
      </c>
      <c r="D38" s="4">
        <f>VLOOKUP(A38, output_exiobase_v3.10.2_EXIO_IOT_2019_pxp_Z_imports_footprint_FR[], 2, FALSE)</f>
        <v>1158184166.0625231</v>
      </c>
      <c r="E38" s="4">
        <f>VLOOKUP(A38, output_exiobase_v3.10.2_EXIO_IOT_2019_pxp_Y_production_footprint_FR[], 2, FALSE)</f>
        <v>8913803384.1881065</v>
      </c>
      <c r="F38" s="4">
        <f>VLOOKUP(A38, output_exiobase_v3.10.2_EXIO_IOT_2019_pxp_Z_production_footprint_FR[], 2, FALSE)</f>
        <v>7052998515.7004461</v>
      </c>
      <c r="G38" s="35">
        <f t="shared" si="1"/>
        <v>6.7631247208153611E-2</v>
      </c>
      <c r="H38" s="1">
        <f t="shared" si="2"/>
        <v>0.93236875279184639</v>
      </c>
      <c r="N38" s="7"/>
    </row>
    <row r="39" spans="1:14" x14ac:dyDescent="0.3">
      <c r="A39" s="9" t="s">
        <v>147</v>
      </c>
      <c r="B39" s="29">
        <f t="shared" si="0"/>
        <v>16582084483.031727</v>
      </c>
      <c r="C39" s="4">
        <f>VLOOKUP(A39, output_exiobase_v3.10.2_EXIO_IOT_2019_pxp_Y_imports_footprint_FR[], 2, FALSE)</f>
        <v>19779382.02185832</v>
      </c>
      <c r="D39" s="4">
        <f>VLOOKUP(A39, output_exiobase_v3.10.2_EXIO_IOT_2019_pxp_Z_imports_footprint_FR[], 2, FALSE)</f>
        <v>631310543.00192595</v>
      </c>
      <c r="E39" s="4">
        <f>VLOOKUP(A39, output_exiobase_v3.10.2_EXIO_IOT_2019_pxp_Y_production_footprint_FR[], 2, FALSE)</f>
        <v>15847301790.006458</v>
      </c>
      <c r="F39" s="4">
        <f>VLOOKUP(A39, output_exiobase_v3.10.2_EXIO_IOT_2019_pxp_Z_production_footprint_FR[], 2, FALSE)</f>
        <v>83692768.001483113</v>
      </c>
      <c r="G39" s="35">
        <f t="shared" si="1"/>
        <v>3.9264660947182957E-2</v>
      </c>
      <c r="H39" s="1">
        <f t="shared" si="2"/>
        <v>0.96073533905281705</v>
      </c>
      <c r="N39" s="7"/>
    </row>
    <row r="40" spans="1:14" x14ac:dyDescent="0.3">
      <c r="A40" s="9" t="s">
        <v>150</v>
      </c>
      <c r="B40" s="29">
        <f t="shared" si="0"/>
        <v>16373439071.429214</v>
      </c>
      <c r="C40" s="4">
        <f>VLOOKUP(A40, output_exiobase_v3.10.2_EXIO_IOT_2019_pxp_Y_imports_footprint_FR[], 2, FALSE)</f>
        <v>188004900.55751923</v>
      </c>
      <c r="D40" s="4">
        <f>VLOOKUP(A40, output_exiobase_v3.10.2_EXIO_IOT_2019_pxp_Z_imports_footprint_FR[], 2, FALSE)</f>
        <v>2175316674.2820086</v>
      </c>
      <c r="E40" s="4">
        <f>VLOOKUP(A40, output_exiobase_v3.10.2_EXIO_IOT_2019_pxp_Y_production_footprint_FR[], 2, FALSE)</f>
        <v>8783615269.5380001</v>
      </c>
      <c r="F40" s="4">
        <f>VLOOKUP(A40, output_exiobase_v3.10.2_EXIO_IOT_2019_pxp_Z_production_footprint_FR[], 2, FALSE)</f>
        <v>5226502227.0516844</v>
      </c>
      <c r="G40" s="35">
        <f t="shared" si="1"/>
        <v>0.14433874059869312</v>
      </c>
      <c r="H40" s="1">
        <f t="shared" si="2"/>
        <v>0.85566125940130666</v>
      </c>
      <c r="N40" s="7"/>
    </row>
    <row r="41" spans="1:14" x14ac:dyDescent="0.3">
      <c r="A41" s="9" t="s">
        <v>39</v>
      </c>
      <c r="B41" s="29">
        <f t="shared" si="0"/>
        <v>16010351223.645699</v>
      </c>
      <c r="C41" s="4">
        <f>VLOOKUP(A41, output_exiobase_v3.10.2_EXIO_IOT_2019_pxp_Y_imports_footprint_FR[], 2, FALSE)</f>
        <v>0</v>
      </c>
      <c r="D41" s="4">
        <f>VLOOKUP(A41, output_exiobase_v3.10.2_EXIO_IOT_2019_pxp_Z_imports_footprint_FR[], 2, FALSE)</f>
        <v>0</v>
      </c>
      <c r="E41" s="4">
        <f>VLOOKUP(A41, output_exiobase_v3.10.2_EXIO_IOT_2019_pxp_Y_production_footprint_FR[], 2, FALSE)</f>
        <v>4817235899.9010267</v>
      </c>
      <c r="F41" s="4">
        <f>VLOOKUP(A41, output_exiobase_v3.10.2_EXIO_IOT_2019_pxp_Z_production_footprint_FR[], 2, FALSE)</f>
        <v>11193115323.744671</v>
      </c>
      <c r="G41" s="35">
        <f t="shared" si="1"/>
        <v>0</v>
      </c>
      <c r="H41" s="1">
        <f t="shared" si="2"/>
        <v>1</v>
      </c>
      <c r="N41" s="7"/>
    </row>
    <row r="42" spans="1:14" x14ac:dyDescent="0.3">
      <c r="A42" s="9" t="s">
        <v>11</v>
      </c>
      <c r="B42" s="29">
        <f t="shared" ref="B42:B73" si="3">SUM(C42:F42)</f>
        <v>15935584841.625778</v>
      </c>
      <c r="C42" s="4">
        <f>VLOOKUP(A42, output_exiobase_v3.10.2_EXIO_IOT_2019_pxp_Y_imports_footprint_FR[], 2, FALSE)</f>
        <v>1288361498.6041751</v>
      </c>
      <c r="D42" s="4">
        <f>VLOOKUP(A42, output_exiobase_v3.10.2_EXIO_IOT_2019_pxp_Z_imports_footprint_FR[], 2, FALSE)</f>
        <v>687456221.73305225</v>
      </c>
      <c r="E42" s="4">
        <f>VLOOKUP(A42, output_exiobase_v3.10.2_EXIO_IOT_2019_pxp_Y_production_footprint_FR[], 2, FALSE)</f>
        <v>8189629390.7507896</v>
      </c>
      <c r="F42" s="4">
        <f>VLOOKUP(A42, output_exiobase_v3.10.2_EXIO_IOT_2019_pxp_Z_production_footprint_FR[], 2, FALSE)</f>
        <v>5770137730.5377607</v>
      </c>
      <c r="G42" s="35">
        <f t="shared" ref="G42:G73" si="4">(C42+D42)/B42</f>
        <v>0.12398777578442804</v>
      </c>
      <c r="H42" s="1">
        <f t="shared" ref="H42:H73" si="5">(E42+F42)/B42</f>
        <v>0.87601222421557201</v>
      </c>
      <c r="N42" s="7"/>
    </row>
    <row r="43" spans="1:14" x14ac:dyDescent="0.3">
      <c r="A43" s="9" t="s">
        <v>73</v>
      </c>
      <c r="B43" s="29">
        <f t="shared" si="3"/>
        <v>15312157737.121857</v>
      </c>
      <c r="C43" s="4">
        <f>VLOOKUP(A43, output_exiobase_v3.10.2_EXIO_IOT_2019_pxp_Y_imports_footprint_FR[], 2, FALSE)</f>
        <v>8363966.3935264694</v>
      </c>
      <c r="D43" s="4">
        <f>VLOOKUP(A43, output_exiobase_v3.10.2_EXIO_IOT_2019_pxp_Z_imports_footprint_FR[], 2, FALSE)</f>
        <v>561028446.30575657</v>
      </c>
      <c r="E43" s="4">
        <f>VLOOKUP(A43, output_exiobase_v3.10.2_EXIO_IOT_2019_pxp_Y_production_footprint_FR[], 2, FALSE)</f>
        <v>14223590169.972061</v>
      </c>
      <c r="F43" s="4">
        <f>VLOOKUP(A43, output_exiobase_v3.10.2_EXIO_IOT_2019_pxp_Z_production_footprint_FR[], 2, FALSE)</f>
        <v>519175154.45051187</v>
      </c>
      <c r="G43" s="35">
        <f t="shared" si="4"/>
        <v>3.7185641793571846E-2</v>
      </c>
      <c r="H43" s="1">
        <f t="shared" si="5"/>
        <v>0.96281435820642813</v>
      </c>
      <c r="N43" s="7"/>
    </row>
    <row r="44" spans="1:14" x14ac:dyDescent="0.3">
      <c r="A44" s="9" t="s">
        <v>153</v>
      </c>
      <c r="B44" s="29">
        <f t="shared" si="3"/>
        <v>13652153522.007744</v>
      </c>
      <c r="C44" s="4">
        <f>VLOOKUP(A44, output_exiobase_v3.10.2_EXIO_IOT_2019_pxp_Y_imports_footprint_FR[], 2, FALSE)</f>
        <v>235187642.44308174</v>
      </c>
      <c r="D44" s="4">
        <f>VLOOKUP(A44, output_exiobase_v3.10.2_EXIO_IOT_2019_pxp_Z_imports_footprint_FR[], 2, FALSE)</f>
        <v>522879805.24816525</v>
      </c>
      <c r="E44" s="4">
        <f>VLOOKUP(A44, output_exiobase_v3.10.2_EXIO_IOT_2019_pxp_Y_production_footprint_FR[], 2, FALSE)</f>
        <v>8876991397.6335335</v>
      </c>
      <c r="F44" s="4">
        <f>VLOOKUP(A44, output_exiobase_v3.10.2_EXIO_IOT_2019_pxp_Z_production_footprint_FR[], 2, FALSE)</f>
        <v>4017094676.6829638</v>
      </c>
      <c r="G44" s="35">
        <f t="shared" si="4"/>
        <v>5.552731636581848E-2</v>
      </c>
      <c r="H44" s="1">
        <f t="shared" si="5"/>
        <v>0.94447268363418158</v>
      </c>
      <c r="N44" s="7"/>
    </row>
    <row r="45" spans="1:14" x14ac:dyDescent="0.3">
      <c r="A45" s="9" t="s">
        <v>195</v>
      </c>
      <c r="B45" s="29">
        <f t="shared" si="3"/>
        <v>12514564879.172939</v>
      </c>
      <c r="C45" s="4">
        <f>VLOOKUP(A45, output_exiobase_v3.10.2_EXIO_IOT_2019_pxp_Y_imports_footprint_FR[], 2, FALSE)</f>
        <v>183517181.73706067</v>
      </c>
      <c r="D45" s="4">
        <f>VLOOKUP(A45, output_exiobase_v3.10.2_EXIO_IOT_2019_pxp_Z_imports_footprint_FR[], 2, FALSE)</f>
        <v>3332615403.5449739</v>
      </c>
      <c r="E45" s="4">
        <f>VLOOKUP(A45, output_exiobase_v3.10.2_EXIO_IOT_2019_pxp_Y_production_footprint_FR[], 2, FALSE)</f>
        <v>864162981.08326554</v>
      </c>
      <c r="F45" s="4">
        <f>VLOOKUP(A45, output_exiobase_v3.10.2_EXIO_IOT_2019_pxp_Z_production_footprint_FR[], 2, FALSE)</f>
        <v>8134269312.8076401</v>
      </c>
      <c r="G45" s="35">
        <f t="shared" si="4"/>
        <v>0.28096323118142708</v>
      </c>
      <c r="H45" s="1">
        <f t="shared" si="5"/>
        <v>0.71903676881857292</v>
      </c>
      <c r="N45" s="7"/>
    </row>
    <row r="46" spans="1:14" x14ac:dyDescent="0.3">
      <c r="A46" s="9" t="s">
        <v>82</v>
      </c>
      <c r="B46" s="29">
        <f t="shared" si="3"/>
        <v>12033932983.453686</v>
      </c>
      <c r="C46" s="4">
        <f>VLOOKUP(A46, output_exiobase_v3.10.2_EXIO_IOT_2019_pxp_Y_imports_footprint_FR[], 2, FALSE)</f>
        <v>1.2802591434346636E-3</v>
      </c>
      <c r="D46" s="4">
        <f>VLOOKUP(A46, output_exiobase_v3.10.2_EXIO_IOT_2019_pxp_Z_imports_footprint_FR[], 2, FALSE)</f>
        <v>6626149389.4914541</v>
      </c>
      <c r="E46" s="4">
        <f>VLOOKUP(A46, output_exiobase_v3.10.2_EXIO_IOT_2019_pxp_Y_production_footprint_FR[], 2, FALSE)</f>
        <v>662305748.64766288</v>
      </c>
      <c r="F46" s="4">
        <f>VLOOKUP(A46, output_exiobase_v3.10.2_EXIO_IOT_2019_pxp_Z_production_footprint_FR[], 2, FALSE)</f>
        <v>4745477845.3132896</v>
      </c>
      <c r="G46" s="35">
        <f t="shared" si="4"/>
        <v>0.5506220949213777</v>
      </c>
      <c r="H46" s="1">
        <f t="shared" si="5"/>
        <v>0.4493779050786223</v>
      </c>
      <c r="N46" s="7"/>
    </row>
    <row r="47" spans="1:14" x14ac:dyDescent="0.3">
      <c r="A47" s="9" t="s">
        <v>192</v>
      </c>
      <c r="B47" s="29">
        <f t="shared" si="3"/>
        <v>11433141817.739498</v>
      </c>
      <c r="C47" s="4">
        <f>VLOOKUP(A47, output_exiobase_v3.10.2_EXIO_IOT_2019_pxp_Y_imports_footprint_FR[], 2, FALSE)</f>
        <v>85069166.053999588</v>
      </c>
      <c r="D47" s="4">
        <f>VLOOKUP(A47, output_exiobase_v3.10.2_EXIO_IOT_2019_pxp_Z_imports_footprint_FR[], 2, FALSE)</f>
        <v>100998948.31868175</v>
      </c>
      <c r="E47" s="4">
        <f>VLOOKUP(A47, output_exiobase_v3.10.2_EXIO_IOT_2019_pxp_Y_production_footprint_FR[], 2, FALSE)</f>
        <v>1392701176.4343274</v>
      </c>
      <c r="F47" s="4">
        <f>VLOOKUP(A47, output_exiobase_v3.10.2_EXIO_IOT_2019_pxp_Z_production_footprint_FR[], 2, FALSE)</f>
        <v>9854372526.9324894</v>
      </c>
      <c r="G47" s="35">
        <f t="shared" si="4"/>
        <v>1.6274451707052273E-2</v>
      </c>
      <c r="H47" s="1">
        <f t="shared" si="5"/>
        <v>0.98372554829294778</v>
      </c>
      <c r="N47" s="7"/>
    </row>
    <row r="48" spans="1:14" x14ac:dyDescent="0.3">
      <c r="A48" s="9" t="s">
        <v>177</v>
      </c>
      <c r="B48" s="29">
        <f t="shared" si="3"/>
        <v>10885332748.862724</v>
      </c>
      <c r="C48" s="4">
        <f>VLOOKUP(A48, output_exiobase_v3.10.2_EXIO_IOT_2019_pxp_Y_imports_footprint_FR[], 2, FALSE)</f>
        <v>0</v>
      </c>
      <c r="D48" s="4">
        <f>VLOOKUP(A48, output_exiobase_v3.10.2_EXIO_IOT_2019_pxp_Z_imports_footprint_FR[], 2, FALSE)</f>
        <v>0</v>
      </c>
      <c r="E48" s="4">
        <f>VLOOKUP(A48, output_exiobase_v3.10.2_EXIO_IOT_2019_pxp_Y_production_footprint_FR[], 2, FALSE)</f>
        <v>0</v>
      </c>
      <c r="F48" s="4">
        <f>VLOOKUP(A48, output_exiobase_v3.10.2_EXIO_IOT_2019_pxp_Z_production_footprint_FR[], 2, FALSE)</f>
        <v>10885332748.862724</v>
      </c>
      <c r="G48" s="35">
        <f t="shared" si="4"/>
        <v>0</v>
      </c>
      <c r="H48" s="1">
        <f t="shared" si="5"/>
        <v>1</v>
      </c>
      <c r="N48" s="5"/>
    </row>
    <row r="49" spans="1:8" x14ac:dyDescent="0.3">
      <c r="A49" s="9" t="s">
        <v>38</v>
      </c>
      <c r="B49" s="29">
        <f t="shared" si="3"/>
        <v>10770534479.42452</v>
      </c>
      <c r="C49" s="4">
        <f>VLOOKUP(A49, output_exiobase_v3.10.2_EXIO_IOT_2019_pxp_Y_imports_footprint_FR[], 2, FALSE)</f>
        <v>0</v>
      </c>
      <c r="D49" s="4">
        <f>VLOOKUP(A49, output_exiobase_v3.10.2_EXIO_IOT_2019_pxp_Z_imports_footprint_FR[], 2, FALSE)</f>
        <v>0</v>
      </c>
      <c r="E49" s="4">
        <f>VLOOKUP(A49, output_exiobase_v3.10.2_EXIO_IOT_2019_pxp_Y_production_footprint_FR[], 2, FALSE)</f>
        <v>5340513605.9138613</v>
      </c>
      <c r="F49" s="4">
        <f>VLOOKUP(A49, output_exiobase_v3.10.2_EXIO_IOT_2019_pxp_Z_production_footprint_FR[], 2, FALSE)</f>
        <v>5430020873.5106592</v>
      </c>
      <c r="G49" s="35">
        <f t="shared" si="4"/>
        <v>0</v>
      </c>
      <c r="H49" s="1">
        <f t="shared" si="5"/>
        <v>1</v>
      </c>
    </row>
    <row r="50" spans="1:8" x14ac:dyDescent="0.3">
      <c r="A50" s="9" t="s">
        <v>190</v>
      </c>
      <c r="B50" s="29">
        <f t="shared" si="3"/>
        <v>10543224560.245358</v>
      </c>
      <c r="C50" s="4">
        <f>VLOOKUP(A50, output_exiobase_v3.10.2_EXIO_IOT_2019_pxp_Y_imports_footprint_FR[], 2, FALSE)</f>
        <v>4184949559.9931145</v>
      </c>
      <c r="D50" s="4">
        <f>VLOOKUP(A50, output_exiobase_v3.10.2_EXIO_IOT_2019_pxp_Z_imports_footprint_FR[], 2, FALSE)</f>
        <v>457506184.88221961</v>
      </c>
      <c r="E50" s="4">
        <f>VLOOKUP(A50, output_exiobase_v3.10.2_EXIO_IOT_2019_pxp_Y_production_footprint_FR[], 2, FALSE)</f>
        <v>3216004173.263052</v>
      </c>
      <c r="F50" s="4">
        <f>VLOOKUP(A50, output_exiobase_v3.10.2_EXIO_IOT_2019_pxp_Z_production_footprint_FR[], 2, FALSE)</f>
        <v>2684764642.1069713</v>
      </c>
      <c r="G50" s="35">
        <f t="shared" si="4"/>
        <v>0.44032598550355606</v>
      </c>
      <c r="H50" s="1">
        <f t="shared" si="5"/>
        <v>0.55967401449644394</v>
      </c>
    </row>
    <row r="51" spans="1:8" x14ac:dyDescent="0.3">
      <c r="A51" s="9" t="s">
        <v>191</v>
      </c>
      <c r="B51" s="29">
        <f t="shared" si="3"/>
        <v>10212796727.582312</v>
      </c>
      <c r="C51" s="4">
        <f>VLOOKUP(A51, output_exiobase_v3.10.2_EXIO_IOT_2019_pxp_Y_imports_footprint_FR[], 2, FALSE)</f>
        <v>7489918378.9405127</v>
      </c>
      <c r="D51" s="4">
        <f>VLOOKUP(A51, output_exiobase_v3.10.2_EXIO_IOT_2019_pxp_Z_imports_footprint_FR[], 2, FALSE)</f>
        <v>1457416531.8543971</v>
      </c>
      <c r="E51" s="4">
        <f>VLOOKUP(A51, output_exiobase_v3.10.2_EXIO_IOT_2019_pxp_Y_production_footprint_FR[], 2, FALSE)</f>
        <v>1078252537.1386986</v>
      </c>
      <c r="F51" s="4">
        <f>VLOOKUP(A51, output_exiobase_v3.10.2_EXIO_IOT_2019_pxp_Z_production_footprint_FR[], 2, FALSE)</f>
        <v>187209279.64870179</v>
      </c>
      <c r="G51" s="35">
        <f t="shared" si="4"/>
        <v>0.87609057043408167</v>
      </c>
      <c r="H51" s="1">
        <f t="shared" si="5"/>
        <v>0.12390942956591819</v>
      </c>
    </row>
    <row r="52" spans="1:8" x14ac:dyDescent="0.3">
      <c r="A52" s="9" t="s">
        <v>157</v>
      </c>
      <c r="B52" s="29">
        <f t="shared" si="3"/>
        <v>10055179268.273846</v>
      </c>
      <c r="C52" s="4">
        <f>VLOOKUP(A52, output_exiobase_v3.10.2_EXIO_IOT_2019_pxp_Y_imports_footprint_FR[], 2, FALSE)</f>
        <v>2841556914.0569625</v>
      </c>
      <c r="D52" s="4">
        <f>VLOOKUP(A52, output_exiobase_v3.10.2_EXIO_IOT_2019_pxp_Z_imports_footprint_FR[], 2, FALSE)</f>
        <v>109914216.58748239</v>
      </c>
      <c r="E52" s="4">
        <f>VLOOKUP(A52, output_exiobase_v3.10.2_EXIO_IOT_2019_pxp_Y_production_footprint_FR[], 2, FALSE)</f>
        <v>6597157835.8791542</v>
      </c>
      <c r="F52" s="4">
        <f>VLOOKUP(A52, output_exiobase_v3.10.2_EXIO_IOT_2019_pxp_Z_production_footprint_FR[], 2, FALSE)</f>
        <v>506550301.75024664</v>
      </c>
      <c r="G52" s="35">
        <f t="shared" si="4"/>
        <v>0.29352745007311226</v>
      </c>
      <c r="H52" s="1">
        <f t="shared" si="5"/>
        <v>0.70647254992688779</v>
      </c>
    </row>
    <row r="53" spans="1:8" x14ac:dyDescent="0.3">
      <c r="A53" s="9" t="s">
        <v>152</v>
      </c>
      <c r="B53" s="29">
        <f t="shared" si="3"/>
        <v>10041785046.233927</v>
      </c>
      <c r="C53" s="4">
        <f>VLOOKUP(A53, output_exiobase_v3.10.2_EXIO_IOT_2019_pxp_Y_imports_footprint_FR[], 2, FALSE)</f>
        <v>16519195.668554822</v>
      </c>
      <c r="D53" s="4">
        <f>VLOOKUP(A53, output_exiobase_v3.10.2_EXIO_IOT_2019_pxp_Z_imports_footprint_FR[], 2, FALSE)</f>
        <v>1976723036.626754</v>
      </c>
      <c r="E53" s="4">
        <f>VLOOKUP(A53, output_exiobase_v3.10.2_EXIO_IOT_2019_pxp_Y_production_footprint_FR[], 2, FALSE)</f>
        <v>6337988216.1131954</v>
      </c>
      <c r="F53" s="4">
        <f>VLOOKUP(A53, output_exiobase_v3.10.2_EXIO_IOT_2019_pxp_Z_production_footprint_FR[], 2, FALSE)</f>
        <v>1710554597.825423</v>
      </c>
      <c r="G53" s="35">
        <f t="shared" si="4"/>
        <v>0.19849481174095185</v>
      </c>
      <c r="H53" s="1">
        <f t="shared" si="5"/>
        <v>0.80150518825904826</v>
      </c>
    </row>
    <row r="54" spans="1:8" x14ac:dyDescent="0.3">
      <c r="A54" s="9" t="s">
        <v>31</v>
      </c>
      <c r="B54" s="29">
        <f t="shared" si="3"/>
        <v>10009494089.386221</v>
      </c>
      <c r="C54" s="4">
        <f>VLOOKUP(A54, output_exiobase_v3.10.2_EXIO_IOT_2019_pxp_Y_imports_footprint_FR[], 2, FALSE)</f>
        <v>1388609691.7803059</v>
      </c>
      <c r="D54" s="4">
        <f>VLOOKUP(A54, output_exiobase_v3.10.2_EXIO_IOT_2019_pxp_Z_imports_footprint_FR[], 2, FALSE)</f>
        <v>678450572.18375516</v>
      </c>
      <c r="E54" s="4">
        <f>VLOOKUP(A54, output_exiobase_v3.10.2_EXIO_IOT_2019_pxp_Y_production_footprint_FR[], 2, FALSE)</f>
        <v>4909879899.9737282</v>
      </c>
      <c r="F54" s="4">
        <f>VLOOKUP(A54, output_exiobase_v3.10.2_EXIO_IOT_2019_pxp_Z_production_footprint_FR[], 2, FALSE)</f>
        <v>3032553925.4484324</v>
      </c>
      <c r="G54" s="35">
        <f t="shared" si="4"/>
        <v>0.20650996399067884</v>
      </c>
      <c r="H54" s="1">
        <f t="shared" si="5"/>
        <v>0.79349003600932133</v>
      </c>
    </row>
    <row r="55" spans="1:8" x14ac:dyDescent="0.3">
      <c r="A55" s="9" t="s">
        <v>85</v>
      </c>
      <c r="B55" s="29">
        <f t="shared" si="3"/>
        <v>9950730490.9843998</v>
      </c>
      <c r="C55" s="4">
        <f>VLOOKUP(A55, output_exiobase_v3.10.2_EXIO_IOT_2019_pxp_Y_imports_footprint_FR[], 2, FALSE)</f>
        <v>4821955069.5424061</v>
      </c>
      <c r="D55" s="4">
        <f>VLOOKUP(A55, output_exiobase_v3.10.2_EXIO_IOT_2019_pxp_Z_imports_footprint_FR[], 2, FALSE)</f>
        <v>1302686303.3083282</v>
      </c>
      <c r="E55" s="4">
        <f>VLOOKUP(A55, output_exiobase_v3.10.2_EXIO_IOT_2019_pxp_Y_production_footprint_FR[], 2, FALSE)</f>
        <v>2003284152.0699964</v>
      </c>
      <c r="F55" s="4">
        <f>VLOOKUP(A55, output_exiobase_v3.10.2_EXIO_IOT_2019_pxp_Z_production_footprint_FR[], 2, FALSE)</f>
        <v>1822804966.0636697</v>
      </c>
      <c r="G55" s="35">
        <f t="shared" si="4"/>
        <v>0.61549665910455587</v>
      </c>
      <c r="H55" s="1">
        <f t="shared" si="5"/>
        <v>0.38450334089544425</v>
      </c>
    </row>
    <row r="56" spans="1:8" x14ac:dyDescent="0.3">
      <c r="A56" s="9" t="s">
        <v>22</v>
      </c>
      <c r="B56" s="29">
        <f t="shared" si="3"/>
        <v>9409652870.5860424</v>
      </c>
      <c r="C56" s="4">
        <f>VLOOKUP(A56, output_exiobase_v3.10.2_EXIO_IOT_2019_pxp_Y_imports_footprint_FR[], 2, FALSE)</f>
        <v>22495840.92623366</v>
      </c>
      <c r="D56" s="4">
        <f>VLOOKUP(A56, output_exiobase_v3.10.2_EXIO_IOT_2019_pxp_Z_imports_footprint_FR[], 2, FALSE)</f>
        <v>491425518.29788017</v>
      </c>
      <c r="E56" s="4">
        <f>VLOOKUP(A56, output_exiobase_v3.10.2_EXIO_IOT_2019_pxp_Y_production_footprint_FR[], 2, FALSE)</f>
        <v>600709184.44008458</v>
      </c>
      <c r="F56" s="4">
        <f>VLOOKUP(A56, output_exiobase_v3.10.2_EXIO_IOT_2019_pxp_Z_production_footprint_FR[], 2, FALSE)</f>
        <v>8295022326.9218435</v>
      </c>
      <c r="G56" s="35">
        <f t="shared" si="4"/>
        <v>5.4616399381809108E-2</v>
      </c>
      <c r="H56" s="1">
        <f t="shared" si="5"/>
        <v>0.94538360061819093</v>
      </c>
    </row>
    <row r="57" spans="1:8" x14ac:dyDescent="0.3">
      <c r="A57" s="9" t="s">
        <v>156</v>
      </c>
      <c r="B57" s="29">
        <f t="shared" si="3"/>
        <v>8621426228.9326324</v>
      </c>
      <c r="C57" s="4">
        <f>VLOOKUP(A57, output_exiobase_v3.10.2_EXIO_IOT_2019_pxp_Y_imports_footprint_FR[], 2, FALSE)</f>
        <v>5570276.666767722</v>
      </c>
      <c r="D57" s="4">
        <f>VLOOKUP(A57, output_exiobase_v3.10.2_EXIO_IOT_2019_pxp_Z_imports_footprint_FR[], 2, FALSE)</f>
        <v>482121116.04489166</v>
      </c>
      <c r="E57" s="4">
        <f>VLOOKUP(A57, output_exiobase_v3.10.2_EXIO_IOT_2019_pxp_Y_production_footprint_FR[], 2, FALSE)</f>
        <v>954857963.86705971</v>
      </c>
      <c r="F57" s="4">
        <f>VLOOKUP(A57, output_exiobase_v3.10.2_EXIO_IOT_2019_pxp_Z_production_footprint_FR[], 2, FALSE)</f>
        <v>7178876872.3539124</v>
      </c>
      <c r="G57" s="35">
        <f t="shared" si="4"/>
        <v>5.6567368294008769E-2</v>
      </c>
      <c r="H57" s="1">
        <f t="shared" si="5"/>
        <v>0.94343263170599112</v>
      </c>
    </row>
    <row r="58" spans="1:8" x14ac:dyDescent="0.3">
      <c r="A58" s="9" t="s">
        <v>57</v>
      </c>
      <c r="B58" s="29">
        <f t="shared" si="3"/>
        <v>8158642575.3510094</v>
      </c>
      <c r="C58" s="4">
        <f>VLOOKUP(A58, output_exiobase_v3.10.2_EXIO_IOT_2019_pxp_Y_imports_footprint_FR[], 2, FALSE)</f>
        <v>0</v>
      </c>
      <c r="D58" s="4">
        <f>VLOOKUP(A58, output_exiobase_v3.10.2_EXIO_IOT_2019_pxp_Z_imports_footprint_FR[], 2, FALSE)</f>
        <v>1176186608.4441569</v>
      </c>
      <c r="E58" s="4">
        <f>VLOOKUP(A58, output_exiobase_v3.10.2_EXIO_IOT_2019_pxp_Y_production_footprint_FR[], 2, FALSE)</f>
        <v>1029657119.8615665</v>
      </c>
      <c r="F58" s="4">
        <f>VLOOKUP(A58, output_exiobase_v3.10.2_EXIO_IOT_2019_pxp_Z_production_footprint_FR[], 2, FALSE)</f>
        <v>5952798847.0452862</v>
      </c>
      <c r="G58" s="35">
        <f t="shared" si="4"/>
        <v>0.14416449765769446</v>
      </c>
      <c r="H58" s="1">
        <f t="shared" si="5"/>
        <v>0.85583550234230554</v>
      </c>
    </row>
    <row r="59" spans="1:8" x14ac:dyDescent="0.3">
      <c r="A59" s="9" t="s">
        <v>40</v>
      </c>
      <c r="B59" s="29">
        <f t="shared" si="3"/>
        <v>8045340284.1561365</v>
      </c>
      <c r="C59" s="4">
        <f>VLOOKUP(A59, output_exiobase_v3.10.2_EXIO_IOT_2019_pxp_Y_imports_footprint_FR[], 2, FALSE)</f>
        <v>35731125.39918974</v>
      </c>
      <c r="D59" s="4">
        <f>VLOOKUP(A59, output_exiobase_v3.10.2_EXIO_IOT_2019_pxp_Z_imports_footprint_FR[], 2, FALSE)</f>
        <v>506845039.89104593</v>
      </c>
      <c r="E59" s="4">
        <f>VLOOKUP(A59, output_exiobase_v3.10.2_EXIO_IOT_2019_pxp_Y_production_footprint_FR[], 2, FALSE)</f>
        <v>6187116963.0514755</v>
      </c>
      <c r="F59" s="4">
        <f>VLOOKUP(A59, output_exiobase_v3.10.2_EXIO_IOT_2019_pxp_Z_production_footprint_FR[], 2, FALSE)</f>
        <v>1315647155.8144255</v>
      </c>
      <c r="G59" s="35">
        <f t="shared" si="4"/>
        <v>6.7439803181320077E-2</v>
      </c>
      <c r="H59" s="1">
        <f t="shared" si="5"/>
        <v>0.93256019681867997</v>
      </c>
    </row>
    <row r="60" spans="1:8" x14ac:dyDescent="0.3">
      <c r="A60" s="9" t="s">
        <v>136</v>
      </c>
      <c r="B60" s="29">
        <f t="shared" si="3"/>
        <v>7916965285.8650103</v>
      </c>
      <c r="C60" s="4">
        <f>VLOOKUP(A60, output_exiobase_v3.10.2_EXIO_IOT_2019_pxp_Y_imports_footprint_FR[], 2, FALSE)</f>
        <v>408454767.14538366</v>
      </c>
      <c r="D60" s="4">
        <f>VLOOKUP(A60, output_exiobase_v3.10.2_EXIO_IOT_2019_pxp_Z_imports_footprint_FR[], 2, FALSE)</f>
        <v>523372378.38464683</v>
      </c>
      <c r="E60" s="4">
        <f>VLOOKUP(A60, output_exiobase_v3.10.2_EXIO_IOT_2019_pxp_Y_production_footprint_FR[], 2, FALSE)</f>
        <v>3142765337.2988906</v>
      </c>
      <c r="F60" s="4">
        <f>VLOOKUP(A60, output_exiobase_v3.10.2_EXIO_IOT_2019_pxp_Z_production_footprint_FR[], 2, FALSE)</f>
        <v>3842372803.0360889</v>
      </c>
      <c r="G60" s="35">
        <f t="shared" si="4"/>
        <v>0.11770004185741718</v>
      </c>
      <c r="H60" s="1">
        <f t="shared" si="5"/>
        <v>0.88229995814258289</v>
      </c>
    </row>
    <row r="61" spans="1:8" x14ac:dyDescent="0.3">
      <c r="A61" s="9" t="s">
        <v>106</v>
      </c>
      <c r="B61" s="29">
        <f t="shared" si="3"/>
        <v>7534032988.5612431</v>
      </c>
      <c r="C61" s="4">
        <f>VLOOKUP(A61, output_exiobase_v3.10.2_EXIO_IOT_2019_pxp_Y_imports_footprint_FR[], 2, FALSE)</f>
        <v>436793991.08476275</v>
      </c>
      <c r="D61" s="4">
        <f>VLOOKUP(A61, output_exiobase_v3.10.2_EXIO_IOT_2019_pxp_Z_imports_footprint_FR[], 2, FALSE)</f>
        <v>1247438016.7521126</v>
      </c>
      <c r="E61" s="4">
        <f>VLOOKUP(A61, output_exiobase_v3.10.2_EXIO_IOT_2019_pxp_Y_production_footprint_FR[], 2, FALSE)</f>
        <v>690447073.54943812</v>
      </c>
      <c r="F61" s="4">
        <f>VLOOKUP(A61, output_exiobase_v3.10.2_EXIO_IOT_2019_pxp_Z_production_footprint_FR[], 2, FALSE)</f>
        <v>5159353907.1749296</v>
      </c>
      <c r="G61" s="35">
        <f t="shared" si="4"/>
        <v>0.22354985840837277</v>
      </c>
      <c r="H61" s="1">
        <f t="shared" si="5"/>
        <v>0.77645014159162729</v>
      </c>
    </row>
    <row r="62" spans="1:8" x14ac:dyDescent="0.3">
      <c r="A62" s="9" t="s">
        <v>3</v>
      </c>
      <c r="B62" s="29">
        <f t="shared" si="3"/>
        <v>7193670051.5631294</v>
      </c>
      <c r="C62" s="4">
        <f>VLOOKUP(A62, output_exiobase_v3.10.2_EXIO_IOT_2019_pxp_Y_imports_footprint_FR[], 2, FALSE)</f>
        <v>18290370.075790782</v>
      </c>
      <c r="D62" s="4">
        <f>VLOOKUP(A62, output_exiobase_v3.10.2_EXIO_IOT_2019_pxp_Z_imports_footprint_FR[], 2, FALSE)</f>
        <v>5075436207.069375</v>
      </c>
      <c r="E62" s="4">
        <f>VLOOKUP(A62, output_exiobase_v3.10.2_EXIO_IOT_2019_pxp_Y_production_footprint_FR[], 2, FALSE)</f>
        <v>73836479.408664927</v>
      </c>
      <c r="F62" s="4">
        <f>VLOOKUP(A62, output_exiobase_v3.10.2_EXIO_IOT_2019_pxp_Z_production_footprint_FR[], 2, FALSE)</f>
        <v>2026106995.0092993</v>
      </c>
      <c r="G62" s="35">
        <f t="shared" si="4"/>
        <v>0.70808454386065955</v>
      </c>
      <c r="H62" s="1">
        <f t="shared" si="5"/>
        <v>0.2919154561393405</v>
      </c>
    </row>
    <row r="63" spans="1:8" x14ac:dyDescent="0.3">
      <c r="A63" s="9" t="s">
        <v>47</v>
      </c>
      <c r="B63" s="29">
        <f t="shared" si="3"/>
        <v>7041820018.7857819</v>
      </c>
      <c r="C63" s="4">
        <f>VLOOKUP(A63, output_exiobase_v3.10.2_EXIO_IOT_2019_pxp_Y_imports_footprint_FR[], 2, FALSE)</f>
        <v>0</v>
      </c>
      <c r="D63" s="4">
        <f>VLOOKUP(A63, output_exiobase_v3.10.2_EXIO_IOT_2019_pxp_Z_imports_footprint_FR[], 2, FALSE)</f>
        <v>76506204.209438413</v>
      </c>
      <c r="E63" s="4">
        <f>VLOOKUP(A63, output_exiobase_v3.10.2_EXIO_IOT_2019_pxp_Y_production_footprint_FR[], 2, FALSE)</f>
        <v>3375940893.7320786</v>
      </c>
      <c r="F63" s="4">
        <f>VLOOKUP(A63, output_exiobase_v3.10.2_EXIO_IOT_2019_pxp_Z_production_footprint_FR[], 2, FALSE)</f>
        <v>3589372920.8442655</v>
      </c>
      <c r="G63" s="35">
        <f t="shared" si="4"/>
        <v>1.0864549790443288E-2</v>
      </c>
      <c r="H63" s="1">
        <f t="shared" si="5"/>
        <v>0.98913545020955673</v>
      </c>
    </row>
    <row r="64" spans="1:8" x14ac:dyDescent="0.3">
      <c r="A64" s="9" t="s">
        <v>41</v>
      </c>
      <c r="B64" s="29">
        <f t="shared" si="3"/>
        <v>6993435539.3170242</v>
      </c>
      <c r="C64" s="4">
        <f>VLOOKUP(A64, output_exiobase_v3.10.2_EXIO_IOT_2019_pxp_Y_imports_footprint_FR[], 2, FALSE)</f>
        <v>0</v>
      </c>
      <c r="D64" s="4">
        <f>VLOOKUP(A64, output_exiobase_v3.10.2_EXIO_IOT_2019_pxp_Z_imports_footprint_FR[], 2, FALSE)</f>
        <v>6201226102.1611595</v>
      </c>
      <c r="E64" s="4">
        <f>VLOOKUP(A64, output_exiobase_v3.10.2_EXIO_IOT_2019_pxp_Y_production_footprint_FR[], 2, FALSE)</f>
        <v>5189.3997444186753</v>
      </c>
      <c r="F64" s="4">
        <f>VLOOKUP(A64, output_exiobase_v3.10.2_EXIO_IOT_2019_pxp_Z_production_footprint_FR[], 2, FALSE)</f>
        <v>792204247.75612068</v>
      </c>
      <c r="G64" s="35">
        <f t="shared" si="4"/>
        <v>0.88672099246470903</v>
      </c>
      <c r="H64" s="1">
        <f t="shared" si="5"/>
        <v>0.11327900753529101</v>
      </c>
    </row>
    <row r="65" spans="1:8" x14ac:dyDescent="0.3">
      <c r="A65" s="9" t="s">
        <v>183</v>
      </c>
      <c r="B65" s="29">
        <f t="shared" si="3"/>
        <v>6566880807.2719803</v>
      </c>
      <c r="C65" s="4">
        <f>VLOOKUP(A65, output_exiobase_v3.10.2_EXIO_IOT_2019_pxp_Y_imports_footprint_FR[], 2, FALSE)</f>
        <v>1401607216.2200549</v>
      </c>
      <c r="D65" s="4">
        <f>VLOOKUP(A65, output_exiobase_v3.10.2_EXIO_IOT_2019_pxp_Z_imports_footprint_FR[], 2, FALSE)</f>
        <v>3571101425.6567278</v>
      </c>
      <c r="E65" s="4">
        <f>VLOOKUP(A65, output_exiobase_v3.10.2_EXIO_IOT_2019_pxp_Y_production_footprint_FR[], 2, FALSE)</f>
        <v>615565922.05054724</v>
      </c>
      <c r="F65" s="4">
        <f>VLOOKUP(A65, output_exiobase_v3.10.2_EXIO_IOT_2019_pxp_Z_production_footprint_FR[], 2, FALSE)</f>
        <v>978606243.34464991</v>
      </c>
      <c r="G65" s="35">
        <f t="shared" si="4"/>
        <v>0.75724058161222352</v>
      </c>
      <c r="H65" s="1">
        <f t="shared" si="5"/>
        <v>0.24275941838777634</v>
      </c>
    </row>
    <row r="66" spans="1:8" x14ac:dyDescent="0.3">
      <c r="A66" s="9" t="s">
        <v>161</v>
      </c>
      <c r="B66" s="29">
        <f t="shared" si="3"/>
        <v>6561405889.0860529</v>
      </c>
      <c r="C66" s="4">
        <f>VLOOKUP(A66, output_exiobase_v3.10.2_EXIO_IOT_2019_pxp_Y_imports_footprint_FR[], 2, FALSE)</f>
        <v>3491309.1770511833</v>
      </c>
      <c r="D66" s="4">
        <f>VLOOKUP(A66, output_exiobase_v3.10.2_EXIO_IOT_2019_pxp_Z_imports_footprint_FR[], 2, FALSE)</f>
        <v>349000822.44754851</v>
      </c>
      <c r="E66" s="4">
        <f>VLOOKUP(A66, output_exiobase_v3.10.2_EXIO_IOT_2019_pxp_Y_production_footprint_FR[], 2, FALSE)</f>
        <v>5435537084.0830679</v>
      </c>
      <c r="F66" s="4">
        <f>VLOOKUP(A66, output_exiobase_v3.10.2_EXIO_IOT_2019_pxp_Z_production_footprint_FR[], 2, FALSE)</f>
        <v>773376673.37838519</v>
      </c>
      <c r="G66" s="35">
        <f t="shared" si="4"/>
        <v>5.3722043352160125E-2</v>
      </c>
      <c r="H66" s="1">
        <f t="shared" si="5"/>
        <v>0.94627795664783987</v>
      </c>
    </row>
    <row r="67" spans="1:8" x14ac:dyDescent="0.3">
      <c r="A67" s="9" t="s">
        <v>122</v>
      </c>
      <c r="B67" s="29">
        <f t="shared" si="3"/>
        <v>5932923734.3455296</v>
      </c>
      <c r="C67" s="4">
        <f>VLOOKUP(A67, output_exiobase_v3.10.2_EXIO_IOT_2019_pxp_Y_imports_footprint_FR[], 2, FALSE)</f>
        <v>1057984187.5373247</v>
      </c>
      <c r="D67" s="4">
        <f>VLOOKUP(A67, output_exiobase_v3.10.2_EXIO_IOT_2019_pxp_Z_imports_footprint_FR[], 2, FALSE)</f>
        <v>2336285652.9273043</v>
      </c>
      <c r="E67" s="4">
        <f>VLOOKUP(A67, output_exiobase_v3.10.2_EXIO_IOT_2019_pxp_Y_production_footprint_FR[], 2, FALSE)</f>
        <v>550872799.86772943</v>
      </c>
      <c r="F67" s="4">
        <f>VLOOKUP(A67, output_exiobase_v3.10.2_EXIO_IOT_2019_pxp_Z_production_footprint_FR[], 2, FALSE)</f>
        <v>1987781094.013171</v>
      </c>
      <c r="G67" s="35">
        <f t="shared" si="4"/>
        <v>0.57210744524074963</v>
      </c>
      <c r="H67" s="1">
        <f t="shared" si="5"/>
        <v>0.42789255475925031</v>
      </c>
    </row>
    <row r="68" spans="1:8" x14ac:dyDescent="0.3">
      <c r="A68" s="9" t="s">
        <v>78</v>
      </c>
      <c r="B68" s="29">
        <f t="shared" si="3"/>
        <v>5378352022.3032618</v>
      </c>
      <c r="C68" s="4">
        <f>VLOOKUP(A68, output_exiobase_v3.10.2_EXIO_IOT_2019_pxp_Y_imports_footprint_FR[], 2, FALSE)</f>
        <v>154551402.72684538</v>
      </c>
      <c r="D68" s="4">
        <f>VLOOKUP(A68, output_exiobase_v3.10.2_EXIO_IOT_2019_pxp_Z_imports_footprint_FR[], 2, FALSE)</f>
        <v>247783343.57468006</v>
      </c>
      <c r="E68" s="4">
        <f>VLOOKUP(A68, output_exiobase_v3.10.2_EXIO_IOT_2019_pxp_Y_production_footprint_FR[], 2, FALSE)</f>
        <v>3436705758.3416014</v>
      </c>
      <c r="F68" s="4">
        <f>VLOOKUP(A68, output_exiobase_v3.10.2_EXIO_IOT_2019_pxp_Z_production_footprint_FR[], 2, FALSE)</f>
        <v>1539311517.660135</v>
      </c>
      <c r="G68" s="35">
        <f t="shared" si="4"/>
        <v>7.4806324434157606E-2</v>
      </c>
      <c r="H68" s="1">
        <f t="shared" si="5"/>
        <v>0.92519367556584242</v>
      </c>
    </row>
    <row r="69" spans="1:8" x14ac:dyDescent="0.3">
      <c r="A69" s="9" t="s">
        <v>74</v>
      </c>
      <c r="B69" s="29">
        <f t="shared" si="3"/>
        <v>5057817315.0749178</v>
      </c>
      <c r="C69" s="4">
        <f>VLOOKUP(A69, output_exiobase_v3.10.2_EXIO_IOT_2019_pxp_Y_imports_footprint_FR[], 2, FALSE)</f>
        <v>473933414.32082933</v>
      </c>
      <c r="D69" s="4">
        <f>VLOOKUP(A69, output_exiobase_v3.10.2_EXIO_IOT_2019_pxp_Z_imports_footprint_FR[], 2, FALSE)</f>
        <v>3104757969.3387661</v>
      </c>
      <c r="E69" s="4">
        <f>VLOOKUP(A69, output_exiobase_v3.10.2_EXIO_IOT_2019_pxp_Y_production_footprint_FR[], 2, FALSE)</f>
        <v>219680191.76718006</v>
      </c>
      <c r="F69" s="4">
        <f>VLOOKUP(A69, output_exiobase_v3.10.2_EXIO_IOT_2019_pxp_Z_production_footprint_FR[], 2, FALSE)</f>
        <v>1259445739.6481423</v>
      </c>
      <c r="G69" s="35">
        <f t="shared" si="4"/>
        <v>0.7075564736182226</v>
      </c>
      <c r="H69" s="1">
        <f t="shared" si="5"/>
        <v>0.2924435263817774</v>
      </c>
    </row>
    <row r="70" spans="1:8" x14ac:dyDescent="0.3">
      <c r="A70" s="9" t="s">
        <v>108</v>
      </c>
      <c r="B70" s="29">
        <f t="shared" si="3"/>
        <v>4699812860.7337484</v>
      </c>
      <c r="C70" s="4">
        <f>VLOOKUP(A70, output_exiobase_v3.10.2_EXIO_IOT_2019_pxp_Y_imports_footprint_FR[], 2, FALSE)</f>
        <v>4205.6367939823276</v>
      </c>
      <c r="D70" s="4">
        <f>VLOOKUP(A70, output_exiobase_v3.10.2_EXIO_IOT_2019_pxp_Z_imports_footprint_FR[], 2, FALSE)</f>
        <v>4699808655.0969543</v>
      </c>
      <c r="E70" s="4">
        <f>VLOOKUP(A70, output_exiobase_v3.10.2_EXIO_IOT_2019_pxp_Y_production_footprint_FR[], 2, FALSE)</f>
        <v>0</v>
      </c>
      <c r="F70" s="4">
        <f>VLOOKUP(A70, output_exiobase_v3.10.2_EXIO_IOT_2019_pxp_Z_production_footprint_FR[], 2, FALSE)</f>
        <v>0</v>
      </c>
      <c r="G70" s="35">
        <f t="shared" si="4"/>
        <v>1</v>
      </c>
      <c r="H70" s="1">
        <f t="shared" si="5"/>
        <v>0</v>
      </c>
    </row>
    <row r="71" spans="1:8" x14ac:dyDescent="0.3">
      <c r="A71" s="9" t="s">
        <v>27</v>
      </c>
      <c r="B71" s="29">
        <f t="shared" si="3"/>
        <v>4696888988.3932009</v>
      </c>
      <c r="C71" s="4">
        <f>VLOOKUP(A71, output_exiobase_v3.10.2_EXIO_IOT_2019_pxp_Y_imports_footprint_FR[], 2, FALSE)</f>
        <v>67299521.262555391</v>
      </c>
      <c r="D71" s="4">
        <f>VLOOKUP(A71, output_exiobase_v3.10.2_EXIO_IOT_2019_pxp_Z_imports_footprint_FR[], 2, FALSE)</f>
        <v>1217896440.2936471</v>
      </c>
      <c r="E71" s="4">
        <f>VLOOKUP(A71, output_exiobase_v3.10.2_EXIO_IOT_2019_pxp_Y_production_footprint_FR[], 2, FALSE)</f>
        <v>56511104.919678316</v>
      </c>
      <c r="F71" s="4">
        <f>VLOOKUP(A71, output_exiobase_v3.10.2_EXIO_IOT_2019_pxp_Z_production_footprint_FR[], 2, FALSE)</f>
        <v>3355181921.9173203</v>
      </c>
      <c r="G71" s="35">
        <f t="shared" si="4"/>
        <v>0.27362706777446449</v>
      </c>
      <c r="H71" s="1">
        <f t="shared" si="5"/>
        <v>0.72637293222553545</v>
      </c>
    </row>
    <row r="72" spans="1:8" x14ac:dyDescent="0.3">
      <c r="A72" s="9" t="s">
        <v>137</v>
      </c>
      <c r="B72" s="29">
        <f t="shared" si="3"/>
        <v>4600381041.244566</v>
      </c>
      <c r="C72" s="4">
        <f>VLOOKUP(A72, output_exiobase_v3.10.2_EXIO_IOT_2019_pxp_Y_imports_footprint_FR[], 2, FALSE)</f>
        <v>40408151.670670375</v>
      </c>
      <c r="D72" s="4">
        <f>VLOOKUP(A72, output_exiobase_v3.10.2_EXIO_IOT_2019_pxp_Z_imports_footprint_FR[], 2, FALSE)</f>
        <v>28417284.933762491</v>
      </c>
      <c r="E72" s="4">
        <f>VLOOKUP(A72, output_exiobase_v3.10.2_EXIO_IOT_2019_pxp_Y_production_footprint_FR[], 2, FALSE)</f>
        <v>2237244202.0091329</v>
      </c>
      <c r="F72" s="4">
        <f>VLOOKUP(A72, output_exiobase_v3.10.2_EXIO_IOT_2019_pxp_Z_production_footprint_FR[], 2, FALSE)</f>
        <v>2294311402.6310005</v>
      </c>
      <c r="G72" s="35">
        <f t="shared" si="4"/>
        <v>1.4960812156075913E-2</v>
      </c>
      <c r="H72" s="1">
        <f t="shared" si="5"/>
        <v>0.98503918784392408</v>
      </c>
    </row>
    <row r="73" spans="1:8" x14ac:dyDescent="0.3">
      <c r="A73" s="9" t="s">
        <v>140</v>
      </c>
      <c r="B73" s="29">
        <f t="shared" si="3"/>
        <v>4349118247.3280897</v>
      </c>
      <c r="C73" s="4">
        <f>VLOOKUP(A73, output_exiobase_v3.10.2_EXIO_IOT_2019_pxp_Y_imports_footprint_FR[], 2, FALSE)</f>
        <v>301879060.71902782</v>
      </c>
      <c r="D73" s="4">
        <f>VLOOKUP(A73, output_exiobase_v3.10.2_EXIO_IOT_2019_pxp_Z_imports_footprint_FR[], 2, FALSE)</f>
        <v>275542055.42882681</v>
      </c>
      <c r="E73" s="4">
        <f>VLOOKUP(A73, output_exiobase_v3.10.2_EXIO_IOT_2019_pxp_Y_production_footprint_FR[], 2, FALSE)</f>
        <v>2448771725.6236286</v>
      </c>
      <c r="F73" s="4">
        <f>VLOOKUP(A73, output_exiobase_v3.10.2_EXIO_IOT_2019_pxp_Z_production_footprint_FR[], 2, FALSE)</f>
        <v>1322925405.5566063</v>
      </c>
      <c r="G73" s="35">
        <f t="shared" si="4"/>
        <v>0.13276739865663509</v>
      </c>
      <c r="H73" s="1">
        <f t="shared" si="5"/>
        <v>0.86723260134336488</v>
      </c>
    </row>
    <row r="74" spans="1:8" x14ac:dyDescent="0.3">
      <c r="A74" s="9" t="s">
        <v>59</v>
      </c>
      <c r="B74" s="29">
        <f t="shared" ref="B74:B105" si="6">SUM(C74:F74)</f>
        <v>4226393701.6788707</v>
      </c>
      <c r="C74" s="4">
        <f>VLOOKUP(A74, output_exiobase_v3.10.2_EXIO_IOT_2019_pxp_Y_imports_footprint_FR[], 2, FALSE)</f>
        <v>1298368159.2880704</v>
      </c>
      <c r="D74" s="4">
        <f>VLOOKUP(A74, output_exiobase_v3.10.2_EXIO_IOT_2019_pxp_Z_imports_footprint_FR[], 2, FALSE)</f>
        <v>647215957.55250502</v>
      </c>
      <c r="E74" s="4">
        <f>VLOOKUP(A74, output_exiobase_v3.10.2_EXIO_IOT_2019_pxp_Y_production_footprint_FR[], 2, FALSE)</f>
        <v>302186002.22414374</v>
      </c>
      <c r="F74" s="4">
        <f>VLOOKUP(A74, output_exiobase_v3.10.2_EXIO_IOT_2019_pxp_Z_production_footprint_FR[], 2, FALSE)</f>
        <v>1978623582.6141515</v>
      </c>
      <c r="G74" s="35">
        <f t="shared" ref="G74:G105" si="7">(C74+D74)/B74</f>
        <v>0.46034142916399901</v>
      </c>
      <c r="H74" s="1">
        <f t="shared" ref="H74:H105" si="8">(E74+F74)/B74</f>
        <v>0.53965857083600088</v>
      </c>
    </row>
    <row r="75" spans="1:8" x14ac:dyDescent="0.3">
      <c r="A75" s="9" t="s">
        <v>92</v>
      </c>
      <c r="B75" s="29">
        <f t="shared" si="6"/>
        <v>4221435820.0450392</v>
      </c>
      <c r="C75" s="4">
        <f>VLOOKUP(A75, output_exiobase_v3.10.2_EXIO_IOT_2019_pxp_Y_imports_footprint_FR[], 2, FALSE)</f>
        <v>462593816.63214529</v>
      </c>
      <c r="D75" s="4">
        <f>VLOOKUP(A75, output_exiobase_v3.10.2_EXIO_IOT_2019_pxp_Z_imports_footprint_FR[], 2, FALSE)</f>
        <v>344664323.94388986</v>
      </c>
      <c r="E75" s="4">
        <f>VLOOKUP(A75, output_exiobase_v3.10.2_EXIO_IOT_2019_pxp_Y_production_footprint_FR[], 2, FALSE)</f>
        <v>2173620731.7305965</v>
      </c>
      <c r="F75" s="4">
        <f>VLOOKUP(A75, output_exiobase_v3.10.2_EXIO_IOT_2019_pxp_Z_production_footprint_FR[], 2, FALSE)</f>
        <v>1240556947.7384076</v>
      </c>
      <c r="G75" s="35">
        <f t="shared" si="7"/>
        <v>0.19122833438396852</v>
      </c>
      <c r="H75" s="1">
        <f t="shared" si="8"/>
        <v>0.80877166561603153</v>
      </c>
    </row>
    <row r="76" spans="1:8" x14ac:dyDescent="0.3">
      <c r="A76" s="9" t="s">
        <v>72</v>
      </c>
      <c r="B76" s="29">
        <f t="shared" si="6"/>
        <v>4213493765.8605881</v>
      </c>
      <c r="C76" s="4">
        <f>VLOOKUP(A76, output_exiobase_v3.10.2_EXIO_IOT_2019_pxp_Y_imports_footprint_FR[], 2, FALSE)</f>
        <v>7.1501240003498019E-4</v>
      </c>
      <c r="D76" s="4">
        <f>VLOOKUP(A76, output_exiobase_v3.10.2_EXIO_IOT_2019_pxp_Z_imports_footprint_FR[], 2, FALSE)</f>
        <v>2650072921.1468558</v>
      </c>
      <c r="E76" s="4">
        <f>VLOOKUP(A76, output_exiobase_v3.10.2_EXIO_IOT_2019_pxp_Y_production_footprint_FR[], 2, FALSE)</f>
        <v>90652697.944591016</v>
      </c>
      <c r="F76" s="4">
        <f>VLOOKUP(A76, output_exiobase_v3.10.2_EXIO_IOT_2019_pxp_Z_production_footprint_FR[], 2, FALSE)</f>
        <v>1472768146.7684262</v>
      </c>
      <c r="G76" s="35">
        <f t="shared" si="7"/>
        <v>0.62894905472971663</v>
      </c>
      <c r="H76" s="1">
        <f t="shared" si="8"/>
        <v>0.37105094527028337</v>
      </c>
    </row>
    <row r="77" spans="1:8" x14ac:dyDescent="0.3">
      <c r="A77" s="9" t="s">
        <v>48</v>
      </c>
      <c r="B77" s="29">
        <f t="shared" si="6"/>
        <v>4127653066.0788136</v>
      </c>
      <c r="C77" s="4">
        <f>VLOOKUP(A77, output_exiobase_v3.10.2_EXIO_IOT_2019_pxp_Y_imports_footprint_FR[], 2, FALSE)</f>
        <v>0</v>
      </c>
      <c r="D77" s="4">
        <f>VLOOKUP(A77, output_exiobase_v3.10.2_EXIO_IOT_2019_pxp_Z_imports_footprint_FR[], 2, FALSE)</f>
        <v>106621884.58118013</v>
      </c>
      <c r="E77" s="4">
        <f>VLOOKUP(A77, output_exiobase_v3.10.2_EXIO_IOT_2019_pxp_Y_production_footprint_FR[], 2, FALSE)</f>
        <v>1250030758.8518138</v>
      </c>
      <c r="F77" s="4">
        <f>VLOOKUP(A77, output_exiobase_v3.10.2_EXIO_IOT_2019_pxp_Z_production_footprint_FR[], 2, FALSE)</f>
        <v>2771000422.6458197</v>
      </c>
      <c r="G77" s="35">
        <f t="shared" si="7"/>
        <v>2.583111586034258E-2</v>
      </c>
      <c r="H77" s="1">
        <f t="shared" si="8"/>
        <v>0.97416888413965741</v>
      </c>
    </row>
    <row r="78" spans="1:8" x14ac:dyDescent="0.3">
      <c r="A78" s="9" t="s">
        <v>175</v>
      </c>
      <c r="B78" s="29">
        <f t="shared" si="6"/>
        <v>4101013319.411458</v>
      </c>
      <c r="C78" s="4">
        <f>VLOOKUP(A78, output_exiobase_v3.10.2_EXIO_IOT_2019_pxp_Y_imports_footprint_FR[], 2, FALSE)</f>
        <v>2866939.9570019245</v>
      </c>
      <c r="D78" s="4">
        <f>VLOOKUP(A78, output_exiobase_v3.10.2_EXIO_IOT_2019_pxp_Z_imports_footprint_FR[], 2, FALSE)</f>
        <v>521008259.74777991</v>
      </c>
      <c r="E78" s="4">
        <f>VLOOKUP(A78, output_exiobase_v3.10.2_EXIO_IOT_2019_pxp_Y_production_footprint_FR[], 2, FALSE)</f>
        <v>9277785.0249296352</v>
      </c>
      <c r="F78" s="4">
        <f>VLOOKUP(A78, output_exiobase_v3.10.2_EXIO_IOT_2019_pxp_Z_production_footprint_FR[], 2, FALSE)</f>
        <v>3567860334.6817465</v>
      </c>
      <c r="G78" s="35">
        <f t="shared" si="7"/>
        <v>0.12774286716531899</v>
      </c>
      <c r="H78" s="1">
        <f t="shared" si="8"/>
        <v>0.87225713283468098</v>
      </c>
    </row>
    <row r="79" spans="1:8" x14ac:dyDescent="0.3">
      <c r="A79" s="9" t="s">
        <v>115</v>
      </c>
      <c r="B79" s="29">
        <f t="shared" si="6"/>
        <v>3841739478.7319264</v>
      </c>
      <c r="C79" s="4">
        <f>VLOOKUP(A79, output_exiobase_v3.10.2_EXIO_IOT_2019_pxp_Y_imports_footprint_FR[], 2, FALSE)</f>
        <v>815670059.49182522</v>
      </c>
      <c r="D79" s="4">
        <f>VLOOKUP(A79, output_exiobase_v3.10.2_EXIO_IOT_2019_pxp_Z_imports_footprint_FR[], 2, FALSE)</f>
        <v>1150557065.7950885</v>
      </c>
      <c r="E79" s="4">
        <f>VLOOKUP(A79, output_exiobase_v3.10.2_EXIO_IOT_2019_pxp_Y_production_footprint_FR[], 2, FALSE)</f>
        <v>237890887.64841136</v>
      </c>
      <c r="F79" s="4">
        <f>VLOOKUP(A79, output_exiobase_v3.10.2_EXIO_IOT_2019_pxp_Z_production_footprint_FR[], 2, FALSE)</f>
        <v>1637621465.7966013</v>
      </c>
      <c r="G79" s="35">
        <f t="shared" si="7"/>
        <v>0.51180647104574672</v>
      </c>
      <c r="H79" s="1">
        <f t="shared" si="8"/>
        <v>0.48819352895425328</v>
      </c>
    </row>
    <row r="80" spans="1:8" x14ac:dyDescent="0.3">
      <c r="A80" s="9" t="s">
        <v>44</v>
      </c>
      <c r="B80" s="29">
        <f t="shared" si="6"/>
        <v>3835704177.0419731</v>
      </c>
      <c r="C80" s="4">
        <f>VLOOKUP(A80, output_exiobase_v3.10.2_EXIO_IOT_2019_pxp_Y_imports_footprint_FR[], 2, FALSE)</f>
        <v>0</v>
      </c>
      <c r="D80" s="4">
        <f>VLOOKUP(A80, output_exiobase_v3.10.2_EXIO_IOT_2019_pxp_Z_imports_footprint_FR[], 2, FALSE)</f>
        <v>593625694.56127429</v>
      </c>
      <c r="E80" s="4">
        <f>VLOOKUP(A80, output_exiobase_v3.10.2_EXIO_IOT_2019_pxp_Y_production_footprint_FR[], 2, FALSE)</f>
        <v>1016535270.2024348</v>
      </c>
      <c r="F80" s="4">
        <f>VLOOKUP(A80, output_exiobase_v3.10.2_EXIO_IOT_2019_pxp_Z_production_footprint_FR[], 2, FALSE)</f>
        <v>2225543212.278264</v>
      </c>
      <c r="G80" s="35">
        <f t="shared" si="7"/>
        <v>0.15476315877390417</v>
      </c>
      <c r="H80" s="1">
        <f t="shared" si="8"/>
        <v>0.84523684122609577</v>
      </c>
    </row>
    <row r="81" spans="1:8" x14ac:dyDescent="0.3">
      <c r="A81" s="9" t="s">
        <v>188</v>
      </c>
      <c r="B81" s="29">
        <f t="shared" si="6"/>
        <v>3830097818.3429604</v>
      </c>
      <c r="C81" s="4">
        <f>VLOOKUP(A81, output_exiobase_v3.10.2_EXIO_IOT_2019_pxp_Y_imports_footprint_FR[], 2, FALSE)</f>
        <v>110578.19129373296</v>
      </c>
      <c r="D81" s="4">
        <f>VLOOKUP(A81, output_exiobase_v3.10.2_EXIO_IOT_2019_pxp_Z_imports_footprint_FR[], 2, FALSE)</f>
        <v>2254931699.6134419</v>
      </c>
      <c r="E81" s="4">
        <f>VLOOKUP(A81, output_exiobase_v3.10.2_EXIO_IOT_2019_pxp_Y_production_footprint_FR[], 2, FALSE)</f>
        <v>2341816.1563235316</v>
      </c>
      <c r="F81" s="4">
        <f>VLOOKUP(A81, output_exiobase_v3.10.2_EXIO_IOT_2019_pxp_Z_production_footprint_FR[], 2, FALSE)</f>
        <v>1572713724.3819015</v>
      </c>
      <c r="G81" s="35">
        <f t="shared" si="7"/>
        <v>0.58876884736597901</v>
      </c>
      <c r="H81" s="1">
        <f t="shared" si="8"/>
        <v>0.41123115263402105</v>
      </c>
    </row>
    <row r="82" spans="1:8" x14ac:dyDescent="0.3">
      <c r="A82" s="9" t="s">
        <v>21</v>
      </c>
      <c r="B82" s="29">
        <f t="shared" si="6"/>
        <v>3678976896.2328973</v>
      </c>
      <c r="C82" s="4">
        <f>VLOOKUP(A82, output_exiobase_v3.10.2_EXIO_IOT_2019_pxp_Y_imports_footprint_FR[], 2, FALSE)</f>
        <v>439546928.13145626</v>
      </c>
      <c r="D82" s="4">
        <f>VLOOKUP(A82, output_exiobase_v3.10.2_EXIO_IOT_2019_pxp_Z_imports_footprint_FR[], 2, FALSE)</f>
        <v>1853040374.0142965</v>
      </c>
      <c r="E82" s="4">
        <f>VLOOKUP(A82, output_exiobase_v3.10.2_EXIO_IOT_2019_pxp_Y_production_footprint_FR[], 2, FALSE)</f>
        <v>327185442.46956402</v>
      </c>
      <c r="F82" s="4">
        <f>VLOOKUP(A82, output_exiobase_v3.10.2_EXIO_IOT_2019_pxp_Z_production_footprint_FR[], 2, FALSE)</f>
        <v>1059204151.6175803</v>
      </c>
      <c r="G82" s="35">
        <f t="shared" si="7"/>
        <v>0.62315892891125702</v>
      </c>
      <c r="H82" s="1">
        <f t="shared" si="8"/>
        <v>0.37684107108874304</v>
      </c>
    </row>
    <row r="83" spans="1:8" x14ac:dyDescent="0.3">
      <c r="A83" s="9" t="s">
        <v>34</v>
      </c>
      <c r="B83" s="29">
        <f t="shared" si="6"/>
        <v>3673204728.1437998</v>
      </c>
      <c r="C83" s="4">
        <f>VLOOKUP(A83, output_exiobase_v3.10.2_EXIO_IOT_2019_pxp_Y_imports_footprint_FR[], 2, FALSE)</f>
        <v>591708.34438282659</v>
      </c>
      <c r="D83" s="4">
        <f>VLOOKUP(A83, output_exiobase_v3.10.2_EXIO_IOT_2019_pxp_Z_imports_footprint_FR[], 2, FALSE)</f>
        <v>1995486134.2583098</v>
      </c>
      <c r="E83" s="4">
        <f>VLOOKUP(A83, output_exiobase_v3.10.2_EXIO_IOT_2019_pxp_Y_production_footprint_FR[], 2, FALSE)</f>
        <v>24824667.471020564</v>
      </c>
      <c r="F83" s="4">
        <f>VLOOKUP(A83, output_exiobase_v3.10.2_EXIO_IOT_2019_pxp_Z_production_footprint_FR[], 2, FALSE)</f>
        <v>1652302218.070087</v>
      </c>
      <c r="G83" s="35">
        <f t="shared" si="7"/>
        <v>0.54341589710720573</v>
      </c>
      <c r="H83" s="1">
        <f t="shared" si="8"/>
        <v>0.45658410289279439</v>
      </c>
    </row>
    <row r="84" spans="1:8" x14ac:dyDescent="0.3">
      <c r="A84" s="9" t="s">
        <v>66</v>
      </c>
      <c r="B84" s="29">
        <f t="shared" si="6"/>
        <v>3614058311.3695722</v>
      </c>
      <c r="C84" s="4">
        <f>VLOOKUP(A84, output_exiobase_v3.10.2_EXIO_IOT_2019_pxp_Y_imports_footprint_FR[], 2, FALSE)</f>
        <v>0</v>
      </c>
      <c r="D84" s="4">
        <f>VLOOKUP(A84, output_exiobase_v3.10.2_EXIO_IOT_2019_pxp_Z_imports_footprint_FR[], 2, FALSE)</f>
        <v>0</v>
      </c>
      <c r="E84" s="4">
        <f>VLOOKUP(A84, output_exiobase_v3.10.2_EXIO_IOT_2019_pxp_Y_production_footprint_FR[], 2, FALSE)</f>
        <v>537950.24872124707</v>
      </c>
      <c r="F84" s="4">
        <f>VLOOKUP(A84, output_exiobase_v3.10.2_EXIO_IOT_2019_pxp_Z_production_footprint_FR[], 2, FALSE)</f>
        <v>3613520361.120851</v>
      </c>
      <c r="G84" s="35">
        <f t="shared" si="7"/>
        <v>0</v>
      </c>
      <c r="H84" s="1">
        <f t="shared" si="8"/>
        <v>1</v>
      </c>
    </row>
    <row r="85" spans="1:8" x14ac:dyDescent="0.3">
      <c r="A85" s="9" t="s">
        <v>146</v>
      </c>
      <c r="B85" s="29">
        <f t="shared" si="6"/>
        <v>3608908928.5852942</v>
      </c>
      <c r="C85" s="4">
        <f>VLOOKUP(A85, output_exiobase_v3.10.2_EXIO_IOT_2019_pxp_Y_imports_footprint_FR[], 2, FALSE)</f>
        <v>708993713.41899347</v>
      </c>
      <c r="D85" s="4">
        <f>VLOOKUP(A85, output_exiobase_v3.10.2_EXIO_IOT_2019_pxp_Z_imports_footprint_FR[], 2, FALSE)</f>
        <v>17416566.756157838</v>
      </c>
      <c r="E85" s="4">
        <f>VLOOKUP(A85, output_exiobase_v3.10.2_EXIO_IOT_2019_pxp_Y_production_footprint_FR[], 2, FALSE)</f>
        <v>2314787709.5425072</v>
      </c>
      <c r="F85" s="4">
        <f>VLOOKUP(A85, output_exiobase_v3.10.2_EXIO_IOT_2019_pxp_Z_production_footprint_FR[], 2, FALSE)</f>
        <v>567710938.86763585</v>
      </c>
      <c r="G85" s="35">
        <f t="shared" si="7"/>
        <v>0.20128251905206898</v>
      </c>
      <c r="H85" s="1">
        <f t="shared" si="8"/>
        <v>0.79871748094793105</v>
      </c>
    </row>
    <row r="86" spans="1:8" x14ac:dyDescent="0.3">
      <c r="A86" s="9" t="s">
        <v>145</v>
      </c>
      <c r="B86" s="29">
        <f t="shared" si="6"/>
        <v>3430077112.612618</v>
      </c>
      <c r="C86" s="4">
        <f>VLOOKUP(A86, output_exiobase_v3.10.2_EXIO_IOT_2019_pxp_Y_imports_footprint_FR[], 2, FALSE)</f>
        <v>452128041.73683602</v>
      </c>
      <c r="D86" s="4">
        <f>VLOOKUP(A86, output_exiobase_v3.10.2_EXIO_IOT_2019_pxp_Z_imports_footprint_FR[], 2, FALSE)</f>
        <v>369220056.92887765</v>
      </c>
      <c r="E86" s="4">
        <f>VLOOKUP(A86, output_exiobase_v3.10.2_EXIO_IOT_2019_pxp_Y_production_footprint_FR[], 2, FALSE)</f>
        <v>1479939420.1207042</v>
      </c>
      <c r="F86" s="4">
        <f>VLOOKUP(A86, output_exiobase_v3.10.2_EXIO_IOT_2019_pxp_Z_production_footprint_FR[], 2, FALSE)</f>
        <v>1128789593.8262</v>
      </c>
      <c r="G86" s="35">
        <f t="shared" si="7"/>
        <v>0.23945470369909846</v>
      </c>
      <c r="H86" s="1">
        <f t="shared" si="8"/>
        <v>0.76054529630090151</v>
      </c>
    </row>
    <row r="87" spans="1:8" x14ac:dyDescent="0.3">
      <c r="A87" s="9" t="s">
        <v>187</v>
      </c>
      <c r="B87" s="29">
        <f t="shared" si="6"/>
        <v>3153409229.3243308</v>
      </c>
      <c r="C87" s="4">
        <f>VLOOKUP(A87, output_exiobase_v3.10.2_EXIO_IOT_2019_pxp_Y_imports_footprint_FR[], 2, FALSE)</f>
        <v>0</v>
      </c>
      <c r="D87" s="4">
        <f>VLOOKUP(A87, output_exiobase_v3.10.2_EXIO_IOT_2019_pxp_Z_imports_footprint_FR[], 2, FALSE)</f>
        <v>0</v>
      </c>
      <c r="E87" s="4">
        <f>VLOOKUP(A87, output_exiobase_v3.10.2_EXIO_IOT_2019_pxp_Y_production_footprint_FR[], 2, FALSE)</f>
        <v>1563531977.3169534</v>
      </c>
      <c r="F87" s="4">
        <f>VLOOKUP(A87, output_exiobase_v3.10.2_EXIO_IOT_2019_pxp_Z_production_footprint_FR[], 2, FALSE)</f>
        <v>1589877252.0073774</v>
      </c>
      <c r="G87" s="35">
        <f t="shared" si="7"/>
        <v>0</v>
      </c>
      <c r="H87" s="1">
        <f t="shared" si="8"/>
        <v>1</v>
      </c>
    </row>
    <row r="88" spans="1:8" x14ac:dyDescent="0.3">
      <c r="A88" s="9" t="s">
        <v>87</v>
      </c>
      <c r="B88" s="29">
        <f t="shared" si="6"/>
        <v>3083468069.3470254</v>
      </c>
      <c r="C88" s="4">
        <f>VLOOKUP(A88, output_exiobase_v3.10.2_EXIO_IOT_2019_pxp_Y_imports_footprint_FR[], 2, FALSE)</f>
        <v>613260994.23413992</v>
      </c>
      <c r="D88" s="4">
        <f>VLOOKUP(A88, output_exiobase_v3.10.2_EXIO_IOT_2019_pxp_Z_imports_footprint_FR[], 2, FALSE)</f>
        <v>1383753555.8115373</v>
      </c>
      <c r="E88" s="4">
        <f>VLOOKUP(A88, output_exiobase_v3.10.2_EXIO_IOT_2019_pxp_Y_production_footprint_FR[], 2, FALSE)</f>
        <v>267084308.77113864</v>
      </c>
      <c r="F88" s="4">
        <f>VLOOKUP(A88, output_exiobase_v3.10.2_EXIO_IOT_2019_pxp_Z_production_footprint_FR[], 2, FALSE)</f>
        <v>819369210.53020954</v>
      </c>
      <c r="G88" s="35">
        <f t="shared" si="7"/>
        <v>0.6476520934003307</v>
      </c>
      <c r="H88" s="1">
        <f t="shared" si="8"/>
        <v>0.35234790659966925</v>
      </c>
    </row>
    <row r="89" spans="1:8" x14ac:dyDescent="0.3">
      <c r="A89" s="9" t="s">
        <v>139</v>
      </c>
      <c r="B89" s="29">
        <f t="shared" si="6"/>
        <v>3024897950.5931182</v>
      </c>
      <c r="C89" s="4">
        <f>VLOOKUP(A89, output_exiobase_v3.10.2_EXIO_IOT_2019_pxp_Y_imports_footprint_FR[], 2, FALSE)</f>
        <v>3643263.8129281788</v>
      </c>
      <c r="D89" s="4">
        <f>VLOOKUP(A89, output_exiobase_v3.10.2_EXIO_IOT_2019_pxp_Z_imports_footprint_FR[], 2, FALSE)</f>
        <v>455584507.21643496</v>
      </c>
      <c r="E89" s="4">
        <f>VLOOKUP(A89, output_exiobase_v3.10.2_EXIO_IOT_2019_pxp_Y_production_footprint_FR[], 2, FALSE)</f>
        <v>87478639.129023418</v>
      </c>
      <c r="F89" s="4">
        <f>VLOOKUP(A89, output_exiobase_v3.10.2_EXIO_IOT_2019_pxp_Z_production_footprint_FR[], 2, FALSE)</f>
        <v>2478191540.4347315</v>
      </c>
      <c r="G89" s="35">
        <f t="shared" si="7"/>
        <v>0.15181595496116435</v>
      </c>
      <c r="H89" s="1">
        <f t="shared" si="8"/>
        <v>0.84818404503883571</v>
      </c>
    </row>
    <row r="90" spans="1:8" x14ac:dyDescent="0.3">
      <c r="A90" s="9" t="s">
        <v>101</v>
      </c>
      <c r="B90" s="29">
        <f t="shared" si="6"/>
        <v>2982337337.2776423</v>
      </c>
      <c r="C90" s="4">
        <f>VLOOKUP(A90, output_exiobase_v3.10.2_EXIO_IOT_2019_pxp_Y_imports_footprint_FR[], 2, FALSE)</f>
        <v>158417468.7538273</v>
      </c>
      <c r="D90" s="4">
        <f>VLOOKUP(A90, output_exiobase_v3.10.2_EXIO_IOT_2019_pxp_Z_imports_footprint_FR[], 2, FALSE)</f>
        <v>2339287144.1239219</v>
      </c>
      <c r="E90" s="4">
        <f>VLOOKUP(A90, output_exiobase_v3.10.2_EXIO_IOT_2019_pxp_Y_production_footprint_FR[], 2, FALSE)</f>
        <v>248755910.30941257</v>
      </c>
      <c r="F90" s="4">
        <f>VLOOKUP(A90, output_exiobase_v3.10.2_EXIO_IOT_2019_pxp_Z_production_footprint_FR[], 2, FALSE)</f>
        <v>235876814.0904806</v>
      </c>
      <c r="G90" s="35">
        <f t="shared" si="7"/>
        <v>0.83749902523023134</v>
      </c>
      <c r="H90" s="1">
        <f t="shared" si="8"/>
        <v>0.16250097476976866</v>
      </c>
    </row>
    <row r="91" spans="1:8" x14ac:dyDescent="0.3">
      <c r="A91" s="9" t="s">
        <v>58</v>
      </c>
      <c r="B91" s="29">
        <f t="shared" si="6"/>
        <v>2860865951.4457417</v>
      </c>
      <c r="C91" s="4">
        <f>VLOOKUP(A91, output_exiobase_v3.10.2_EXIO_IOT_2019_pxp_Y_imports_footprint_FR[], 2, FALSE)</f>
        <v>148714272.65474528</v>
      </c>
      <c r="D91" s="4">
        <f>VLOOKUP(A91, output_exiobase_v3.10.2_EXIO_IOT_2019_pxp_Z_imports_footprint_FR[], 2, FALSE)</f>
        <v>959382925.38531375</v>
      </c>
      <c r="E91" s="4">
        <f>VLOOKUP(A91, output_exiobase_v3.10.2_EXIO_IOT_2019_pxp_Y_production_footprint_FR[], 2, FALSE)</f>
        <v>486920756.17858446</v>
      </c>
      <c r="F91" s="4">
        <f>VLOOKUP(A91, output_exiobase_v3.10.2_EXIO_IOT_2019_pxp_Z_production_footprint_FR[], 2, FALSE)</f>
        <v>1265847997.2270977</v>
      </c>
      <c r="G91" s="35">
        <f t="shared" si="7"/>
        <v>0.38732929708925407</v>
      </c>
      <c r="H91" s="1">
        <f t="shared" si="8"/>
        <v>0.61267070291074577</v>
      </c>
    </row>
    <row r="92" spans="1:8" x14ac:dyDescent="0.3">
      <c r="A92" s="9" t="s">
        <v>118</v>
      </c>
      <c r="B92" s="29">
        <f t="shared" si="6"/>
        <v>2821621652.8422413</v>
      </c>
      <c r="C92" s="4">
        <f>VLOOKUP(A92, output_exiobase_v3.10.2_EXIO_IOT_2019_pxp_Y_imports_footprint_FR[], 2, FALSE)</f>
        <v>0</v>
      </c>
      <c r="D92" s="4">
        <f>VLOOKUP(A92, output_exiobase_v3.10.2_EXIO_IOT_2019_pxp_Z_imports_footprint_FR[], 2, FALSE)</f>
        <v>20988537.008290641</v>
      </c>
      <c r="E92" s="4">
        <f>VLOOKUP(A92, output_exiobase_v3.10.2_EXIO_IOT_2019_pxp_Y_production_footprint_FR[], 2, FALSE)</f>
        <v>596572681.44477141</v>
      </c>
      <c r="F92" s="4">
        <f>VLOOKUP(A92, output_exiobase_v3.10.2_EXIO_IOT_2019_pxp_Z_production_footprint_FR[], 2, FALSE)</f>
        <v>2204060434.3891792</v>
      </c>
      <c r="G92" s="35">
        <f t="shared" si="7"/>
        <v>7.4384660987941902E-3</v>
      </c>
      <c r="H92" s="1">
        <f t="shared" si="8"/>
        <v>0.99256153390120572</v>
      </c>
    </row>
    <row r="93" spans="1:8" x14ac:dyDescent="0.3">
      <c r="A93" s="9" t="s">
        <v>131</v>
      </c>
      <c r="B93" s="29">
        <f t="shared" si="6"/>
        <v>2765228094.3925004</v>
      </c>
      <c r="C93" s="4">
        <f>VLOOKUP(A93, output_exiobase_v3.10.2_EXIO_IOT_2019_pxp_Y_imports_footprint_FR[], 2, FALSE)</f>
        <v>4237199.3844024148</v>
      </c>
      <c r="D93" s="4">
        <f>VLOOKUP(A93, output_exiobase_v3.10.2_EXIO_IOT_2019_pxp_Z_imports_footprint_FR[], 2, FALSE)</f>
        <v>9081019.8765657507</v>
      </c>
      <c r="E93" s="4">
        <f>VLOOKUP(A93, output_exiobase_v3.10.2_EXIO_IOT_2019_pxp_Y_production_footprint_FR[], 2, FALSE)</f>
        <v>513389643.75347865</v>
      </c>
      <c r="F93" s="4">
        <f>VLOOKUP(A93, output_exiobase_v3.10.2_EXIO_IOT_2019_pxp_Z_production_footprint_FR[], 2, FALSE)</f>
        <v>2238520231.3780537</v>
      </c>
      <c r="G93" s="35">
        <f t="shared" si="7"/>
        <v>4.8163185120155801E-3</v>
      </c>
      <c r="H93" s="1">
        <f t="shared" si="8"/>
        <v>0.99518368148798442</v>
      </c>
    </row>
    <row r="94" spans="1:8" x14ac:dyDescent="0.3">
      <c r="A94" s="9" t="s">
        <v>120</v>
      </c>
      <c r="B94" s="29">
        <f t="shared" si="6"/>
        <v>2703667369.6611218</v>
      </c>
      <c r="C94" s="4">
        <f>VLOOKUP(A94, output_exiobase_v3.10.2_EXIO_IOT_2019_pxp_Y_imports_footprint_FR[], 2, FALSE)</f>
        <v>353711576.73326749</v>
      </c>
      <c r="D94" s="4">
        <f>VLOOKUP(A94, output_exiobase_v3.10.2_EXIO_IOT_2019_pxp_Z_imports_footprint_FR[], 2, FALSE)</f>
        <v>2002728505.9547429</v>
      </c>
      <c r="E94" s="4">
        <f>VLOOKUP(A94, output_exiobase_v3.10.2_EXIO_IOT_2019_pxp_Y_production_footprint_FR[], 2, FALSE)</f>
        <v>69836308.34892258</v>
      </c>
      <c r="F94" s="4">
        <f>VLOOKUP(A94, output_exiobase_v3.10.2_EXIO_IOT_2019_pxp_Z_production_footprint_FR[], 2, FALSE)</f>
        <v>277390978.62418884</v>
      </c>
      <c r="G94" s="35">
        <f t="shared" si="7"/>
        <v>0.87157174330338083</v>
      </c>
      <c r="H94" s="1">
        <f t="shared" si="8"/>
        <v>0.12842825669661906</v>
      </c>
    </row>
    <row r="95" spans="1:8" x14ac:dyDescent="0.3">
      <c r="A95" s="9" t="s">
        <v>162</v>
      </c>
      <c r="B95" s="29">
        <f t="shared" si="6"/>
        <v>2577147302.7465963</v>
      </c>
      <c r="C95" s="4">
        <f>VLOOKUP(A95, output_exiobase_v3.10.2_EXIO_IOT_2019_pxp_Y_imports_footprint_FR[], 2, FALSE)</f>
        <v>24224433.640416268</v>
      </c>
      <c r="D95" s="4">
        <f>VLOOKUP(A95, output_exiobase_v3.10.2_EXIO_IOT_2019_pxp_Z_imports_footprint_FR[], 2, FALSE)</f>
        <v>183060758.12381023</v>
      </c>
      <c r="E95" s="4">
        <f>VLOOKUP(A95, output_exiobase_v3.10.2_EXIO_IOT_2019_pxp_Y_production_footprint_FR[], 2, FALSE)</f>
        <v>133266079.69225447</v>
      </c>
      <c r="F95" s="4">
        <f>VLOOKUP(A95, output_exiobase_v3.10.2_EXIO_IOT_2019_pxp_Z_production_footprint_FR[], 2, FALSE)</f>
        <v>2236596031.2901154</v>
      </c>
      <c r="G95" s="35">
        <f t="shared" si="7"/>
        <v>8.0432031007041063E-2</v>
      </c>
      <c r="H95" s="1">
        <f t="shared" si="8"/>
        <v>0.91956796899295901</v>
      </c>
    </row>
    <row r="96" spans="1:8" x14ac:dyDescent="0.3">
      <c r="A96" s="9" t="s">
        <v>180</v>
      </c>
      <c r="B96" s="29">
        <f t="shared" si="6"/>
        <v>2437520708.8611236</v>
      </c>
      <c r="C96" s="4">
        <f>VLOOKUP(A96, output_exiobase_v3.10.2_EXIO_IOT_2019_pxp_Y_imports_footprint_FR[], 2, FALSE)</f>
        <v>87177602.713059798</v>
      </c>
      <c r="D96" s="4">
        <f>VLOOKUP(A96, output_exiobase_v3.10.2_EXIO_IOT_2019_pxp_Z_imports_footprint_FR[], 2, FALSE)</f>
        <v>108304787.56209795</v>
      </c>
      <c r="E96" s="4">
        <f>VLOOKUP(A96, output_exiobase_v3.10.2_EXIO_IOT_2019_pxp_Y_production_footprint_FR[], 2, FALSE)</f>
        <v>830682480.70153964</v>
      </c>
      <c r="F96" s="4">
        <f>VLOOKUP(A96, output_exiobase_v3.10.2_EXIO_IOT_2019_pxp_Z_production_footprint_FR[], 2, FALSE)</f>
        <v>1411355837.8844261</v>
      </c>
      <c r="G96" s="35">
        <f t="shared" si="7"/>
        <v>8.0197222351596958E-2</v>
      </c>
      <c r="H96" s="1">
        <f t="shared" si="8"/>
        <v>0.91980277764840301</v>
      </c>
    </row>
    <row r="97" spans="1:9" x14ac:dyDescent="0.3">
      <c r="A97" s="9" t="s">
        <v>178</v>
      </c>
      <c r="B97" s="29">
        <f t="shared" si="6"/>
        <v>2320891613.3629875</v>
      </c>
      <c r="C97" s="4">
        <f>VLOOKUP(A97, output_exiobase_v3.10.2_EXIO_IOT_2019_pxp_Y_imports_footprint_FR[], 2, FALSE)</f>
        <v>545942.80189503392</v>
      </c>
      <c r="D97" s="4">
        <f>VLOOKUP(A97, output_exiobase_v3.10.2_EXIO_IOT_2019_pxp_Z_imports_footprint_FR[], 2, FALSE)</f>
        <v>81106989.41045548</v>
      </c>
      <c r="E97" s="4">
        <f>VLOOKUP(A97, output_exiobase_v3.10.2_EXIO_IOT_2019_pxp_Y_production_footprint_FR[], 2, FALSE)</f>
        <v>39484333.98444774</v>
      </c>
      <c r="F97" s="4">
        <f>VLOOKUP(A97, output_exiobase_v3.10.2_EXIO_IOT_2019_pxp_Z_production_footprint_FR[], 2, FALSE)</f>
        <v>2199754347.1661892</v>
      </c>
      <c r="G97" s="35">
        <f t="shared" si="7"/>
        <v>3.5181708504704735E-2</v>
      </c>
      <c r="H97" s="1">
        <f t="shared" si="8"/>
        <v>0.9648182914952953</v>
      </c>
    </row>
    <row r="98" spans="1:9" x14ac:dyDescent="0.3">
      <c r="A98" s="9" t="s">
        <v>100</v>
      </c>
      <c r="B98" s="29">
        <f t="shared" si="6"/>
        <v>2314845820.7613831</v>
      </c>
      <c r="C98" s="4">
        <f>VLOOKUP(A98, output_exiobase_v3.10.2_EXIO_IOT_2019_pxp_Y_imports_footprint_FR[], 2, FALSE)</f>
        <v>0</v>
      </c>
      <c r="D98" s="4">
        <f>VLOOKUP(A98, output_exiobase_v3.10.2_EXIO_IOT_2019_pxp_Z_imports_footprint_FR[], 2, FALSE)</f>
        <v>2314845820.7613831</v>
      </c>
      <c r="E98" s="4">
        <f>VLOOKUP(A98, output_exiobase_v3.10.2_EXIO_IOT_2019_pxp_Y_production_footprint_FR[], 2, FALSE)</f>
        <v>0</v>
      </c>
      <c r="F98" s="4">
        <f>VLOOKUP(A98, output_exiobase_v3.10.2_EXIO_IOT_2019_pxp_Z_production_footprint_FR[], 2, FALSE)</f>
        <v>0</v>
      </c>
      <c r="G98" s="35">
        <f t="shared" si="7"/>
        <v>1</v>
      </c>
      <c r="H98" s="1">
        <f t="shared" si="8"/>
        <v>0</v>
      </c>
    </row>
    <row r="99" spans="1:9" x14ac:dyDescent="0.3">
      <c r="A99" s="9" t="s">
        <v>141</v>
      </c>
      <c r="B99" s="29">
        <f t="shared" si="6"/>
        <v>2275689086.3413019</v>
      </c>
      <c r="C99" s="4">
        <f>VLOOKUP(A99, output_exiobase_v3.10.2_EXIO_IOT_2019_pxp_Y_imports_footprint_FR[], 2, FALSE)</f>
        <v>14381.730903112768</v>
      </c>
      <c r="D99" s="4">
        <f>VLOOKUP(A99, output_exiobase_v3.10.2_EXIO_IOT_2019_pxp_Z_imports_footprint_FR[], 2, FALSE)</f>
        <v>2208854767.2354994</v>
      </c>
      <c r="E99" s="4">
        <f>VLOOKUP(A99, output_exiobase_v3.10.2_EXIO_IOT_2019_pxp_Y_production_footprint_FR[], 2, FALSE)</f>
        <v>57466241.052877612</v>
      </c>
      <c r="F99" s="4">
        <f>VLOOKUP(A99, output_exiobase_v3.10.2_EXIO_IOT_2019_pxp_Z_production_footprint_FR[], 2, FALSE)</f>
        <v>9353696.322021855</v>
      </c>
      <c r="G99" s="35">
        <f t="shared" si="7"/>
        <v>0.9706374927155238</v>
      </c>
      <c r="H99" s="1">
        <f t="shared" si="8"/>
        <v>2.9362507284476203E-2</v>
      </c>
    </row>
    <row r="100" spans="1:9" x14ac:dyDescent="0.3">
      <c r="A100" s="9" t="s">
        <v>83</v>
      </c>
      <c r="B100" s="29">
        <f t="shared" si="6"/>
        <v>2006643636.8773265</v>
      </c>
      <c r="C100" s="4">
        <f>VLOOKUP(A100, output_exiobase_v3.10.2_EXIO_IOT_2019_pxp_Y_imports_footprint_FR[], 2, FALSE)</f>
        <v>264577.99051336251</v>
      </c>
      <c r="D100" s="4">
        <f>VLOOKUP(A100, output_exiobase_v3.10.2_EXIO_IOT_2019_pxp_Z_imports_footprint_FR[], 2, FALSE)</f>
        <v>759154681.50780237</v>
      </c>
      <c r="E100" s="4">
        <f>VLOOKUP(A100, output_exiobase_v3.10.2_EXIO_IOT_2019_pxp_Y_production_footprint_FR[], 2, FALSE)</f>
        <v>74150666.738107949</v>
      </c>
      <c r="F100" s="4">
        <f>VLOOKUP(A100, output_exiobase_v3.10.2_EXIO_IOT_2019_pxp_Z_production_footprint_FR[], 2, FALSE)</f>
        <v>1173073710.640903</v>
      </c>
      <c r="G100" s="35">
        <f t="shared" si="7"/>
        <v>0.37845247932517767</v>
      </c>
      <c r="H100" s="1">
        <f t="shared" si="8"/>
        <v>0.62154752067482244</v>
      </c>
    </row>
    <row r="101" spans="1:9" x14ac:dyDescent="0.3">
      <c r="A101" s="9" t="s">
        <v>99</v>
      </c>
      <c r="B101" s="29">
        <f t="shared" si="6"/>
        <v>1966520670.426755</v>
      </c>
      <c r="C101" s="4">
        <f>VLOOKUP(A101, output_exiobase_v3.10.2_EXIO_IOT_2019_pxp_Y_imports_footprint_FR[], 2, FALSE)</f>
        <v>29775303.514087815</v>
      </c>
      <c r="D101" s="4">
        <f>VLOOKUP(A101, output_exiobase_v3.10.2_EXIO_IOT_2019_pxp_Z_imports_footprint_FR[], 2, FALSE)</f>
        <v>701793241.50980341</v>
      </c>
      <c r="E101" s="4">
        <f>VLOOKUP(A101, output_exiobase_v3.10.2_EXIO_IOT_2019_pxp_Y_production_footprint_FR[], 2, FALSE)</f>
        <v>5354820.901620334</v>
      </c>
      <c r="F101" s="4">
        <f>VLOOKUP(A101, output_exiobase_v3.10.2_EXIO_IOT_2019_pxp_Z_production_footprint_FR[], 2, FALSE)</f>
        <v>1229597304.5012434</v>
      </c>
      <c r="G101" s="35">
        <f t="shared" si="7"/>
        <v>0.37201162236709845</v>
      </c>
      <c r="H101" s="1">
        <f t="shared" si="8"/>
        <v>0.62798837763290161</v>
      </c>
    </row>
    <row r="102" spans="1:9" x14ac:dyDescent="0.3">
      <c r="A102" s="9" t="s">
        <v>93</v>
      </c>
      <c r="B102" s="29">
        <f t="shared" si="6"/>
        <v>1960966476.4546986</v>
      </c>
      <c r="C102" s="4">
        <f>VLOOKUP(A102, output_exiobase_v3.10.2_EXIO_IOT_2019_pxp_Y_imports_footprint_FR[], 2, FALSE)</f>
        <v>699909080.1079253</v>
      </c>
      <c r="D102" s="4">
        <f>VLOOKUP(A102, output_exiobase_v3.10.2_EXIO_IOT_2019_pxp_Z_imports_footprint_FR[], 2, FALSE)</f>
        <v>32943407.811147705</v>
      </c>
      <c r="E102" s="4">
        <f>VLOOKUP(A102, output_exiobase_v3.10.2_EXIO_IOT_2019_pxp_Y_production_footprint_FR[], 2, FALSE)</f>
        <v>573669729.72216117</v>
      </c>
      <c r="F102" s="4">
        <f>VLOOKUP(A102, output_exiobase_v3.10.2_EXIO_IOT_2019_pxp_Z_production_footprint_FR[], 2, FALSE)</f>
        <v>654444258.81346428</v>
      </c>
      <c r="G102" s="35">
        <f t="shared" si="7"/>
        <v>0.37372004912803158</v>
      </c>
      <c r="H102" s="1">
        <f t="shared" si="8"/>
        <v>0.62627995087196831</v>
      </c>
    </row>
    <row r="103" spans="1:9" x14ac:dyDescent="0.3">
      <c r="A103" s="9" t="s">
        <v>181</v>
      </c>
      <c r="B103" s="29">
        <f t="shared" si="6"/>
        <v>1930575989.3893285</v>
      </c>
      <c r="C103" s="4">
        <f>VLOOKUP(A103, output_exiobase_v3.10.2_EXIO_IOT_2019_pxp_Y_imports_footprint_FR[], 2, FALSE)</f>
        <v>1.3484834823331046E-3</v>
      </c>
      <c r="D103" s="4">
        <f>VLOOKUP(A103, output_exiobase_v3.10.2_EXIO_IOT_2019_pxp_Z_imports_footprint_FR[], 2, FALSE)</f>
        <v>459167.70341323572</v>
      </c>
      <c r="E103" s="4">
        <f>VLOOKUP(A103, output_exiobase_v3.10.2_EXIO_IOT_2019_pxp_Y_production_footprint_FR[], 2, FALSE)</f>
        <v>63183.011342360296</v>
      </c>
      <c r="F103" s="4">
        <f>VLOOKUP(A103, output_exiobase_v3.10.2_EXIO_IOT_2019_pxp_Z_production_footprint_FR[], 2, FALSE)</f>
        <v>1930053638.6732244</v>
      </c>
      <c r="G103" s="35">
        <f t="shared" si="7"/>
        <v>2.3783974693840525E-4</v>
      </c>
      <c r="H103" s="1">
        <f t="shared" si="8"/>
        <v>0.99976216025306153</v>
      </c>
    </row>
    <row r="104" spans="1:9" x14ac:dyDescent="0.3">
      <c r="A104" s="9" t="s">
        <v>64</v>
      </c>
      <c r="B104" s="29">
        <f t="shared" si="6"/>
        <v>1895887810.0825968</v>
      </c>
      <c r="C104" s="4">
        <f>VLOOKUP(A104, output_exiobase_v3.10.2_EXIO_IOT_2019_pxp_Y_imports_footprint_FR[], 2, FALSE)</f>
        <v>0</v>
      </c>
      <c r="D104" s="4">
        <f>VLOOKUP(A104, output_exiobase_v3.10.2_EXIO_IOT_2019_pxp_Z_imports_footprint_FR[], 2, FALSE)</f>
        <v>16576474.299344968</v>
      </c>
      <c r="E104" s="4">
        <f>VLOOKUP(A104, output_exiobase_v3.10.2_EXIO_IOT_2019_pxp_Y_production_footprint_FR[], 2, FALSE)</f>
        <v>397074051.55841237</v>
      </c>
      <c r="F104" s="4">
        <f>VLOOKUP(A104, output_exiobase_v3.10.2_EXIO_IOT_2019_pxp_Z_production_footprint_FR[], 2, FALSE)</f>
        <v>1482237284.2248394</v>
      </c>
      <c r="G104" s="35">
        <f t="shared" si="7"/>
        <v>8.7433835542319316E-3</v>
      </c>
      <c r="H104" s="1">
        <f t="shared" si="8"/>
        <v>0.99125661644576801</v>
      </c>
    </row>
    <row r="105" spans="1:9" x14ac:dyDescent="0.3">
      <c r="A105" s="9" t="s">
        <v>114</v>
      </c>
      <c r="B105" s="29">
        <f t="shared" si="6"/>
        <v>1793912476.1860981</v>
      </c>
      <c r="C105" s="4">
        <f>VLOOKUP(A105, output_exiobase_v3.10.2_EXIO_IOT_2019_pxp_Y_imports_footprint_FR[], 2, FALSE)</f>
        <v>10480913.972372875</v>
      </c>
      <c r="D105" s="4">
        <f>VLOOKUP(A105, output_exiobase_v3.10.2_EXIO_IOT_2019_pxp_Z_imports_footprint_FR[], 2, FALSE)</f>
        <v>1567021010.8807569</v>
      </c>
      <c r="E105" s="4">
        <f>VLOOKUP(A105, output_exiobase_v3.10.2_EXIO_IOT_2019_pxp_Y_production_footprint_FR[], 2, FALSE)</f>
        <v>5453083.1170760142</v>
      </c>
      <c r="F105" s="4">
        <f>VLOOKUP(A105, output_exiobase_v3.10.2_EXIO_IOT_2019_pxp_Z_production_footprint_FR[], 2, FALSE)</f>
        <v>210957468.21589252</v>
      </c>
      <c r="G105" s="35">
        <f t="shared" si="7"/>
        <v>0.87936392984285239</v>
      </c>
      <c r="H105" s="1">
        <f t="shared" si="8"/>
        <v>0.12063607015714761</v>
      </c>
    </row>
    <row r="106" spans="1:9" x14ac:dyDescent="0.3">
      <c r="A106" s="9" t="s">
        <v>76</v>
      </c>
      <c r="B106" s="29">
        <f t="shared" ref="B106:B137" si="9">SUM(C106:F106)</f>
        <v>1739715415.4311395</v>
      </c>
      <c r="C106" s="4">
        <f>VLOOKUP(A106, output_exiobase_v3.10.2_EXIO_IOT_2019_pxp_Y_imports_footprint_FR[], 2, FALSE)</f>
        <v>0</v>
      </c>
      <c r="D106" s="4">
        <f>VLOOKUP(A106, output_exiobase_v3.10.2_EXIO_IOT_2019_pxp_Z_imports_footprint_FR[], 2, FALSE)</f>
        <v>11665038.949228477</v>
      </c>
      <c r="E106" s="4">
        <f>VLOOKUP(A106, output_exiobase_v3.10.2_EXIO_IOT_2019_pxp_Y_production_footprint_FR[], 2, FALSE)</f>
        <v>389914065.41041434</v>
      </c>
      <c r="F106" s="4">
        <f>VLOOKUP(A106, output_exiobase_v3.10.2_EXIO_IOT_2019_pxp_Z_production_footprint_FR[], 2, FALSE)</f>
        <v>1338136311.0714967</v>
      </c>
      <c r="G106" s="35">
        <f t="shared" ref="G106:G137" si="10">(C106+D106)/B106</f>
        <v>6.7051420282653674E-3</v>
      </c>
      <c r="H106" s="1">
        <f t="shared" ref="H106:H137" si="11">(E106+F106)/B106</f>
        <v>0.99329485797173478</v>
      </c>
    </row>
    <row r="107" spans="1:9" x14ac:dyDescent="0.3">
      <c r="A107" s="9" t="s">
        <v>148</v>
      </c>
      <c r="B107" s="29">
        <f t="shared" si="9"/>
        <v>1721170628.1219139</v>
      </c>
      <c r="C107" s="4">
        <f>VLOOKUP(A107, output_exiobase_v3.10.2_EXIO_IOT_2019_pxp_Y_imports_footprint_FR[], 2, FALSE)</f>
        <v>4110032.8122006045</v>
      </c>
      <c r="D107" s="4">
        <f>VLOOKUP(A107, output_exiobase_v3.10.2_EXIO_IOT_2019_pxp_Z_imports_footprint_FR[], 2, FALSE)</f>
        <v>370668352.38438547</v>
      </c>
      <c r="E107" s="4">
        <f>VLOOKUP(A107, output_exiobase_v3.10.2_EXIO_IOT_2019_pxp_Y_production_footprint_FR[], 2, FALSE)</f>
        <v>40539861.543837272</v>
      </c>
      <c r="F107" s="4">
        <f>VLOOKUP(A107, output_exiobase_v3.10.2_EXIO_IOT_2019_pxp_Z_production_footprint_FR[], 2, FALSE)</f>
        <v>1305852381.3814907</v>
      </c>
      <c r="G107" s="35">
        <f t="shared" si="10"/>
        <v>0.21774621241679692</v>
      </c>
      <c r="H107" s="1">
        <f t="shared" si="11"/>
        <v>0.78225378758320319</v>
      </c>
    </row>
    <row r="108" spans="1:9" x14ac:dyDescent="0.3">
      <c r="A108" s="9" t="s">
        <v>143</v>
      </c>
      <c r="B108" s="29">
        <f t="shared" si="9"/>
        <v>1680501784.1101317</v>
      </c>
      <c r="C108" s="4">
        <f>VLOOKUP(A108, output_exiobase_v3.10.2_EXIO_IOT_2019_pxp_Y_imports_footprint_FR[], 2, FALSE)</f>
        <v>29574933.517754357</v>
      </c>
      <c r="D108" s="4">
        <f>VLOOKUP(A108, output_exiobase_v3.10.2_EXIO_IOT_2019_pxp_Z_imports_footprint_FR[], 2, FALSE)</f>
        <v>185752367.37968725</v>
      </c>
      <c r="E108" s="4">
        <f>VLOOKUP(A108, output_exiobase_v3.10.2_EXIO_IOT_2019_pxp_Y_production_footprint_FR[], 2, FALSE)</f>
        <v>351458014.83140713</v>
      </c>
      <c r="F108" s="4">
        <f>VLOOKUP(A108, output_exiobase_v3.10.2_EXIO_IOT_2019_pxp_Z_production_footprint_FR[], 2, FALSE)</f>
        <v>1113716468.381283</v>
      </c>
      <c r="G108" s="35">
        <f t="shared" si="10"/>
        <v>0.12813274162125501</v>
      </c>
      <c r="H108" s="1">
        <f t="shared" si="11"/>
        <v>0.87186725837874501</v>
      </c>
    </row>
    <row r="109" spans="1:9" x14ac:dyDescent="0.3">
      <c r="A109" s="9" t="s">
        <v>30</v>
      </c>
      <c r="B109" s="29">
        <f t="shared" si="9"/>
        <v>1649667793.1726575</v>
      </c>
      <c r="C109" s="4">
        <f>VLOOKUP(A109, output_exiobase_v3.10.2_EXIO_IOT_2019_pxp_Y_imports_footprint_FR[], 2, FALSE)</f>
        <v>0</v>
      </c>
      <c r="D109" s="4">
        <f>VLOOKUP(A109, output_exiobase_v3.10.2_EXIO_IOT_2019_pxp_Z_imports_footprint_FR[], 2, FALSE)</f>
        <v>0</v>
      </c>
      <c r="E109" s="4">
        <f>VLOOKUP(A109, output_exiobase_v3.10.2_EXIO_IOT_2019_pxp_Y_production_footprint_FR[], 2, FALSE)</f>
        <v>783821005.90441346</v>
      </c>
      <c r="F109" s="4">
        <f>VLOOKUP(A109, output_exiobase_v3.10.2_EXIO_IOT_2019_pxp_Z_production_footprint_FR[], 2, FALSE)</f>
        <v>865846787.26824415</v>
      </c>
      <c r="G109" s="35">
        <f t="shared" si="10"/>
        <v>0</v>
      </c>
      <c r="H109" s="1">
        <f t="shared" si="11"/>
        <v>1</v>
      </c>
    </row>
    <row r="110" spans="1:9" x14ac:dyDescent="0.3">
      <c r="A110" s="9" t="s">
        <v>104</v>
      </c>
      <c r="B110" s="29">
        <f t="shared" si="9"/>
        <v>1621041106.297785</v>
      </c>
      <c r="C110" s="4">
        <f>VLOOKUP(A110, output_exiobase_v3.10.2_EXIO_IOT_2019_pxp_Y_imports_footprint_FR[], 2, FALSE)</f>
        <v>224785228.65053621</v>
      </c>
      <c r="D110" s="4">
        <f>VLOOKUP(A110, output_exiobase_v3.10.2_EXIO_IOT_2019_pxp_Z_imports_footprint_FR[], 2, FALSE)</f>
        <v>251316.22218751282</v>
      </c>
      <c r="E110" s="4">
        <f>VLOOKUP(A110, output_exiobase_v3.10.2_EXIO_IOT_2019_pxp_Y_production_footprint_FR[], 2, FALSE)</f>
        <v>1209264399.8358102</v>
      </c>
      <c r="F110" s="4">
        <f>VLOOKUP(A110, output_exiobase_v3.10.2_EXIO_IOT_2019_pxp_Z_production_footprint_FR[], 2, FALSE)</f>
        <v>186740161.58925113</v>
      </c>
      <c r="G110" s="35">
        <f t="shared" si="10"/>
        <v>0.13882223220524831</v>
      </c>
      <c r="H110" s="1">
        <f t="shared" si="11"/>
        <v>0.86117776779475164</v>
      </c>
    </row>
    <row r="111" spans="1:9" x14ac:dyDescent="0.3">
      <c r="A111" s="9" t="s">
        <v>65</v>
      </c>
      <c r="B111" s="29">
        <f t="shared" si="9"/>
        <v>1601435092.5490036</v>
      </c>
      <c r="C111" s="4">
        <f>VLOOKUP(A111, output_exiobase_v3.10.2_EXIO_IOT_2019_pxp_Y_imports_footprint_FR[], 2, FALSE)</f>
        <v>0</v>
      </c>
      <c r="D111" s="4">
        <f>VLOOKUP(A111, output_exiobase_v3.10.2_EXIO_IOT_2019_pxp_Z_imports_footprint_FR[], 2, FALSE)</f>
        <v>12536838.617209744</v>
      </c>
      <c r="E111" s="4">
        <f>VLOOKUP(A111, output_exiobase_v3.10.2_EXIO_IOT_2019_pxp_Y_production_footprint_FR[], 2, FALSE)</f>
        <v>337615441.46856505</v>
      </c>
      <c r="F111" s="4">
        <f>VLOOKUP(A111, output_exiobase_v3.10.2_EXIO_IOT_2019_pxp_Z_production_footprint_FR[], 2, FALSE)</f>
        <v>1251282812.4632287</v>
      </c>
      <c r="G111" s="35">
        <f t="shared" si="10"/>
        <v>7.8285024947560393E-3</v>
      </c>
      <c r="H111" s="1">
        <f t="shared" si="11"/>
        <v>0.9921714975052438</v>
      </c>
    </row>
    <row r="112" spans="1:9" x14ac:dyDescent="0.3">
      <c r="A112" s="9" t="s">
        <v>149</v>
      </c>
      <c r="B112" s="29">
        <f t="shared" si="9"/>
        <v>1518860006.613668</v>
      </c>
      <c r="C112" s="4">
        <f>VLOOKUP(A112, output_exiobase_v3.10.2_EXIO_IOT_2019_pxp_Y_imports_footprint_FR[], 2, FALSE)</f>
        <v>15770286.373712979</v>
      </c>
      <c r="D112" s="4">
        <f>VLOOKUP(A112, output_exiobase_v3.10.2_EXIO_IOT_2019_pxp_Z_imports_footprint_FR[], 2, FALSE)</f>
        <v>664747707.87406266</v>
      </c>
      <c r="E112" s="4">
        <f>VLOOKUP(A112, output_exiobase_v3.10.2_EXIO_IOT_2019_pxp_Y_production_footprint_FR[], 2, FALSE)</f>
        <v>5238.1605924328751</v>
      </c>
      <c r="F112" s="4">
        <f>VLOOKUP(A112, output_exiobase_v3.10.2_EXIO_IOT_2019_pxp_Z_production_footprint_FR[], 2, FALSE)</f>
        <v>838336774.20529997</v>
      </c>
      <c r="G112" s="35">
        <f t="shared" si="10"/>
        <v>0.44804523872151036</v>
      </c>
      <c r="H112" s="1">
        <f t="shared" si="11"/>
        <v>0.55195476127848975</v>
      </c>
      <c r="I112" s="5"/>
    </row>
    <row r="113" spans="1:9" x14ac:dyDescent="0.3">
      <c r="A113" s="9" t="s">
        <v>116</v>
      </c>
      <c r="B113" s="29">
        <f t="shared" si="9"/>
        <v>1477522049.8774958</v>
      </c>
      <c r="C113" s="4">
        <f>VLOOKUP(A113, output_exiobase_v3.10.2_EXIO_IOT_2019_pxp_Y_imports_footprint_FR[], 2, FALSE)</f>
        <v>130910312.09353197</v>
      </c>
      <c r="D113" s="4">
        <f>VLOOKUP(A113, output_exiobase_v3.10.2_EXIO_IOT_2019_pxp_Z_imports_footprint_FR[], 2, FALSE)</f>
        <v>55965550.547479212</v>
      </c>
      <c r="E113" s="4">
        <f>VLOOKUP(A113, output_exiobase_v3.10.2_EXIO_IOT_2019_pxp_Y_production_footprint_FR[], 2, FALSE)</f>
        <v>1071425414.027184</v>
      </c>
      <c r="F113" s="4">
        <f>VLOOKUP(A113, output_exiobase_v3.10.2_EXIO_IOT_2019_pxp_Z_production_footprint_FR[], 2, FALSE)</f>
        <v>219220773.20930052</v>
      </c>
      <c r="G113" s="35">
        <f t="shared" si="10"/>
        <v>0.12647923775926417</v>
      </c>
      <c r="H113" s="1">
        <f t="shared" si="11"/>
        <v>0.87352076224073583</v>
      </c>
      <c r="I113" s="5"/>
    </row>
    <row r="114" spans="1:9" x14ac:dyDescent="0.3">
      <c r="A114" s="9" t="s">
        <v>95</v>
      </c>
      <c r="B114" s="29">
        <f t="shared" si="9"/>
        <v>1383794055.6009114</v>
      </c>
      <c r="C114" s="4">
        <f>VLOOKUP(A114, output_exiobase_v3.10.2_EXIO_IOT_2019_pxp_Y_imports_footprint_FR[], 2, FALSE)</f>
        <v>3736739.5213465039</v>
      </c>
      <c r="D114" s="4">
        <f>VLOOKUP(A114, output_exiobase_v3.10.2_EXIO_IOT_2019_pxp_Z_imports_footprint_FR[], 2, FALSE)</f>
        <v>46123636.369929604</v>
      </c>
      <c r="E114" s="4">
        <f>VLOOKUP(A114, output_exiobase_v3.10.2_EXIO_IOT_2019_pxp_Y_production_footprint_FR[], 2, FALSE)</f>
        <v>1024557514.9816645</v>
      </c>
      <c r="F114" s="4">
        <f>VLOOKUP(A114, output_exiobase_v3.10.2_EXIO_IOT_2019_pxp_Z_production_footprint_FR[], 2, FALSE)</f>
        <v>309376164.7279709</v>
      </c>
      <c r="G114" s="35">
        <f t="shared" si="10"/>
        <v>3.6031644802538398E-2</v>
      </c>
      <c r="H114" s="1">
        <f t="shared" si="11"/>
        <v>0.96396835519746171</v>
      </c>
      <c r="I114" s="5"/>
    </row>
    <row r="115" spans="1:9" x14ac:dyDescent="0.3">
      <c r="A115" s="9" t="s">
        <v>94</v>
      </c>
      <c r="B115" s="29">
        <f t="shared" si="9"/>
        <v>1308238466.1734951</v>
      </c>
      <c r="C115" s="4">
        <f>VLOOKUP(A115, output_exiobase_v3.10.2_EXIO_IOT_2019_pxp_Y_imports_footprint_FR[], 2, FALSE)</f>
        <v>560215228.71315444</v>
      </c>
      <c r="D115" s="4">
        <f>VLOOKUP(A115, output_exiobase_v3.10.2_EXIO_IOT_2019_pxp_Z_imports_footprint_FR[], 2, FALSE)</f>
        <v>748023237.46034062</v>
      </c>
      <c r="E115" s="4">
        <f>VLOOKUP(A115, output_exiobase_v3.10.2_EXIO_IOT_2019_pxp_Y_production_footprint_FR[], 2, FALSE)</f>
        <v>0</v>
      </c>
      <c r="F115" s="4">
        <f>VLOOKUP(A115, output_exiobase_v3.10.2_EXIO_IOT_2019_pxp_Z_production_footprint_FR[], 2, FALSE)</f>
        <v>0</v>
      </c>
      <c r="G115" s="35">
        <f t="shared" si="10"/>
        <v>1</v>
      </c>
      <c r="H115" s="1">
        <f t="shared" si="11"/>
        <v>0</v>
      </c>
      <c r="I115" s="5"/>
    </row>
    <row r="116" spans="1:9" x14ac:dyDescent="0.3">
      <c r="A116" s="9" t="s">
        <v>18</v>
      </c>
      <c r="B116" s="29">
        <f t="shared" si="9"/>
        <v>1242724811.4851799</v>
      </c>
      <c r="C116" s="4">
        <f>VLOOKUP(A116, output_exiobase_v3.10.2_EXIO_IOT_2019_pxp_Y_imports_footprint_FR[], 2, FALSE)</f>
        <v>79027.235290251017</v>
      </c>
      <c r="D116" s="4">
        <f>VLOOKUP(A116, output_exiobase_v3.10.2_EXIO_IOT_2019_pxp_Z_imports_footprint_FR[], 2, FALSE)</f>
        <v>93124538.037843585</v>
      </c>
      <c r="E116" s="4">
        <f>VLOOKUP(A116, output_exiobase_v3.10.2_EXIO_IOT_2019_pxp_Y_production_footprint_FR[], 2, FALSE)</f>
        <v>2985356.5711974734</v>
      </c>
      <c r="F116" s="4">
        <f>VLOOKUP(A116, output_exiobase_v3.10.2_EXIO_IOT_2019_pxp_Z_production_footprint_FR[], 2, FALSE)</f>
        <v>1146535889.6408486</v>
      </c>
      <c r="G116" s="35">
        <f t="shared" si="10"/>
        <v>7.4999359803355245E-2</v>
      </c>
      <c r="H116" s="1">
        <f t="shared" si="11"/>
        <v>0.92500064019664485</v>
      </c>
      <c r="I116" s="5"/>
    </row>
    <row r="117" spans="1:9" x14ac:dyDescent="0.3">
      <c r="A117" s="9" t="s">
        <v>12</v>
      </c>
      <c r="B117" s="29">
        <f t="shared" si="9"/>
        <v>1222743927.9726355</v>
      </c>
      <c r="C117" s="4">
        <f>VLOOKUP(A117, output_exiobase_v3.10.2_EXIO_IOT_2019_pxp_Y_imports_footprint_FR[], 2, FALSE)</f>
        <v>0</v>
      </c>
      <c r="D117" s="4">
        <f>VLOOKUP(A117, output_exiobase_v3.10.2_EXIO_IOT_2019_pxp_Z_imports_footprint_FR[], 2, FALSE)</f>
        <v>149272715.54941168</v>
      </c>
      <c r="E117" s="4">
        <f>VLOOKUP(A117, output_exiobase_v3.10.2_EXIO_IOT_2019_pxp_Y_production_footprint_FR[], 2, FALSE)</f>
        <v>185018829.1093891</v>
      </c>
      <c r="F117" s="4">
        <f>VLOOKUP(A117, output_exiobase_v3.10.2_EXIO_IOT_2019_pxp_Z_production_footprint_FR[], 2, FALSE)</f>
        <v>888452383.31383479</v>
      </c>
      <c r="G117" s="35">
        <f t="shared" si="10"/>
        <v>0.12208011189792826</v>
      </c>
      <c r="H117" s="1">
        <f t="shared" si="11"/>
        <v>0.87791988810207178</v>
      </c>
      <c r="I117" s="5"/>
    </row>
    <row r="118" spans="1:9" x14ac:dyDescent="0.3">
      <c r="A118" s="9" t="s">
        <v>200</v>
      </c>
      <c r="B118" s="29">
        <f t="shared" si="9"/>
        <v>1141786531.8038874</v>
      </c>
      <c r="C118" s="4">
        <f>VLOOKUP(A118, output_exiobase_v3.10.2_EXIO_IOT_2019_pxp_Y_imports_footprint_FR[], 2, FALSE)</f>
        <v>175603712.09109101</v>
      </c>
      <c r="D118" s="4">
        <f>VLOOKUP(A118, output_exiobase_v3.10.2_EXIO_IOT_2019_pxp_Z_imports_footprint_FR[], 2, FALSE)</f>
        <v>884171826.45149696</v>
      </c>
      <c r="E118" s="4">
        <f>VLOOKUP(A118, output_exiobase_v3.10.2_EXIO_IOT_2019_pxp_Y_production_footprint_FR[], 2, FALSE)</f>
        <v>14685855.34985611</v>
      </c>
      <c r="F118" s="4">
        <f>VLOOKUP(A118, output_exiobase_v3.10.2_EXIO_IOT_2019_pxp_Z_production_footprint_FR[], 2, FALSE)</f>
        <v>67325137.911443219</v>
      </c>
      <c r="G118" s="35">
        <f t="shared" si="10"/>
        <v>0.92817309455233132</v>
      </c>
      <c r="H118" s="1">
        <f t="shared" si="11"/>
        <v>7.1826905447668649E-2</v>
      </c>
      <c r="I118" s="5"/>
    </row>
    <row r="119" spans="1:9" x14ac:dyDescent="0.3">
      <c r="A119" s="9" t="s">
        <v>79</v>
      </c>
      <c r="B119" s="29">
        <f t="shared" si="9"/>
        <v>1063597153.0625529</v>
      </c>
      <c r="C119" s="4">
        <f>VLOOKUP(A119, output_exiobase_v3.10.2_EXIO_IOT_2019_pxp_Y_imports_footprint_FR[], 2, FALSE)</f>
        <v>0</v>
      </c>
      <c r="D119" s="4">
        <f>VLOOKUP(A119, output_exiobase_v3.10.2_EXIO_IOT_2019_pxp_Z_imports_footprint_FR[], 2, FALSE)</f>
        <v>15622293.749944886</v>
      </c>
      <c r="E119" s="4">
        <f>VLOOKUP(A119, output_exiobase_v3.10.2_EXIO_IOT_2019_pxp_Y_production_footprint_FR[], 2, FALSE)</f>
        <v>220939566.49316382</v>
      </c>
      <c r="F119" s="4">
        <f>VLOOKUP(A119, output_exiobase_v3.10.2_EXIO_IOT_2019_pxp_Z_production_footprint_FR[], 2, FALSE)</f>
        <v>827035292.81944418</v>
      </c>
      <c r="G119" s="35">
        <f t="shared" si="10"/>
        <v>1.4688168076570715E-2</v>
      </c>
      <c r="H119" s="1">
        <f t="shared" si="11"/>
        <v>0.98531183192342919</v>
      </c>
      <c r="I119" s="5"/>
    </row>
    <row r="120" spans="1:9" x14ac:dyDescent="0.3">
      <c r="A120" s="9" t="s">
        <v>35</v>
      </c>
      <c r="B120" s="29">
        <f t="shared" si="9"/>
        <v>982390897.8766036</v>
      </c>
      <c r="C120" s="4">
        <f>VLOOKUP(A120, output_exiobase_v3.10.2_EXIO_IOT_2019_pxp_Y_imports_footprint_FR[], 2, FALSE)</f>
        <v>273391813.03641021</v>
      </c>
      <c r="D120" s="4">
        <f>VLOOKUP(A120, output_exiobase_v3.10.2_EXIO_IOT_2019_pxp_Z_imports_footprint_FR[], 2, FALSE)</f>
        <v>505301456.8212176</v>
      </c>
      <c r="E120" s="4">
        <f>VLOOKUP(A120, output_exiobase_v3.10.2_EXIO_IOT_2019_pxp_Y_production_footprint_FR[], 2, FALSE)</f>
        <v>5647169.9900210593</v>
      </c>
      <c r="F120" s="4">
        <f>VLOOKUP(A120, output_exiobase_v3.10.2_EXIO_IOT_2019_pxp_Z_production_footprint_FR[], 2, FALSE)</f>
        <v>198050458.02895463</v>
      </c>
      <c r="G120" s="35">
        <f t="shared" si="10"/>
        <v>0.79265114481490051</v>
      </c>
      <c r="H120" s="1">
        <f t="shared" si="11"/>
        <v>0.20734885518509943</v>
      </c>
      <c r="I120" s="5"/>
    </row>
    <row r="121" spans="1:9" x14ac:dyDescent="0.3">
      <c r="A121" s="9" t="s">
        <v>46</v>
      </c>
      <c r="B121" s="29">
        <f t="shared" si="9"/>
        <v>971647890.59920061</v>
      </c>
      <c r="C121" s="4">
        <f>VLOOKUP(A121, output_exiobase_v3.10.2_EXIO_IOT_2019_pxp_Y_imports_footprint_FR[], 2, FALSE)</f>
        <v>0</v>
      </c>
      <c r="D121" s="4">
        <f>VLOOKUP(A121, output_exiobase_v3.10.2_EXIO_IOT_2019_pxp_Z_imports_footprint_FR[], 2, FALSE)</f>
        <v>58662015.712169491</v>
      </c>
      <c r="E121" s="4">
        <f>VLOOKUP(A121, output_exiobase_v3.10.2_EXIO_IOT_2019_pxp_Y_production_footprint_FR[], 2, FALSE)</f>
        <v>288430918.81397408</v>
      </c>
      <c r="F121" s="4">
        <f>VLOOKUP(A121, output_exiobase_v3.10.2_EXIO_IOT_2019_pxp_Z_production_footprint_FR[], 2, FALSE)</f>
        <v>624554956.07305706</v>
      </c>
      <c r="G121" s="35">
        <f t="shared" si="10"/>
        <v>6.0373738552546553E-2</v>
      </c>
      <c r="H121" s="1">
        <f t="shared" si="11"/>
        <v>0.93962626144745343</v>
      </c>
      <c r="I121" s="5"/>
    </row>
    <row r="122" spans="1:9" x14ac:dyDescent="0.3">
      <c r="A122" s="9" t="s">
        <v>107</v>
      </c>
      <c r="B122" s="29">
        <f t="shared" si="9"/>
        <v>962560915.16421008</v>
      </c>
      <c r="C122" s="4">
        <f>VLOOKUP(A122, output_exiobase_v3.10.2_EXIO_IOT_2019_pxp_Y_imports_footprint_FR[], 2, FALSE)</f>
        <v>0</v>
      </c>
      <c r="D122" s="4">
        <f>VLOOKUP(A122, output_exiobase_v3.10.2_EXIO_IOT_2019_pxp_Z_imports_footprint_FR[], 2, FALSE)</f>
        <v>6808062.6444902252</v>
      </c>
      <c r="E122" s="4">
        <f>VLOOKUP(A122, output_exiobase_v3.10.2_EXIO_IOT_2019_pxp_Y_production_footprint_FR[], 2, FALSE)</f>
        <v>219959726.54514936</v>
      </c>
      <c r="F122" s="4">
        <f>VLOOKUP(A122, output_exiobase_v3.10.2_EXIO_IOT_2019_pxp_Z_production_footprint_FR[], 2, FALSE)</f>
        <v>735793125.97457051</v>
      </c>
      <c r="G122" s="35">
        <f t="shared" si="10"/>
        <v>7.0728642075902175E-3</v>
      </c>
      <c r="H122" s="1">
        <f t="shared" si="11"/>
        <v>0.99292713579240977</v>
      </c>
      <c r="I122" s="5"/>
    </row>
    <row r="123" spans="1:9" x14ac:dyDescent="0.3">
      <c r="A123" s="9" t="s">
        <v>63</v>
      </c>
      <c r="B123" s="29">
        <f t="shared" si="9"/>
        <v>839525114.94194889</v>
      </c>
      <c r="C123" s="4">
        <f>VLOOKUP(A123, output_exiobase_v3.10.2_EXIO_IOT_2019_pxp_Y_imports_footprint_FR[], 2, FALSE)</f>
        <v>0</v>
      </c>
      <c r="D123" s="4">
        <f>VLOOKUP(A123, output_exiobase_v3.10.2_EXIO_IOT_2019_pxp_Z_imports_footprint_FR[], 2, FALSE)</f>
        <v>7441094.2684711628</v>
      </c>
      <c r="E123" s="4">
        <f>VLOOKUP(A123, output_exiobase_v3.10.2_EXIO_IOT_2019_pxp_Y_production_footprint_FR[], 2, FALSE)</f>
        <v>176277247.39438155</v>
      </c>
      <c r="F123" s="4">
        <f>VLOOKUP(A123, output_exiobase_v3.10.2_EXIO_IOT_2019_pxp_Z_production_footprint_FR[], 2, FALSE)</f>
        <v>655806773.27909625</v>
      </c>
      <c r="G123" s="35">
        <f t="shared" si="10"/>
        <v>8.8634564184368637E-3</v>
      </c>
      <c r="H123" s="1">
        <f t="shared" si="11"/>
        <v>0.99113654358156322</v>
      </c>
      <c r="I123" s="5"/>
    </row>
    <row r="124" spans="1:9" x14ac:dyDescent="0.3">
      <c r="A124" s="9" t="s">
        <v>126</v>
      </c>
      <c r="B124" s="29">
        <f t="shared" si="9"/>
        <v>815944068.72323346</v>
      </c>
      <c r="C124" s="4">
        <f>VLOOKUP(A124, output_exiobase_v3.10.2_EXIO_IOT_2019_pxp_Y_imports_footprint_FR[], 2, FALSE)</f>
        <v>0</v>
      </c>
      <c r="D124" s="4">
        <f>VLOOKUP(A124, output_exiobase_v3.10.2_EXIO_IOT_2019_pxp_Z_imports_footprint_FR[], 2, FALSE)</f>
        <v>7476552.1796778515</v>
      </c>
      <c r="E124" s="4">
        <f>VLOOKUP(A124, output_exiobase_v3.10.2_EXIO_IOT_2019_pxp_Y_production_footprint_FR[], 2, FALSE)</f>
        <v>184804112.80939952</v>
      </c>
      <c r="F124" s="4">
        <f>VLOOKUP(A124, output_exiobase_v3.10.2_EXIO_IOT_2019_pxp_Z_production_footprint_FR[], 2, FALSE)</f>
        <v>623663403.73415613</v>
      </c>
      <c r="G124" s="35">
        <f t="shared" si="10"/>
        <v>9.163069463053947E-3</v>
      </c>
      <c r="H124" s="1">
        <f t="shared" si="11"/>
        <v>0.9908369305369461</v>
      </c>
      <c r="I124" s="5"/>
    </row>
    <row r="125" spans="1:9" x14ac:dyDescent="0.3">
      <c r="A125" s="9" t="s">
        <v>62</v>
      </c>
      <c r="B125" s="29">
        <f t="shared" si="9"/>
        <v>801046195.45558512</v>
      </c>
      <c r="C125" s="4">
        <f>VLOOKUP(A125, output_exiobase_v3.10.2_EXIO_IOT_2019_pxp_Y_imports_footprint_FR[], 2, FALSE)</f>
        <v>0</v>
      </c>
      <c r="D125" s="4">
        <f>VLOOKUP(A125, output_exiobase_v3.10.2_EXIO_IOT_2019_pxp_Z_imports_footprint_FR[], 2, FALSE)</f>
        <v>13605146.856527638</v>
      </c>
      <c r="E125" s="4">
        <f>VLOOKUP(A125, output_exiobase_v3.10.2_EXIO_IOT_2019_pxp_Y_production_footprint_FR[], 2, FALSE)</f>
        <v>166572393.28320435</v>
      </c>
      <c r="F125" s="4">
        <f>VLOOKUP(A125, output_exiobase_v3.10.2_EXIO_IOT_2019_pxp_Z_production_footprint_FR[], 2, FALSE)</f>
        <v>620868655.31585312</v>
      </c>
      <c r="G125" s="35">
        <f t="shared" si="10"/>
        <v>1.6984222550098849E-2</v>
      </c>
      <c r="H125" s="1">
        <f t="shared" si="11"/>
        <v>0.9830157774499011</v>
      </c>
      <c r="I125" s="5"/>
    </row>
    <row r="126" spans="1:9" x14ac:dyDescent="0.3">
      <c r="A126" s="9" t="s">
        <v>77</v>
      </c>
      <c r="B126" s="29">
        <f t="shared" si="9"/>
        <v>793757684.66569233</v>
      </c>
      <c r="C126" s="4">
        <f>VLOOKUP(A126, output_exiobase_v3.10.2_EXIO_IOT_2019_pxp_Y_imports_footprint_FR[], 2, FALSE)</f>
        <v>18258968.469773613</v>
      </c>
      <c r="D126" s="4">
        <f>VLOOKUP(A126, output_exiobase_v3.10.2_EXIO_IOT_2019_pxp_Z_imports_footprint_FR[], 2, FALSE)</f>
        <v>214865227.28719789</v>
      </c>
      <c r="E126" s="4">
        <f>VLOOKUP(A126, output_exiobase_v3.10.2_EXIO_IOT_2019_pxp_Y_production_footprint_FR[], 2, FALSE)</f>
        <v>91221259.364796177</v>
      </c>
      <c r="F126" s="4">
        <f>VLOOKUP(A126, output_exiobase_v3.10.2_EXIO_IOT_2019_pxp_Z_production_footprint_FR[], 2, FALSE)</f>
        <v>469412229.54392463</v>
      </c>
      <c r="G126" s="35">
        <f t="shared" si="10"/>
        <v>0.29369693076440156</v>
      </c>
      <c r="H126" s="1">
        <f t="shared" si="11"/>
        <v>0.70630306923559849</v>
      </c>
      <c r="I126" s="5"/>
    </row>
    <row r="127" spans="1:9" x14ac:dyDescent="0.3">
      <c r="A127" s="9" t="s">
        <v>176</v>
      </c>
      <c r="B127" s="29">
        <f t="shared" si="9"/>
        <v>787102346.61855364</v>
      </c>
      <c r="C127" s="4">
        <f>VLOOKUP(A127, output_exiobase_v3.10.2_EXIO_IOT_2019_pxp_Y_imports_footprint_FR[], 2, FALSE)</f>
        <v>0</v>
      </c>
      <c r="D127" s="4">
        <f>VLOOKUP(A127, output_exiobase_v3.10.2_EXIO_IOT_2019_pxp_Z_imports_footprint_FR[], 2, FALSE)</f>
        <v>5576055.7014029482</v>
      </c>
      <c r="E127" s="4">
        <f>VLOOKUP(A127, output_exiobase_v3.10.2_EXIO_IOT_2019_pxp_Y_production_footprint_FR[], 2, FALSE)</f>
        <v>164521756.69880685</v>
      </c>
      <c r="F127" s="4">
        <f>VLOOKUP(A127, output_exiobase_v3.10.2_EXIO_IOT_2019_pxp_Z_production_footprint_FR[], 2, FALSE)</f>
        <v>617004534.21834385</v>
      </c>
      <c r="G127" s="35">
        <f t="shared" si="10"/>
        <v>7.0842829085163714E-3</v>
      </c>
      <c r="H127" s="1">
        <f t="shared" si="11"/>
        <v>0.99291571709148374</v>
      </c>
      <c r="I127" s="5"/>
    </row>
    <row r="128" spans="1:9" x14ac:dyDescent="0.3">
      <c r="A128" s="9" t="s">
        <v>5</v>
      </c>
      <c r="B128" s="29">
        <f t="shared" si="9"/>
        <v>729277421.97454619</v>
      </c>
      <c r="C128" s="4">
        <f>VLOOKUP(A128, output_exiobase_v3.10.2_EXIO_IOT_2019_pxp_Y_imports_footprint_FR[], 2, FALSE)</f>
        <v>60817812.358390547</v>
      </c>
      <c r="D128" s="4">
        <f>VLOOKUP(A128, output_exiobase_v3.10.2_EXIO_IOT_2019_pxp_Z_imports_footprint_FR[], 2, FALSE)</f>
        <v>131932207.15392707</v>
      </c>
      <c r="E128" s="4">
        <f>VLOOKUP(A128, output_exiobase_v3.10.2_EXIO_IOT_2019_pxp_Y_production_footprint_FR[], 2, FALSE)</f>
        <v>359816765.62606055</v>
      </c>
      <c r="F128" s="4">
        <f>VLOOKUP(A128, output_exiobase_v3.10.2_EXIO_IOT_2019_pxp_Z_production_footprint_FR[], 2, FALSE)</f>
        <v>176710636.83616802</v>
      </c>
      <c r="G128" s="35">
        <f t="shared" si="10"/>
        <v>0.26430273816847322</v>
      </c>
      <c r="H128" s="1">
        <f t="shared" si="11"/>
        <v>0.73569726183152673</v>
      </c>
      <c r="I128" s="5"/>
    </row>
    <row r="129" spans="1:9" x14ac:dyDescent="0.3">
      <c r="A129" s="9" t="s">
        <v>14</v>
      </c>
      <c r="B129" s="29">
        <f t="shared" si="9"/>
        <v>656719221.72009754</v>
      </c>
      <c r="C129" s="4">
        <f>VLOOKUP(A129, output_exiobase_v3.10.2_EXIO_IOT_2019_pxp_Y_imports_footprint_FR[], 2, FALSE)</f>
        <v>8065935.7331725294</v>
      </c>
      <c r="D129" s="4">
        <f>VLOOKUP(A129, output_exiobase_v3.10.2_EXIO_IOT_2019_pxp_Z_imports_footprint_FR[], 2, FALSE)</f>
        <v>3507337.606517714</v>
      </c>
      <c r="E129" s="4">
        <f>VLOOKUP(A129, output_exiobase_v3.10.2_EXIO_IOT_2019_pxp_Y_production_footprint_FR[], 2, FALSE)</f>
        <v>436926748.91315097</v>
      </c>
      <c r="F129" s="4">
        <f>VLOOKUP(A129, output_exiobase_v3.10.2_EXIO_IOT_2019_pxp_Z_production_footprint_FR[], 2, FALSE)</f>
        <v>208219199.46725631</v>
      </c>
      <c r="G129" s="35">
        <f t="shared" si="10"/>
        <v>1.762286370935999E-2</v>
      </c>
      <c r="H129" s="1">
        <f t="shared" si="11"/>
        <v>0.98237713629064005</v>
      </c>
      <c r="I129" s="5"/>
    </row>
    <row r="130" spans="1:9" x14ac:dyDescent="0.3">
      <c r="A130" s="9" t="s">
        <v>52</v>
      </c>
      <c r="B130" s="29">
        <f t="shared" si="9"/>
        <v>595229853.74934363</v>
      </c>
      <c r="C130" s="4">
        <f>VLOOKUP(A130, output_exiobase_v3.10.2_EXIO_IOT_2019_pxp_Y_imports_footprint_FR[], 2, FALSE)</f>
        <v>0</v>
      </c>
      <c r="D130" s="4">
        <f>VLOOKUP(A130, output_exiobase_v3.10.2_EXIO_IOT_2019_pxp_Z_imports_footprint_FR[], 2, FALSE)</f>
        <v>24436002.091936521</v>
      </c>
      <c r="E130" s="4">
        <f>VLOOKUP(A130, output_exiobase_v3.10.2_EXIO_IOT_2019_pxp_Y_production_footprint_FR[], 2, FALSE)</f>
        <v>181540086.2527231</v>
      </c>
      <c r="F130" s="4">
        <f>VLOOKUP(A130, output_exiobase_v3.10.2_EXIO_IOT_2019_pxp_Z_production_footprint_FR[], 2, FALSE)</f>
        <v>389253765.40468395</v>
      </c>
      <c r="G130" s="35">
        <f t="shared" si="10"/>
        <v>4.1053051922739635E-2</v>
      </c>
      <c r="H130" s="1">
        <f t="shared" si="11"/>
        <v>0.95894694807726022</v>
      </c>
      <c r="I130" s="5"/>
    </row>
    <row r="131" spans="1:9" x14ac:dyDescent="0.3">
      <c r="A131" s="9" t="s">
        <v>124</v>
      </c>
      <c r="B131" s="29">
        <f t="shared" si="9"/>
        <v>433607231.31865138</v>
      </c>
      <c r="C131" s="4">
        <f>VLOOKUP(A131, output_exiobase_v3.10.2_EXIO_IOT_2019_pxp_Y_imports_footprint_FR[], 2, FALSE)</f>
        <v>0</v>
      </c>
      <c r="D131" s="4">
        <f>VLOOKUP(A131, output_exiobase_v3.10.2_EXIO_IOT_2019_pxp_Z_imports_footprint_FR[], 2, FALSE)</f>
        <v>4812361.0564051066</v>
      </c>
      <c r="E131" s="4">
        <f>VLOOKUP(A131, output_exiobase_v3.10.2_EXIO_IOT_2019_pxp_Y_production_footprint_FR[], 2, FALSE)</f>
        <v>90712349.00077346</v>
      </c>
      <c r="F131" s="4">
        <f>VLOOKUP(A131, output_exiobase_v3.10.2_EXIO_IOT_2019_pxp_Z_production_footprint_FR[], 2, FALSE)</f>
        <v>338082521.26147282</v>
      </c>
      <c r="G131" s="35">
        <f t="shared" si="10"/>
        <v>1.1098433579555724E-2</v>
      </c>
      <c r="H131" s="1">
        <f t="shared" si="11"/>
        <v>0.98890156642044424</v>
      </c>
      <c r="I131" s="5"/>
    </row>
    <row r="132" spans="1:9" x14ac:dyDescent="0.3">
      <c r="A132" s="9" t="s">
        <v>15</v>
      </c>
      <c r="B132" s="29">
        <f t="shared" si="9"/>
        <v>417747588.49378753</v>
      </c>
      <c r="C132" s="4">
        <f>VLOOKUP(A132, output_exiobase_v3.10.2_EXIO_IOT_2019_pxp_Y_imports_footprint_FR[], 2, FALSE)</f>
        <v>1.1099759575093106E-3</v>
      </c>
      <c r="D132" s="4">
        <f>VLOOKUP(A132, output_exiobase_v3.10.2_EXIO_IOT_2019_pxp_Z_imports_footprint_FR[], 2, FALSE)</f>
        <v>181472518.53110012</v>
      </c>
      <c r="E132" s="4">
        <f>VLOOKUP(A132, output_exiobase_v3.10.2_EXIO_IOT_2019_pxp_Y_production_footprint_FR[], 2, FALSE)</f>
        <v>1280723.1665592752</v>
      </c>
      <c r="F132" s="4">
        <f>VLOOKUP(A132, output_exiobase_v3.10.2_EXIO_IOT_2019_pxp_Z_production_footprint_FR[], 2, FALSE)</f>
        <v>234994346.79501814</v>
      </c>
      <c r="G132" s="35">
        <f t="shared" si="10"/>
        <v>0.4344071001978001</v>
      </c>
      <c r="H132" s="1">
        <f t="shared" si="11"/>
        <v>0.56559289980219996</v>
      </c>
    </row>
    <row r="133" spans="1:9" x14ac:dyDescent="0.3">
      <c r="A133" s="9" t="s">
        <v>159</v>
      </c>
      <c r="B133" s="29">
        <f t="shared" si="9"/>
        <v>408206984.4084236</v>
      </c>
      <c r="C133" s="4">
        <f>VLOOKUP(A133, output_exiobase_v3.10.2_EXIO_IOT_2019_pxp_Y_imports_footprint_FR[], 2, FALSE)</f>
        <v>1444052.8749752187</v>
      </c>
      <c r="D133" s="4">
        <f>VLOOKUP(A133, output_exiobase_v3.10.2_EXIO_IOT_2019_pxp_Z_imports_footprint_FR[], 2, FALSE)</f>
        <v>56454371.33764571</v>
      </c>
      <c r="E133" s="4">
        <f>VLOOKUP(A133, output_exiobase_v3.10.2_EXIO_IOT_2019_pxp_Y_production_footprint_FR[], 2, FALSE)</f>
        <v>3952871.7548423395</v>
      </c>
      <c r="F133" s="4">
        <f>VLOOKUP(A133, output_exiobase_v3.10.2_EXIO_IOT_2019_pxp_Z_production_footprint_FR[], 2, FALSE)</f>
        <v>346355688.44096035</v>
      </c>
      <c r="G133" s="35">
        <f t="shared" si="10"/>
        <v>0.14183594701724109</v>
      </c>
      <c r="H133" s="1">
        <f t="shared" si="11"/>
        <v>0.858164052982759</v>
      </c>
    </row>
    <row r="134" spans="1:9" x14ac:dyDescent="0.3">
      <c r="A134" s="9" t="s">
        <v>186</v>
      </c>
      <c r="B134" s="29">
        <f t="shared" si="9"/>
        <v>379229947.93937939</v>
      </c>
      <c r="C134" s="4">
        <f>VLOOKUP(A134, output_exiobase_v3.10.2_EXIO_IOT_2019_pxp_Y_imports_footprint_FR[], 2, FALSE)</f>
        <v>308429115.76151067</v>
      </c>
      <c r="D134" s="4">
        <f>VLOOKUP(A134, output_exiobase_v3.10.2_EXIO_IOT_2019_pxp_Z_imports_footprint_FR[], 2, FALSE)</f>
        <v>1153524.3354055176</v>
      </c>
      <c r="E134" s="4">
        <f>VLOOKUP(A134, output_exiobase_v3.10.2_EXIO_IOT_2019_pxp_Y_production_footprint_FR[], 2, FALSE)</f>
        <v>43075926.792129353</v>
      </c>
      <c r="F134" s="4">
        <f>VLOOKUP(A134, output_exiobase_v3.10.2_EXIO_IOT_2019_pxp_Z_production_footprint_FR[], 2, FALSE)</f>
        <v>26571381.050333835</v>
      </c>
      <c r="G134" s="35">
        <f t="shared" si="10"/>
        <v>0.81634544365257655</v>
      </c>
      <c r="H134" s="1">
        <f t="shared" si="11"/>
        <v>0.18365455634742339</v>
      </c>
    </row>
    <row r="135" spans="1:9" x14ac:dyDescent="0.3">
      <c r="A135" s="9" t="s">
        <v>133</v>
      </c>
      <c r="B135" s="29">
        <f t="shared" si="9"/>
        <v>345337806.37739265</v>
      </c>
      <c r="C135" s="4">
        <f>VLOOKUP(A135, output_exiobase_v3.10.2_EXIO_IOT_2019_pxp_Y_imports_footprint_FR[], 2, FALSE)</f>
        <v>0</v>
      </c>
      <c r="D135" s="4">
        <f>VLOOKUP(A135, output_exiobase_v3.10.2_EXIO_IOT_2019_pxp_Z_imports_footprint_FR[], 2, FALSE)</f>
        <v>4610028.8224805137</v>
      </c>
      <c r="E135" s="4">
        <f>VLOOKUP(A135, output_exiobase_v3.10.2_EXIO_IOT_2019_pxp_Y_production_footprint_FR[], 2, FALSE)</f>
        <v>71803315.619130984</v>
      </c>
      <c r="F135" s="4">
        <f>VLOOKUP(A135, output_exiobase_v3.10.2_EXIO_IOT_2019_pxp_Z_production_footprint_FR[], 2, FALSE)</f>
        <v>268924461.93578112</v>
      </c>
      <c r="G135" s="35">
        <f t="shared" si="10"/>
        <v>1.3349331400578176E-2</v>
      </c>
      <c r="H135" s="1">
        <f t="shared" si="11"/>
        <v>0.98665066859942174</v>
      </c>
    </row>
    <row r="136" spans="1:9" x14ac:dyDescent="0.3">
      <c r="A136" s="9" t="s">
        <v>1</v>
      </c>
      <c r="B136" s="29">
        <f t="shared" si="9"/>
        <v>316886160.83292902</v>
      </c>
      <c r="C136" s="4">
        <f>VLOOKUP(A136, output_exiobase_v3.10.2_EXIO_IOT_2019_pxp_Y_imports_footprint_FR[], 2, FALSE)</f>
        <v>5.9331954943446119E-2</v>
      </c>
      <c r="D136" s="4">
        <f>VLOOKUP(A136, output_exiobase_v3.10.2_EXIO_IOT_2019_pxp_Z_imports_footprint_FR[], 2, FALSE)</f>
        <v>152196086.67082366</v>
      </c>
      <c r="E136" s="4">
        <f>VLOOKUP(A136, output_exiobase_v3.10.2_EXIO_IOT_2019_pxp_Y_production_footprint_FR[], 2, FALSE)</f>
        <v>4210292.070437815</v>
      </c>
      <c r="F136" s="4">
        <f>VLOOKUP(A136, output_exiobase_v3.10.2_EXIO_IOT_2019_pxp_Z_production_footprint_FR[], 2, FALSE)</f>
        <v>160479782.03233555</v>
      </c>
      <c r="G136" s="35">
        <f t="shared" si="10"/>
        <v>0.48028631584955056</v>
      </c>
      <c r="H136" s="1">
        <f t="shared" si="11"/>
        <v>0.51971368415044938</v>
      </c>
    </row>
    <row r="137" spans="1:9" x14ac:dyDescent="0.3">
      <c r="A137" s="9" t="s">
        <v>26</v>
      </c>
      <c r="B137" s="29">
        <f t="shared" si="9"/>
        <v>307395157.46715337</v>
      </c>
      <c r="C137" s="4">
        <f>VLOOKUP(A137, output_exiobase_v3.10.2_EXIO_IOT_2019_pxp_Y_imports_footprint_FR[], 2, FALSE)</f>
        <v>0</v>
      </c>
      <c r="D137" s="4">
        <f>VLOOKUP(A137, output_exiobase_v3.10.2_EXIO_IOT_2019_pxp_Z_imports_footprint_FR[], 2, FALSE)</f>
        <v>470981.50623851054</v>
      </c>
      <c r="E137" s="4">
        <f>VLOOKUP(A137, output_exiobase_v3.10.2_EXIO_IOT_2019_pxp_Y_production_footprint_FR[], 2, FALSE)</f>
        <v>21572270.646747291</v>
      </c>
      <c r="F137" s="4">
        <f>VLOOKUP(A137, output_exiobase_v3.10.2_EXIO_IOT_2019_pxp_Z_production_footprint_FR[], 2, FALSE)</f>
        <v>285351905.31416756</v>
      </c>
      <c r="G137" s="35">
        <f t="shared" si="10"/>
        <v>1.5321695700064408E-3</v>
      </c>
      <c r="H137" s="1">
        <f t="shared" si="11"/>
        <v>0.99846783042999354</v>
      </c>
    </row>
    <row r="138" spans="1:9" x14ac:dyDescent="0.3">
      <c r="A138" s="9" t="s">
        <v>29</v>
      </c>
      <c r="B138" s="29">
        <f t="shared" ref="B138:B169" si="12">SUM(C138:F138)</f>
        <v>305061897.62005067</v>
      </c>
      <c r="C138" s="4">
        <f>VLOOKUP(A138, output_exiobase_v3.10.2_EXIO_IOT_2019_pxp_Y_imports_footprint_FR[], 2, FALSE)</f>
        <v>19660500.368586756</v>
      </c>
      <c r="D138" s="4">
        <f>VLOOKUP(A138, output_exiobase_v3.10.2_EXIO_IOT_2019_pxp_Z_imports_footprint_FR[], 2, FALSE)</f>
        <v>285401397.25146389</v>
      </c>
      <c r="E138" s="4">
        <f>VLOOKUP(A138, output_exiobase_v3.10.2_EXIO_IOT_2019_pxp_Y_production_footprint_FR[], 2, FALSE)</f>
        <v>0</v>
      </c>
      <c r="F138" s="4">
        <f>VLOOKUP(A138, output_exiobase_v3.10.2_EXIO_IOT_2019_pxp_Z_production_footprint_FR[], 2, FALSE)</f>
        <v>0</v>
      </c>
      <c r="G138" s="35">
        <f t="shared" ref="G138:G169" si="13">(C138+D138)/B138</f>
        <v>1</v>
      </c>
      <c r="H138" s="1">
        <f t="shared" ref="H138:H169" si="14">(E138+F138)/B138</f>
        <v>0</v>
      </c>
    </row>
    <row r="139" spans="1:9" x14ac:dyDescent="0.3">
      <c r="A139" s="9" t="s">
        <v>24</v>
      </c>
      <c r="B139" s="29">
        <f t="shared" si="12"/>
        <v>268483159.22963881</v>
      </c>
      <c r="C139" s="4">
        <f>VLOOKUP(A139, output_exiobase_v3.10.2_EXIO_IOT_2019_pxp_Y_imports_footprint_FR[], 2, FALSE)</f>
        <v>4985493.1708008982</v>
      </c>
      <c r="D139" s="4">
        <f>VLOOKUP(A139, output_exiobase_v3.10.2_EXIO_IOT_2019_pxp_Z_imports_footprint_FR[], 2, FALSE)</f>
        <v>74817060.846228048</v>
      </c>
      <c r="E139" s="4">
        <f>VLOOKUP(A139, output_exiobase_v3.10.2_EXIO_IOT_2019_pxp_Y_production_footprint_FR[], 2, FALSE)</f>
        <v>24001916.631757401</v>
      </c>
      <c r="F139" s="4">
        <f>VLOOKUP(A139, output_exiobase_v3.10.2_EXIO_IOT_2019_pxp_Z_production_footprint_FR[], 2, FALSE)</f>
        <v>164678688.58085251</v>
      </c>
      <c r="G139" s="35">
        <f t="shared" si="13"/>
        <v>0.29723485914724462</v>
      </c>
      <c r="H139" s="1">
        <f t="shared" si="14"/>
        <v>0.70276514085275554</v>
      </c>
    </row>
    <row r="140" spans="1:9" x14ac:dyDescent="0.3">
      <c r="A140" s="9" t="s">
        <v>197</v>
      </c>
      <c r="B140" s="29">
        <f t="shared" si="12"/>
        <v>246036684.20948541</v>
      </c>
      <c r="C140" s="4">
        <f>VLOOKUP(A140, output_exiobase_v3.10.2_EXIO_IOT_2019_pxp_Y_imports_footprint_FR[], 2, FALSE)</f>
        <v>0</v>
      </c>
      <c r="D140" s="4">
        <f>VLOOKUP(A140, output_exiobase_v3.10.2_EXIO_IOT_2019_pxp_Z_imports_footprint_FR[], 2, FALSE)</f>
        <v>3232932.9508219687</v>
      </c>
      <c r="E140" s="4">
        <f>VLOOKUP(A140, output_exiobase_v3.10.2_EXIO_IOT_2019_pxp_Y_production_footprint_FR[], 2, FALSE)</f>
        <v>51210687.887854472</v>
      </c>
      <c r="F140" s="4">
        <f>VLOOKUP(A140, output_exiobase_v3.10.2_EXIO_IOT_2019_pxp_Z_production_footprint_FR[], 2, FALSE)</f>
        <v>191593063.37080899</v>
      </c>
      <c r="G140" s="35">
        <f t="shared" si="13"/>
        <v>1.3140044384882544E-2</v>
      </c>
      <c r="H140" s="1">
        <f t="shared" si="14"/>
        <v>0.98685995561511763</v>
      </c>
    </row>
    <row r="141" spans="1:9" x14ac:dyDescent="0.3">
      <c r="A141" s="9" t="s">
        <v>198</v>
      </c>
      <c r="B141" s="29">
        <f t="shared" si="12"/>
        <v>233110569.01593977</v>
      </c>
      <c r="C141" s="4">
        <f>VLOOKUP(A141, output_exiobase_v3.10.2_EXIO_IOT_2019_pxp_Y_imports_footprint_FR[], 2, FALSE)</f>
        <v>0</v>
      </c>
      <c r="D141" s="4">
        <f>VLOOKUP(A141, output_exiobase_v3.10.2_EXIO_IOT_2019_pxp_Z_imports_footprint_FR[], 2, FALSE)</f>
        <v>1726797.738328415</v>
      </c>
      <c r="E141" s="4">
        <f>VLOOKUP(A141, output_exiobase_v3.10.2_EXIO_IOT_2019_pxp_Y_production_footprint_FR[], 2, FALSE)</f>
        <v>48657628.156439796</v>
      </c>
      <c r="F141" s="4">
        <f>VLOOKUP(A141, output_exiobase_v3.10.2_EXIO_IOT_2019_pxp_Z_production_footprint_FR[], 2, FALSE)</f>
        <v>182726143.12117156</v>
      </c>
      <c r="G141" s="35">
        <f t="shared" si="13"/>
        <v>7.407633834956402E-3</v>
      </c>
      <c r="H141" s="1">
        <f t="shared" si="14"/>
        <v>0.99259236616504365</v>
      </c>
    </row>
    <row r="142" spans="1:9" x14ac:dyDescent="0.3">
      <c r="A142" s="9" t="s">
        <v>142</v>
      </c>
      <c r="B142" s="29">
        <f t="shared" si="12"/>
        <v>225019189.410101</v>
      </c>
      <c r="C142" s="4">
        <f>VLOOKUP(A142, output_exiobase_v3.10.2_EXIO_IOT_2019_pxp_Y_imports_footprint_FR[], 2, FALSE)</f>
        <v>92399841.75949055</v>
      </c>
      <c r="D142" s="4">
        <f>VLOOKUP(A142, output_exiobase_v3.10.2_EXIO_IOT_2019_pxp_Z_imports_footprint_FR[], 2, FALSE)</f>
        <v>103703687.12014003</v>
      </c>
      <c r="E142" s="4">
        <f>VLOOKUP(A142, output_exiobase_v3.10.2_EXIO_IOT_2019_pxp_Y_production_footprint_FR[], 2, FALSE)</f>
        <v>8187394.3724681213</v>
      </c>
      <c r="F142" s="4">
        <f>VLOOKUP(A142, output_exiobase_v3.10.2_EXIO_IOT_2019_pxp_Z_production_footprint_FR[], 2, FALSE)</f>
        <v>20728266.15800231</v>
      </c>
      <c r="G142" s="35">
        <f t="shared" si="13"/>
        <v>0.87149691274653385</v>
      </c>
      <c r="H142" s="1">
        <f t="shared" si="14"/>
        <v>0.12850308725346613</v>
      </c>
    </row>
    <row r="143" spans="1:9" x14ac:dyDescent="0.3">
      <c r="A143" s="9" t="s">
        <v>193</v>
      </c>
      <c r="B143" s="29">
        <f t="shared" si="12"/>
        <v>222585903.05341619</v>
      </c>
      <c r="C143" s="4">
        <f>VLOOKUP(A143, output_exiobase_v3.10.2_EXIO_IOT_2019_pxp_Y_imports_footprint_FR[], 2, FALSE)</f>
        <v>0</v>
      </c>
      <c r="D143" s="4">
        <f>VLOOKUP(A143, output_exiobase_v3.10.2_EXIO_IOT_2019_pxp_Z_imports_footprint_FR[], 2, FALSE)</f>
        <v>9478053.9717014655</v>
      </c>
      <c r="E143" s="4">
        <f>VLOOKUP(A143, output_exiobase_v3.10.2_EXIO_IOT_2019_pxp_Y_production_footprint_FR[], 2, FALSE)</f>
        <v>5616498.4199706763</v>
      </c>
      <c r="F143" s="4">
        <f>VLOOKUP(A143, output_exiobase_v3.10.2_EXIO_IOT_2019_pxp_Z_production_footprint_FR[], 2, FALSE)</f>
        <v>207491350.66174406</v>
      </c>
      <c r="G143" s="35">
        <f t="shared" si="13"/>
        <v>4.2581555443009886E-2</v>
      </c>
      <c r="H143" s="1">
        <f t="shared" si="14"/>
        <v>0.95741844455699021</v>
      </c>
    </row>
    <row r="144" spans="1:9" x14ac:dyDescent="0.3">
      <c r="A144" s="9" t="s">
        <v>49</v>
      </c>
      <c r="B144" s="29">
        <f t="shared" si="12"/>
        <v>201137079.6023525</v>
      </c>
      <c r="C144" s="4">
        <f>VLOOKUP(A144, output_exiobase_v3.10.2_EXIO_IOT_2019_pxp_Y_imports_footprint_FR[], 2, FALSE)</f>
        <v>0</v>
      </c>
      <c r="D144" s="4">
        <f>VLOOKUP(A144, output_exiobase_v3.10.2_EXIO_IOT_2019_pxp_Z_imports_footprint_FR[], 2, FALSE)</f>
        <v>9420436.5467083789</v>
      </c>
      <c r="E144" s="4">
        <f>VLOOKUP(A144, output_exiobase_v3.10.2_EXIO_IOT_2019_pxp_Y_production_footprint_FR[], 2, FALSE)</f>
        <v>61681013.047695689</v>
      </c>
      <c r="F144" s="4">
        <f>VLOOKUP(A144, output_exiobase_v3.10.2_EXIO_IOT_2019_pxp_Z_production_footprint_FR[], 2, FALSE)</f>
        <v>130035630.00794843</v>
      </c>
      <c r="G144" s="35">
        <f t="shared" si="13"/>
        <v>4.6835901989491738E-2</v>
      </c>
      <c r="H144" s="1">
        <f t="shared" si="14"/>
        <v>0.95316409801050828</v>
      </c>
    </row>
    <row r="145" spans="1:8" x14ac:dyDescent="0.3">
      <c r="A145" s="9" t="s">
        <v>184</v>
      </c>
      <c r="B145" s="29">
        <f t="shared" si="12"/>
        <v>188446556.14517242</v>
      </c>
      <c r="C145" s="4">
        <f>VLOOKUP(A145, output_exiobase_v3.10.2_EXIO_IOT_2019_pxp_Y_imports_footprint_FR[], 2, FALSE)</f>
        <v>0</v>
      </c>
      <c r="D145" s="4">
        <f>VLOOKUP(A145, output_exiobase_v3.10.2_EXIO_IOT_2019_pxp_Z_imports_footprint_FR[], 2, FALSE)</f>
        <v>3358111.0735510113</v>
      </c>
      <c r="E145" s="4">
        <f>VLOOKUP(A145, output_exiobase_v3.10.2_EXIO_IOT_2019_pxp_Y_production_footprint_FR[], 2, FALSE)</f>
        <v>39036695.228930555</v>
      </c>
      <c r="F145" s="4">
        <f>VLOOKUP(A145, output_exiobase_v3.10.2_EXIO_IOT_2019_pxp_Z_production_footprint_FR[], 2, FALSE)</f>
        <v>146051749.84269086</v>
      </c>
      <c r="G145" s="35">
        <f t="shared" si="13"/>
        <v>1.7819965205222662E-2</v>
      </c>
      <c r="H145" s="1">
        <f t="shared" si="14"/>
        <v>0.98218003479477745</v>
      </c>
    </row>
    <row r="146" spans="1:8" x14ac:dyDescent="0.3">
      <c r="A146" s="9" t="s">
        <v>6</v>
      </c>
      <c r="B146" s="29">
        <f t="shared" si="12"/>
        <v>181907599.84893709</v>
      </c>
      <c r="C146" s="4">
        <f>VLOOKUP(A146, output_exiobase_v3.10.2_EXIO_IOT_2019_pxp_Y_imports_footprint_FR[], 2, FALSE)</f>
        <v>158.34745933495071</v>
      </c>
      <c r="D146" s="4">
        <f>VLOOKUP(A146, output_exiobase_v3.10.2_EXIO_IOT_2019_pxp_Z_imports_footprint_FR[], 2, FALSE)</f>
        <v>181907441.50147775</v>
      </c>
      <c r="E146" s="4">
        <f>VLOOKUP(A146, output_exiobase_v3.10.2_EXIO_IOT_2019_pxp_Y_production_footprint_FR[], 2, FALSE)</f>
        <v>0</v>
      </c>
      <c r="F146" s="4">
        <f>VLOOKUP(A146, output_exiobase_v3.10.2_EXIO_IOT_2019_pxp_Z_production_footprint_FR[], 2, FALSE)</f>
        <v>0</v>
      </c>
      <c r="G146" s="35">
        <f t="shared" si="13"/>
        <v>1</v>
      </c>
      <c r="H146" s="1">
        <f t="shared" si="14"/>
        <v>0</v>
      </c>
    </row>
    <row r="147" spans="1:8" x14ac:dyDescent="0.3">
      <c r="A147" s="9" t="s">
        <v>154</v>
      </c>
      <c r="B147" s="29">
        <f t="shared" si="12"/>
        <v>175096441.76382065</v>
      </c>
      <c r="C147" s="4">
        <f>VLOOKUP(A147, output_exiobase_v3.10.2_EXIO_IOT_2019_pxp_Y_imports_footprint_FR[], 2, FALSE)</f>
        <v>0</v>
      </c>
      <c r="D147" s="4">
        <f>VLOOKUP(A147, output_exiobase_v3.10.2_EXIO_IOT_2019_pxp_Z_imports_footprint_FR[], 2, FALSE)</f>
        <v>101685770.14869782</v>
      </c>
      <c r="E147" s="4">
        <f>VLOOKUP(A147, output_exiobase_v3.10.2_EXIO_IOT_2019_pxp_Y_production_footprint_FR[], 2, FALSE)</f>
        <v>0</v>
      </c>
      <c r="F147" s="4">
        <f>VLOOKUP(A147, output_exiobase_v3.10.2_EXIO_IOT_2019_pxp_Z_production_footprint_FR[], 2, FALSE)</f>
        <v>73410671.615122825</v>
      </c>
      <c r="G147" s="35">
        <f t="shared" si="13"/>
        <v>0.58074149950949305</v>
      </c>
      <c r="H147" s="1">
        <f t="shared" si="14"/>
        <v>0.41925850049050695</v>
      </c>
    </row>
    <row r="148" spans="1:8" x14ac:dyDescent="0.3">
      <c r="A148" s="9" t="s">
        <v>103</v>
      </c>
      <c r="B148" s="29">
        <f t="shared" si="12"/>
        <v>173174785.38688913</v>
      </c>
      <c r="C148" s="4">
        <f>VLOOKUP(A148, output_exiobase_v3.10.2_EXIO_IOT_2019_pxp_Y_imports_footprint_FR[], 2, FALSE)</f>
        <v>2388845.3495278973</v>
      </c>
      <c r="D148" s="4">
        <f>VLOOKUP(A148, output_exiobase_v3.10.2_EXIO_IOT_2019_pxp_Z_imports_footprint_FR[], 2, FALSE)</f>
        <v>78157670.599764377</v>
      </c>
      <c r="E148" s="4">
        <f>VLOOKUP(A148, output_exiobase_v3.10.2_EXIO_IOT_2019_pxp_Y_production_footprint_FR[], 2, FALSE)</f>
        <v>3485466.9742513495</v>
      </c>
      <c r="F148" s="4">
        <f>VLOOKUP(A148, output_exiobase_v3.10.2_EXIO_IOT_2019_pxp_Z_production_footprint_FR[], 2, FALSE)</f>
        <v>89142802.463345513</v>
      </c>
      <c r="G148" s="35">
        <f t="shared" si="13"/>
        <v>0.46511688043581867</v>
      </c>
      <c r="H148" s="1">
        <f t="shared" si="14"/>
        <v>0.53488311956418133</v>
      </c>
    </row>
    <row r="149" spans="1:8" x14ac:dyDescent="0.3">
      <c r="A149" s="9" t="s">
        <v>88</v>
      </c>
      <c r="B149" s="29">
        <f t="shared" si="12"/>
        <v>144301544.72378978</v>
      </c>
      <c r="C149" s="4">
        <f>VLOOKUP(A149, output_exiobase_v3.10.2_EXIO_IOT_2019_pxp_Y_imports_footprint_FR[], 2, FALSE)</f>
        <v>9.9337024655016953E-4</v>
      </c>
      <c r="D149" s="4">
        <f>VLOOKUP(A149, output_exiobase_v3.10.2_EXIO_IOT_2019_pxp_Z_imports_footprint_FR[], 2, FALSE)</f>
        <v>3649288.0337183559</v>
      </c>
      <c r="E149" s="4">
        <f>VLOOKUP(A149, output_exiobase_v3.10.2_EXIO_IOT_2019_pxp_Y_production_footprint_FR[], 2, FALSE)</f>
        <v>2068.7419743577789</v>
      </c>
      <c r="F149" s="4">
        <f>VLOOKUP(A149, output_exiobase_v3.10.2_EXIO_IOT_2019_pxp_Z_production_footprint_FR[], 2, FALSE)</f>
        <v>140650187.94710371</v>
      </c>
      <c r="G149" s="35">
        <f t="shared" si="13"/>
        <v>2.5289320649317337E-2</v>
      </c>
      <c r="H149" s="1">
        <f t="shared" si="14"/>
        <v>0.97471067935068267</v>
      </c>
    </row>
    <row r="150" spans="1:8" x14ac:dyDescent="0.3">
      <c r="A150" s="9" t="s">
        <v>134</v>
      </c>
      <c r="B150" s="29">
        <f t="shared" si="12"/>
        <v>132269569.76005152</v>
      </c>
      <c r="C150" s="4">
        <f>VLOOKUP(A150, output_exiobase_v3.10.2_EXIO_IOT_2019_pxp_Y_imports_footprint_FR[], 2, FALSE)</f>
        <v>0</v>
      </c>
      <c r="D150" s="4">
        <f>VLOOKUP(A150, output_exiobase_v3.10.2_EXIO_IOT_2019_pxp_Z_imports_footprint_FR[], 2, FALSE)</f>
        <v>1427588.206996754</v>
      </c>
      <c r="E150" s="4">
        <f>VLOOKUP(A150, output_exiobase_v3.10.2_EXIO_IOT_2019_pxp_Y_production_footprint_FR[], 2, FALSE)</f>
        <v>27531173.68782597</v>
      </c>
      <c r="F150" s="4">
        <f>VLOOKUP(A150, output_exiobase_v3.10.2_EXIO_IOT_2019_pxp_Z_production_footprint_FR[], 2, FALSE)</f>
        <v>103310807.8652288</v>
      </c>
      <c r="G150" s="35">
        <f t="shared" si="13"/>
        <v>1.079302071962979E-2</v>
      </c>
      <c r="H150" s="1">
        <f t="shared" si="14"/>
        <v>0.98920697928037027</v>
      </c>
    </row>
    <row r="151" spans="1:8" x14ac:dyDescent="0.3">
      <c r="A151" s="9" t="s">
        <v>132</v>
      </c>
      <c r="B151" s="29">
        <f t="shared" si="12"/>
        <v>116047591.55092438</v>
      </c>
      <c r="C151" s="4">
        <f>VLOOKUP(A151, output_exiobase_v3.10.2_EXIO_IOT_2019_pxp_Y_imports_footprint_FR[], 2, FALSE)</f>
        <v>9672362.946807107</v>
      </c>
      <c r="D151" s="4">
        <f>VLOOKUP(A151, output_exiobase_v3.10.2_EXIO_IOT_2019_pxp_Z_imports_footprint_FR[], 2, FALSE)</f>
        <v>33811721.887459964</v>
      </c>
      <c r="E151" s="4">
        <f>VLOOKUP(A151, output_exiobase_v3.10.2_EXIO_IOT_2019_pxp_Y_production_footprint_FR[], 2, FALSE)</f>
        <v>3746487.2705670856</v>
      </c>
      <c r="F151" s="4">
        <f>VLOOKUP(A151, output_exiobase_v3.10.2_EXIO_IOT_2019_pxp_Z_production_footprint_FR[], 2, FALSE)</f>
        <v>68817019.446090221</v>
      </c>
      <c r="G151" s="35">
        <f t="shared" si="13"/>
        <v>0.37470906766027323</v>
      </c>
      <c r="H151" s="1">
        <f t="shared" si="14"/>
        <v>0.62529093233972688</v>
      </c>
    </row>
    <row r="152" spans="1:8" x14ac:dyDescent="0.3">
      <c r="A152" s="9" t="s">
        <v>43</v>
      </c>
      <c r="B152" s="29">
        <f t="shared" si="12"/>
        <v>113424898.57736081</v>
      </c>
      <c r="C152" s="4">
        <f>VLOOKUP(A152, output_exiobase_v3.10.2_EXIO_IOT_2019_pxp_Y_imports_footprint_FR[], 2, FALSE)</f>
        <v>0</v>
      </c>
      <c r="D152" s="4">
        <f>VLOOKUP(A152, output_exiobase_v3.10.2_EXIO_IOT_2019_pxp_Z_imports_footprint_FR[], 2, FALSE)</f>
        <v>34707566.285291232</v>
      </c>
      <c r="E152" s="4">
        <f>VLOOKUP(A152, output_exiobase_v3.10.2_EXIO_IOT_2019_pxp_Y_production_footprint_FR[], 2, FALSE)</f>
        <v>24843432.835572321</v>
      </c>
      <c r="F152" s="4">
        <f>VLOOKUP(A152, output_exiobase_v3.10.2_EXIO_IOT_2019_pxp_Z_production_footprint_FR[], 2, FALSE)</f>
        <v>53873899.456497259</v>
      </c>
      <c r="G152" s="35">
        <f t="shared" si="13"/>
        <v>0.3059960089946136</v>
      </c>
      <c r="H152" s="1">
        <f t="shared" si="14"/>
        <v>0.69400399100538646</v>
      </c>
    </row>
    <row r="153" spans="1:8" x14ac:dyDescent="0.3">
      <c r="A153" s="9" t="s">
        <v>81</v>
      </c>
      <c r="B153" s="29">
        <f t="shared" si="12"/>
        <v>106681721.40944989</v>
      </c>
      <c r="C153" s="4">
        <f>VLOOKUP(A153, output_exiobase_v3.10.2_EXIO_IOT_2019_pxp_Y_imports_footprint_FR[], 2, FALSE)</f>
        <v>105979387.18034707</v>
      </c>
      <c r="D153" s="4">
        <f>VLOOKUP(A153, output_exiobase_v3.10.2_EXIO_IOT_2019_pxp_Z_imports_footprint_FR[], 2, FALSE)</f>
        <v>0</v>
      </c>
      <c r="E153" s="4">
        <f>VLOOKUP(A153, output_exiobase_v3.10.2_EXIO_IOT_2019_pxp_Y_production_footprint_FR[], 2, FALSE)</f>
        <v>702334.22910281504</v>
      </c>
      <c r="F153" s="4">
        <f>VLOOKUP(A153, output_exiobase_v3.10.2_EXIO_IOT_2019_pxp_Z_production_footprint_FR[], 2, FALSE)</f>
        <v>0</v>
      </c>
      <c r="G153" s="35">
        <f t="shared" si="13"/>
        <v>0.99341654577912908</v>
      </c>
      <c r="H153" s="1">
        <f t="shared" si="14"/>
        <v>6.5834542208708874E-3</v>
      </c>
    </row>
    <row r="154" spans="1:8" x14ac:dyDescent="0.3">
      <c r="A154" s="9" t="s">
        <v>130</v>
      </c>
      <c r="B154" s="29">
        <f t="shared" si="12"/>
        <v>96635399.67042616</v>
      </c>
      <c r="C154" s="4">
        <f>VLOOKUP(A154, output_exiobase_v3.10.2_EXIO_IOT_2019_pxp_Y_imports_footprint_FR[], 2, FALSE)</f>
        <v>12701979.663942683</v>
      </c>
      <c r="D154" s="4">
        <f>VLOOKUP(A154, output_exiobase_v3.10.2_EXIO_IOT_2019_pxp_Z_imports_footprint_FR[], 2, FALSE)</f>
        <v>64667522.083753861</v>
      </c>
      <c r="E154" s="4">
        <f>VLOOKUP(A154, output_exiobase_v3.10.2_EXIO_IOT_2019_pxp_Y_production_footprint_FR[], 2, FALSE)</f>
        <v>162539.02495978345</v>
      </c>
      <c r="F154" s="4">
        <f>VLOOKUP(A154, output_exiobase_v3.10.2_EXIO_IOT_2019_pxp_Z_production_footprint_FR[], 2, FALSE)</f>
        <v>19103358.897769816</v>
      </c>
      <c r="G154" s="35">
        <f t="shared" si="13"/>
        <v>0.80063312214327542</v>
      </c>
      <c r="H154" s="1">
        <f t="shared" si="14"/>
        <v>0.19936687785672444</v>
      </c>
    </row>
    <row r="155" spans="1:8" x14ac:dyDescent="0.3">
      <c r="A155" s="9" t="s">
        <v>84</v>
      </c>
      <c r="B155" s="29">
        <f t="shared" si="12"/>
        <v>95171849.809406504</v>
      </c>
      <c r="C155" s="4">
        <f>VLOOKUP(A155, output_exiobase_v3.10.2_EXIO_IOT_2019_pxp_Y_imports_footprint_FR[], 2, FALSE)</f>
        <v>29030239.348318443</v>
      </c>
      <c r="D155" s="4">
        <f>VLOOKUP(A155, output_exiobase_v3.10.2_EXIO_IOT_2019_pxp_Z_imports_footprint_FR[], 2, FALSE)</f>
        <v>66141610.461088061</v>
      </c>
      <c r="E155" s="4">
        <f>VLOOKUP(A155, output_exiobase_v3.10.2_EXIO_IOT_2019_pxp_Y_production_footprint_FR[], 2, FALSE)</f>
        <v>0</v>
      </c>
      <c r="F155" s="4">
        <f>VLOOKUP(A155, output_exiobase_v3.10.2_EXIO_IOT_2019_pxp_Z_production_footprint_FR[], 2, FALSE)</f>
        <v>0</v>
      </c>
      <c r="G155" s="35">
        <f t="shared" si="13"/>
        <v>1</v>
      </c>
      <c r="H155" s="1">
        <f t="shared" si="14"/>
        <v>0</v>
      </c>
    </row>
    <row r="156" spans="1:8" x14ac:dyDescent="0.3">
      <c r="A156" s="9" t="s">
        <v>185</v>
      </c>
      <c r="B156" s="29">
        <f t="shared" si="12"/>
        <v>86765215.755556077</v>
      </c>
      <c r="C156" s="4">
        <f>VLOOKUP(A156, output_exiobase_v3.10.2_EXIO_IOT_2019_pxp_Y_imports_footprint_FR[], 2, FALSE)</f>
        <v>0</v>
      </c>
      <c r="D156" s="4">
        <f>VLOOKUP(A156, output_exiobase_v3.10.2_EXIO_IOT_2019_pxp_Z_imports_footprint_FR[], 2, FALSE)</f>
        <v>1364640.0032078964</v>
      </c>
      <c r="E156" s="4">
        <f>VLOOKUP(A156, output_exiobase_v3.10.2_EXIO_IOT_2019_pxp_Y_production_footprint_FR[], 2, FALSE)</f>
        <v>17976622.046304781</v>
      </c>
      <c r="F156" s="4">
        <f>VLOOKUP(A156, output_exiobase_v3.10.2_EXIO_IOT_2019_pxp_Z_production_footprint_FR[], 2, FALSE)</f>
        <v>67423953.706043392</v>
      </c>
      <c r="G156" s="35">
        <f t="shared" si="13"/>
        <v>1.5727961848818552E-2</v>
      </c>
      <c r="H156" s="1">
        <f t="shared" si="14"/>
        <v>0.98427203815118136</v>
      </c>
    </row>
    <row r="157" spans="1:8" x14ac:dyDescent="0.3">
      <c r="A157" s="9" t="s">
        <v>61</v>
      </c>
      <c r="B157" s="29">
        <f t="shared" si="12"/>
        <v>85687832.586067945</v>
      </c>
      <c r="C157" s="4">
        <f>VLOOKUP(A157, output_exiobase_v3.10.2_EXIO_IOT_2019_pxp_Y_imports_footprint_FR[], 2, FALSE)</f>
        <v>0</v>
      </c>
      <c r="D157" s="4">
        <f>VLOOKUP(A157, output_exiobase_v3.10.2_EXIO_IOT_2019_pxp_Z_imports_footprint_FR[], 2, FALSE)</f>
        <v>1406245.4051028194</v>
      </c>
      <c r="E157" s="4">
        <f>VLOOKUP(A157, output_exiobase_v3.10.2_EXIO_IOT_2019_pxp_Y_production_footprint_FR[], 2, FALSE)</f>
        <v>17760258.310333677</v>
      </c>
      <c r="F157" s="4">
        <f>VLOOKUP(A157, output_exiobase_v3.10.2_EXIO_IOT_2019_pxp_Z_production_footprint_FR[], 2, FALSE)</f>
        <v>66521328.870631449</v>
      </c>
      <c r="G157" s="35">
        <f t="shared" si="13"/>
        <v>1.6411261233505187E-2</v>
      </c>
      <c r="H157" s="1">
        <f t="shared" si="14"/>
        <v>0.98358873876649477</v>
      </c>
    </row>
    <row r="158" spans="1:8" x14ac:dyDescent="0.3">
      <c r="A158" s="9" t="s">
        <v>98</v>
      </c>
      <c r="B158" s="29">
        <f t="shared" si="12"/>
        <v>80857136.168694466</v>
      </c>
      <c r="C158" s="4">
        <f>VLOOKUP(A158, output_exiobase_v3.10.2_EXIO_IOT_2019_pxp_Y_imports_footprint_FR[], 2, FALSE)</f>
        <v>6711642.015171973</v>
      </c>
      <c r="D158" s="4">
        <f>VLOOKUP(A158, output_exiobase_v3.10.2_EXIO_IOT_2019_pxp_Z_imports_footprint_FR[], 2, FALSE)</f>
        <v>23656309.878384974</v>
      </c>
      <c r="E158" s="4">
        <f>VLOOKUP(A158, output_exiobase_v3.10.2_EXIO_IOT_2019_pxp_Y_production_footprint_FR[], 2, FALSE)</f>
        <v>4288560.9248885978</v>
      </c>
      <c r="F158" s="4">
        <f>VLOOKUP(A158, output_exiobase_v3.10.2_EXIO_IOT_2019_pxp_Z_production_footprint_FR[], 2, FALSE)</f>
        <v>46200623.350248925</v>
      </c>
      <c r="G158" s="35">
        <f t="shared" si="13"/>
        <v>0.37557540784278398</v>
      </c>
      <c r="H158" s="1">
        <f t="shared" si="14"/>
        <v>0.62442459215721602</v>
      </c>
    </row>
    <row r="159" spans="1:8" x14ac:dyDescent="0.3">
      <c r="A159" s="9" t="s">
        <v>23</v>
      </c>
      <c r="B159" s="29">
        <f t="shared" si="12"/>
        <v>76218615.007983059</v>
      </c>
      <c r="C159" s="4">
        <f>VLOOKUP(A159, output_exiobase_v3.10.2_EXIO_IOT_2019_pxp_Y_imports_footprint_FR[], 2, FALSE)</f>
        <v>63011527.499993034</v>
      </c>
      <c r="D159" s="4">
        <f>VLOOKUP(A159, output_exiobase_v3.10.2_EXIO_IOT_2019_pxp_Z_imports_footprint_FR[], 2, FALSE)</f>
        <v>0</v>
      </c>
      <c r="E159" s="4">
        <f>VLOOKUP(A159, output_exiobase_v3.10.2_EXIO_IOT_2019_pxp_Y_production_footprint_FR[], 2, FALSE)</f>
        <v>12671689.069703482</v>
      </c>
      <c r="F159" s="4">
        <f>VLOOKUP(A159, output_exiobase_v3.10.2_EXIO_IOT_2019_pxp_Z_production_footprint_FR[], 2, FALSE)</f>
        <v>535398.43828654836</v>
      </c>
      <c r="G159" s="35">
        <f t="shared" si="13"/>
        <v>0.82672097221122787</v>
      </c>
      <c r="H159" s="1">
        <f t="shared" si="14"/>
        <v>0.17327902778877224</v>
      </c>
    </row>
    <row r="160" spans="1:8" x14ac:dyDescent="0.3">
      <c r="A160" s="9" t="s">
        <v>86</v>
      </c>
      <c r="B160" s="29">
        <f t="shared" si="12"/>
        <v>66837964.35477861</v>
      </c>
      <c r="C160" s="4">
        <f>VLOOKUP(A160, output_exiobase_v3.10.2_EXIO_IOT_2019_pxp_Y_imports_footprint_FR[], 2, FALSE)</f>
        <v>4.4027079025452916E-3</v>
      </c>
      <c r="D160" s="4">
        <f>VLOOKUP(A160, output_exiobase_v3.10.2_EXIO_IOT_2019_pxp_Z_imports_footprint_FR[], 2, FALSE)</f>
        <v>66719723.128001437</v>
      </c>
      <c r="E160" s="4">
        <f>VLOOKUP(A160, output_exiobase_v3.10.2_EXIO_IOT_2019_pxp_Y_production_footprint_FR[], 2, FALSE)</f>
        <v>44.029617155707598</v>
      </c>
      <c r="F160" s="4">
        <f>VLOOKUP(A160, output_exiobase_v3.10.2_EXIO_IOT_2019_pxp_Z_production_footprint_FR[], 2, FALSE)</f>
        <v>118197.19275731394</v>
      </c>
      <c r="G160" s="35">
        <f t="shared" si="13"/>
        <v>0.99823092723550289</v>
      </c>
      <c r="H160" s="1">
        <f t="shared" si="14"/>
        <v>1.7690727644971422E-3</v>
      </c>
    </row>
    <row r="161" spans="1:8" x14ac:dyDescent="0.3">
      <c r="A161" s="9" t="s">
        <v>4</v>
      </c>
      <c r="B161" s="29">
        <f t="shared" si="12"/>
        <v>53946155.796399213</v>
      </c>
      <c r="C161" s="4">
        <f>VLOOKUP(A161, output_exiobase_v3.10.2_EXIO_IOT_2019_pxp_Y_imports_footprint_FR[], 2, FALSE)</f>
        <v>300801.51981557044</v>
      </c>
      <c r="D161" s="4">
        <f>VLOOKUP(A161, output_exiobase_v3.10.2_EXIO_IOT_2019_pxp_Z_imports_footprint_FR[], 2, FALSE)</f>
        <v>48147564.321879558</v>
      </c>
      <c r="E161" s="4">
        <f>VLOOKUP(A161, output_exiobase_v3.10.2_EXIO_IOT_2019_pxp_Y_production_footprint_FR[], 2, FALSE)</f>
        <v>161193.04596135442</v>
      </c>
      <c r="F161" s="4">
        <f>VLOOKUP(A161, output_exiobase_v3.10.2_EXIO_IOT_2019_pxp_Z_production_footprint_FR[], 2, FALSE)</f>
        <v>5336596.9087427249</v>
      </c>
      <c r="G161" s="35">
        <f t="shared" si="13"/>
        <v>0.89808745639905174</v>
      </c>
      <c r="H161" s="1">
        <f t="shared" si="14"/>
        <v>0.1019125436009482</v>
      </c>
    </row>
    <row r="162" spans="1:8" x14ac:dyDescent="0.3">
      <c r="A162" s="9" t="s">
        <v>16</v>
      </c>
      <c r="B162" s="29">
        <f t="shared" si="12"/>
        <v>52488452.21423775</v>
      </c>
      <c r="C162" s="4">
        <f>VLOOKUP(A162, output_exiobase_v3.10.2_EXIO_IOT_2019_pxp_Y_imports_footprint_FR[], 2, FALSE)</f>
        <v>0</v>
      </c>
      <c r="D162" s="4">
        <f>VLOOKUP(A162, output_exiobase_v3.10.2_EXIO_IOT_2019_pxp_Z_imports_footprint_FR[], 2, FALSE)</f>
        <v>48109.327310441906</v>
      </c>
      <c r="E162" s="4">
        <f>VLOOKUP(A162, output_exiobase_v3.10.2_EXIO_IOT_2019_pxp_Y_production_footprint_FR[], 2, FALSE)</f>
        <v>74.668389949419421</v>
      </c>
      <c r="F162" s="4">
        <f>VLOOKUP(A162, output_exiobase_v3.10.2_EXIO_IOT_2019_pxp_Z_production_footprint_FR[], 2, FALSE)</f>
        <v>52440268.21853736</v>
      </c>
      <c r="G162" s="35">
        <f t="shared" si="13"/>
        <v>9.165697459334115E-4</v>
      </c>
      <c r="H162" s="1">
        <f t="shared" si="14"/>
        <v>0.99908343025406654</v>
      </c>
    </row>
    <row r="163" spans="1:8" x14ac:dyDescent="0.3">
      <c r="A163" s="9" t="s">
        <v>121</v>
      </c>
      <c r="B163" s="29">
        <f t="shared" si="12"/>
        <v>45534001.26466427</v>
      </c>
      <c r="C163" s="4">
        <f>VLOOKUP(A163, output_exiobase_v3.10.2_EXIO_IOT_2019_pxp_Y_imports_footprint_FR[], 2, FALSE)</f>
        <v>16717120.317420444</v>
      </c>
      <c r="D163" s="4">
        <f>VLOOKUP(A163, output_exiobase_v3.10.2_EXIO_IOT_2019_pxp_Z_imports_footprint_FR[], 2, FALSE)</f>
        <v>10933939.621450853</v>
      </c>
      <c r="E163" s="4">
        <f>VLOOKUP(A163, output_exiobase_v3.10.2_EXIO_IOT_2019_pxp_Y_production_footprint_FR[], 2, FALSE)</f>
        <v>1616673.5229927176</v>
      </c>
      <c r="F163" s="4">
        <f>VLOOKUP(A163, output_exiobase_v3.10.2_EXIO_IOT_2019_pxp_Z_production_footprint_FR[], 2, FALSE)</f>
        <v>16266267.802800255</v>
      </c>
      <c r="G163" s="35">
        <f t="shared" si="13"/>
        <v>0.60726180811896568</v>
      </c>
      <c r="H163" s="1">
        <f t="shared" si="14"/>
        <v>0.39273819188103426</v>
      </c>
    </row>
    <row r="164" spans="1:8" x14ac:dyDescent="0.3">
      <c r="A164" s="9" t="s">
        <v>127</v>
      </c>
      <c r="B164" s="29">
        <f t="shared" si="12"/>
        <v>44838869.45974689</v>
      </c>
      <c r="C164" s="4">
        <f>VLOOKUP(A164, output_exiobase_v3.10.2_EXIO_IOT_2019_pxp_Y_imports_footprint_FR[], 2, FALSE)</f>
        <v>1.027212690739092E-3</v>
      </c>
      <c r="D164" s="4">
        <f>VLOOKUP(A164, output_exiobase_v3.10.2_EXIO_IOT_2019_pxp_Z_imports_footprint_FR[], 2, FALSE)</f>
        <v>23898903.295305461</v>
      </c>
      <c r="E164" s="4">
        <f>VLOOKUP(A164, output_exiobase_v3.10.2_EXIO_IOT_2019_pxp_Y_production_footprint_FR[], 2, FALSE)</f>
        <v>660967.37622717151</v>
      </c>
      <c r="F164" s="4">
        <f>VLOOKUP(A164, output_exiobase_v3.10.2_EXIO_IOT_2019_pxp_Z_production_footprint_FR[], 2, FALSE)</f>
        <v>20278998.787187047</v>
      </c>
      <c r="G164" s="35">
        <f t="shared" si="13"/>
        <v>0.53299522455148851</v>
      </c>
      <c r="H164" s="1">
        <f t="shared" si="14"/>
        <v>0.46700477544851154</v>
      </c>
    </row>
    <row r="165" spans="1:8" x14ac:dyDescent="0.3">
      <c r="A165" s="9" t="s">
        <v>179</v>
      </c>
      <c r="B165" s="29">
        <f t="shared" si="12"/>
        <v>44564012.882348917</v>
      </c>
      <c r="C165" s="4">
        <f>VLOOKUP(A165, output_exiobase_v3.10.2_EXIO_IOT_2019_pxp_Y_imports_footprint_FR[], 2, FALSE)</f>
        <v>290341.09789787582</v>
      </c>
      <c r="D165" s="4">
        <f>VLOOKUP(A165, output_exiobase_v3.10.2_EXIO_IOT_2019_pxp_Z_imports_footprint_FR[], 2, FALSE)</f>
        <v>44273671.784451045</v>
      </c>
      <c r="E165" s="4">
        <f>VLOOKUP(A165, output_exiobase_v3.10.2_EXIO_IOT_2019_pxp_Y_production_footprint_FR[], 2, FALSE)</f>
        <v>0</v>
      </c>
      <c r="F165" s="4">
        <f>VLOOKUP(A165, output_exiobase_v3.10.2_EXIO_IOT_2019_pxp_Z_production_footprint_FR[], 2, FALSE)</f>
        <v>0</v>
      </c>
      <c r="G165" s="35">
        <f t="shared" si="13"/>
        <v>1</v>
      </c>
      <c r="H165" s="1">
        <f t="shared" si="14"/>
        <v>0</v>
      </c>
    </row>
    <row r="166" spans="1:8" x14ac:dyDescent="0.3">
      <c r="A166" s="9" t="s">
        <v>110</v>
      </c>
      <c r="B166" s="29">
        <f t="shared" si="12"/>
        <v>41544939.94885619</v>
      </c>
      <c r="C166" s="4">
        <f>VLOOKUP(A166, output_exiobase_v3.10.2_EXIO_IOT_2019_pxp_Y_imports_footprint_FR[], 2, FALSE)</f>
        <v>0</v>
      </c>
      <c r="D166" s="4">
        <f>VLOOKUP(A166, output_exiobase_v3.10.2_EXIO_IOT_2019_pxp_Z_imports_footprint_FR[], 2, FALSE)</f>
        <v>140270.02615482573</v>
      </c>
      <c r="E166" s="4">
        <f>VLOOKUP(A166, output_exiobase_v3.10.2_EXIO_IOT_2019_pxp_Y_production_footprint_FR[], 2, FALSE)</f>
        <v>0</v>
      </c>
      <c r="F166" s="4">
        <f>VLOOKUP(A166, output_exiobase_v3.10.2_EXIO_IOT_2019_pxp_Z_production_footprint_FR[], 2, FALSE)</f>
        <v>41404669.922701366</v>
      </c>
      <c r="G166" s="35">
        <f t="shared" si="13"/>
        <v>3.3763444195010232E-3</v>
      </c>
      <c r="H166" s="1">
        <f t="shared" si="14"/>
        <v>0.99662365558049903</v>
      </c>
    </row>
    <row r="167" spans="1:8" x14ac:dyDescent="0.3">
      <c r="A167" s="9" t="s">
        <v>9</v>
      </c>
      <c r="B167" s="29">
        <f t="shared" si="12"/>
        <v>34754855.069297828</v>
      </c>
      <c r="C167" s="4">
        <f>VLOOKUP(A167, output_exiobase_v3.10.2_EXIO_IOT_2019_pxp_Y_imports_footprint_FR[], 2, FALSE)</f>
        <v>1.3709437366827189E-3</v>
      </c>
      <c r="D167" s="4">
        <f>VLOOKUP(A167, output_exiobase_v3.10.2_EXIO_IOT_2019_pxp_Z_imports_footprint_FR[], 2, FALSE)</f>
        <v>34754855.067926884</v>
      </c>
      <c r="E167" s="4">
        <f>VLOOKUP(A167, output_exiobase_v3.10.2_EXIO_IOT_2019_pxp_Y_production_footprint_FR[], 2, FALSE)</f>
        <v>0</v>
      </c>
      <c r="F167" s="4">
        <f>VLOOKUP(A167, output_exiobase_v3.10.2_EXIO_IOT_2019_pxp_Z_production_footprint_FR[], 2, FALSE)</f>
        <v>0</v>
      </c>
      <c r="G167" s="35">
        <f t="shared" si="13"/>
        <v>1</v>
      </c>
      <c r="H167" s="1">
        <f t="shared" si="14"/>
        <v>0</v>
      </c>
    </row>
    <row r="168" spans="1:8" x14ac:dyDescent="0.3">
      <c r="A168" s="9" t="s">
        <v>155</v>
      </c>
      <c r="B168" s="29">
        <f t="shared" si="12"/>
        <v>25028455.922906984</v>
      </c>
      <c r="C168" s="4">
        <f>VLOOKUP(A168, output_exiobase_v3.10.2_EXIO_IOT_2019_pxp_Y_imports_footprint_FR[], 2, FALSE)</f>
        <v>0</v>
      </c>
      <c r="D168" s="4">
        <f>VLOOKUP(A168, output_exiobase_v3.10.2_EXIO_IOT_2019_pxp_Z_imports_footprint_FR[], 2, FALSE)</f>
        <v>699079.36808424222</v>
      </c>
      <c r="E168" s="4">
        <f>VLOOKUP(A168, output_exiobase_v3.10.2_EXIO_IOT_2019_pxp_Y_production_footprint_FR[], 2, FALSE)</f>
        <v>302.35308090584294</v>
      </c>
      <c r="F168" s="4">
        <f>VLOOKUP(A168, output_exiobase_v3.10.2_EXIO_IOT_2019_pxp_Z_production_footprint_FR[], 2, FALSE)</f>
        <v>24329074.201741837</v>
      </c>
      <c r="G168" s="35">
        <f t="shared" si="13"/>
        <v>2.793138219303487E-2</v>
      </c>
      <c r="H168" s="1">
        <f t="shared" si="14"/>
        <v>0.97206861780696519</v>
      </c>
    </row>
    <row r="169" spans="1:8" x14ac:dyDescent="0.3">
      <c r="A169" s="9" t="s">
        <v>13</v>
      </c>
      <c r="B169" s="29">
        <f t="shared" si="12"/>
        <v>20224672.211637575</v>
      </c>
      <c r="C169" s="4">
        <f>VLOOKUP(A169, output_exiobase_v3.10.2_EXIO_IOT_2019_pxp_Y_imports_footprint_FR[], 2, FALSE)</f>
        <v>0</v>
      </c>
      <c r="D169" s="4">
        <f>VLOOKUP(A169, output_exiobase_v3.10.2_EXIO_IOT_2019_pxp_Z_imports_footprint_FR[], 2, FALSE)</f>
        <v>4970.270685966153</v>
      </c>
      <c r="E169" s="4">
        <f>VLOOKUP(A169, output_exiobase_v3.10.2_EXIO_IOT_2019_pxp_Y_production_footprint_FR[], 2, FALSE)</f>
        <v>0</v>
      </c>
      <c r="F169" s="4">
        <f>VLOOKUP(A169, output_exiobase_v3.10.2_EXIO_IOT_2019_pxp_Z_production_footprint_FR[], 2, FALSE)</f>
        <v>20219701.940951608</v>
      </c>
      <c r="G169" s="35">
        <f t="shared" si="13"/>
        <v>2.4575284256553667E-4</v>
      </c>
      <c r="H169" s="1">
        <f t="shared" si="14"/>
        <v>0.99975424715743444</v>
      </c>
    </row>
    <row r="170" spans="1:8" x14ac:dyDescent="0.3">
      <c r="A170" s="9" t="s">
        <v>53</v>
      </c>
      <c r="B170" s="29">
        <f t="shared" ref="B170:B201" si="15">SUM(C170:F170)</f>
        <v>13456105.785072215</v>
      </c>
      <c r="C170" s="4">
        <f>VLOOKUP(A170, output_exiobase_v3.10.2_EXIO_IOT_2019_pxp_Y_imports_footprint_FR[], 2, FALSE)</f>
        <v>0</v>
      </c>
      <c r="D170" s="4">
        <f>VLOOKUP(A170, output_exiobase_v3.10.2_EXIO_IOT_2019_pxp_Z_imports_footprint_FR[], 2, FALSE)</f>
        <v>215266.94223057816</v>
      </c>
      <c r="E170" s="4">
        <f>VLOOKUP(A170, output_exiobase_v3.10.2_EXIO_IOT_2019_pxp_Y_production_footprint_FR[], 2, FALSE)</f>
        <v>4155889.7005332503</v>
      </c>
      <c r="F170" s="4">
        <f>VLOOKUP(A170, output_exiobase_v3.10.2_EXIO_IOT_2019_pxp_Z_production_footprint_FR[], 2, FALSE)</f>
        <v>9084949.142308386</v>
      </c>
      <c r="G170" s="35">
        <f t="shared" ref="G170:G201" si="16">(C170+D170)/B170</f>
        <v>1.5997714767476679E-2</v>
      </c>
      <c r="H170" s="1">
        <f t="shared" ref="H170:H201" si="17">(E170+F170)/B170</f>
        <v>0.98400228523252331</v>
      </c>
    </row>
    <row r="171" spans="1:8" x14ac:dyDescent="0.3">
      <c r="A171" s="9" t="s">
        <v>125</v>
      </c>
      <c r="B171" s="29">
        <f t="shared" si="15"/>
        <v>10231676.193152217</v>
      </c>
      <c r="C171" s="4">
        <f>VLOOKUP(A171, output_exiobase_v3.10.2_EXIO_IOT_2019_pxp_Y_imports_footprint_FR[], 2, FALSE)</f>
        <v>0</v>
      </c>
      <c r="D171" s="4">
        <f>VLOOKUP(A171, output_exiobase_v3.10.2_EXIO_IOT_2019_pxp_Z_imports_footprint_FR[], 2, FALSE)</f>
        <v>312275.39858081983</v>
      </c>
      <c r="E171" s="4">
        <f>VLOOKUP(A171, output_exiobase_v3.10.2_EXIO_IOT_2019_pxp_Y_production_footprint_FR[], 2, FALSE)</f>
        <v>2089596.6382127299</v>
      </c>
      <c r="F171" s="4">
        <f>VLOOKUP(A171, output_exiobase_v3.10.2_EXIO_IOT_2019_pxp_Z_production_footprint_FR[], 2, FALSE)</f>
        <v>7829804.1563586676</v>
      </c>
      <c r="G171" s="35">
        <f t="shared" si="16"/>
        <v>3.0520453607573828E-2</v>
      </c>
      <c r="H171" s="1">
        <f t="shared" si="17"/>
        <v>0.96947954639242617</v>
      </c>
    </row>
    <row r="172" spans="1:8" x14ac:dyDescent="0.3">
      <c r="A172" s="9" t="s">
        <v>199</v>
      </c>
      <c r="B172" s="29">
        <f t="shared" si="15"/>
        <v>9196161.2864954099</v>
      </c>
      <c r="C172" s="4">
        <f>VLOOKUP(A172, output_exiobase_v3.10.2_EXIO_IOT_2019_pxp_Y_imports_footprint_FR[], 2, FALSE)</f>
        <v>0.10255455977460526</v>
      </c>
      <c r="D172" s="4">
        <f>VLOOKUP(A172, output_exiobase_v3.10.2_EXIO_IOT_2019_pxp_Z_imports_footprint_FR[], 2, FALSE)</f>
        <v>2074952.405060617</v>
      </c>
      <c r="E172" s="4">
        <f>VLOOKUP(A172, output_exiobase_v3.10.2_EXIO_IOT_2019_pxp_Y_production_footprint_FR[], 2, FALSE)</f>
        <v>497762.27608025284</v>
      </c>
      <c r="F172" s="4">
        <f>VLOOKUP(A172, output_exiobase_v3.10.2_EXIO_IOT_2019_pxp_Z_production_footprint_FR[], 2, FALSE)</f>
        <v>6623446.5027999794</v>
      </c>
      <c r="G172" s="35">
        <f t="shared" si="16"/>
        <v>0.22563246152090119</v>
      </c>
      <c r="H172" s="1">
        <f t="shared" si="17"/>
        <v>0.77436753847909867</v>
      </c>
    </row>
    <row r="173" spans="1:8" x14ac:dyDescent="0.3">
      <c r="A173" s="9" t="s">
        <v>51</v>
      </c>
      <c r="B173" s="29">
        <f t="shared" si="15"/>
        <v>7939461.9731316036</v>
      </c>
      <c r="C173" s="4">
        <f>VLOOKUP(A173, output_exiobase_v3.10.2_EXIO_IOT_2019_pxp_Y_imports_footprint_FR[], 2, FALSE)</f>
        <v>0</v>
      </c>
      <c r="D173" s="4">
        <f>VLOOKUP(A173, output_exiobase_v3.10.2_EXIO_IOT_2019_pxp_Z_imports_footprint_FR[], 2, FALSE)</f>
        <v>8023.4663623382958</v>
      </c>
      <c r="E173" s="4">
        <f>VLOOKUP(A173, output_exiobase_v3.10.2_EXIO_IOT_2019_pxp_Y_production_footprint_FR[], 2, FALSE)</f>
        <v>2453589.6314456584</v>
      </c>
      <c r="F173" s="4">
        <f>VLOOKUP(A173, output_exiobase_v3.10.2_EXIO_IOT_2019_pxp_Z_production_footprint_FR[], 2, FALSE)</f>
        <v>5477848.8753236067</v>
      </c>
      <c r="G173" s="35">
        <f t="shared" si="16"/>
        <v>1.0105806148440507E-3</v>
      </c>
      <c r="H173" s="1">
        <f t="shared" si="17"/>
        <v>0.99898941938515595</v>
      </c>
    </row>
    <row r="174" spans="1:8" x14ac:dyDescent="0.3">
      <c r="A174" s="9" t="s">
        <v>128</v>
      </c>
      <c r="B174" s="29">
        <f t="shared" si="15"/>
        <v>4862515.3670086944</v>
      </c>
      <c r="C174" s="4">
        <f>VLOOKUP(A174, output_exiobase_v3.10.2_EXIO_IOT_2019_pxp_Y_imports_footprint_FR[], 2, FALSE)</f>
        <v>163.59183352245194</v>
      </c>
      <c r="D174" s="4">
        <f>VLOOKUP(A174, output_exiobase_v3.10.2_EXIO_IOT_2019_pxp_Z_imports_footprint_FR[], 2, FALSE)</f>
        <v>4862351.7751751719</v>
      </c>
      <c r="E174" s="4">
        <f>VLOOKUP(A174, output_exiobase_v3.10.2_EXIO_IOT_2019_pxp_Y_production_footprint_FR[], 2, FALSE)</f>
        <v>0</v>
      </c>
      <c r="F174" s="4">
        <f>VLOOKUP(A174, output_exiobase_v3.10.2_EXIO_IOT_2019_pxp_Z_production_footprint_FR[], 2, FALSE)</f>
        <v>0</v>
      </c>
      <c r="G174" s="35">
        <f t="shared" si="16"/>
        <v>1</v>
      </c>
      <c r="H174" s="1">
        <f t="shared" si="17"/>
        <v>0</v>
      </c>
    </row>
    <row r="175" spans="1:8" x14ac:dyDescent="0.3">
      <c r="A175" s="9" t="s">
        <v>54</v>
      </c>
      <c r="B175" s="29">
        <f t="shared" si="15"/>
        <v>3977097.9471725174</v>
      </c>
      <c r="C175" s="4">
        <f>VLOOKUP(A175, output_exiobase_v3.10.2_EXIO_IOT_2019_pxp_Y_imports_footprint_FR[], 2, FALSE)</f>
        <v>0</v>
      </c>
      <c r="D175" s="4">
        <f>VLOOKUP(A175, output_exiobase_v3.10.2_EXIO_IOT_2019_pxp_Z_imports_footprint_FR[], 2, FALSE)</f>
        <v>2265390.5031970558</v>
      </c>
      <c r="E175" s="4">
        <f>VLOOKUP(A175, output_exiobase_v3.10.2_EXIO_IOT_2019_pxp_Y_production_footprint_FR[], 2, FALSE)</f>
        <v>150073.07853287572</v>
      </c>
      <c r="F175" s="4">
        <f>VLOOKUP(A175, output_exiobase_v3.10.2_EXIO_IOT_2019_pxp_Z_production_footprint_FR[], 2, FALSE)</f>
        <v>1561634.3654425861</v>
      </c>
      <c r="G175" s="35">
        <f t="shared" si="16"/>
        <v>0.56960892924641571</v>
      </c>
      <c r="H175" s="1">
        <f t="shared" si="17"/>
        <v>0.43039107075358429</v>
      </c>
    </row>
    <row r="176" spans="1:8" x14ac:dyDescent="0.3">
      <c r="A176" s="9" t="s">
        <v>123</v>
      </c>
      <c r="B176" s="29">
        <f t="shared" si="15"/>
        <v>2838532.3350612973</v>
      </c>
      <c r="C176" s="4">
        <f>VLOOKUP(A176, output_exiobase_v3.10.2_EXIO_IOT_2019_pxp_Y_imports_footprint_FR[], 2, FALSE)</f>
        <v>0</v>
      </c>
      <c r="D176" s="4">
        <f>VLOOKUP(A176, output_exiobase_v3.10.2_EXIO_IOT_2019_pxp_Z_imports_footprint_FR[], 2, FALSE)</f>
        <v>33080.793117201974</v>
      </c>
      <c r="E176" s="4">
        <f>VLOOKUP(A176, output_exiobase_v3.10.2_EXIO_IOT_2019_pxp_Y_production_footprint_FR[], 2, FALSE)</f>
        <v>181004.64989637959</v>
      </c>
      <c r="F176" s="4">
        <f>VLOOKUP(A176, output_exiobase_v3.10.2_EXIO_IOT_2019_pxp_Z_production_footprint_FR[], 2, FALSE)</f>
        <v>2624446.8920477158</v>
      </c>
      <c r="G176" s="35">
        <f t="shared" si="16"/>
        <v>1.1654189282465088E-2</v>
      </c>
      <c r="H176" s="1">
        <f t="shared" si="17"/>
        <v>0.98834581071753491</v>
      </c>
    </row>
    <row r="177" spans="1:8" x14ac:dyDescent="0.3">
      <c r="A177" s="9" t="s">
        <v>8</v>
      </c>
      <c r="B177" s="29">
        <f t="shared" si="15"/>
        <v>2579823.5933989072</v>
      </c>
      <c r="C177" s="4">
        <f>VLOOKUP(A177, output_exiobase_v3.10.2_EXIO_IOT_2019_pxp_Y_imports_footprint_FR[], 2, FALSE)</f>
        <v>9.4241805761256423E-4</v>
      </c>
      <c r="D177" s="4">
        <f>VLOOKUP(A177, output_exiobase_v3.10.2_EXIO_IOT_2019_pxp_Z_imports_footprint_FR[], 2, FALSE)</f>
        <v>900764.45512564329</v>
      </c>
      <c r="E177" s="4">
        <f>VLOOKUP(A177, output_exiobase_v3.10.2_EXIO_IOT_2019_pxp_Y_production_footprint_FR[], 2, FALSE)</f>
        <v>3636.6808820269389</v>
      </c>
      <c r="F177" s="4">
        <f>VLOOKUP(A177, output_exiobase_v3.10.2_EXIO_IOT_2019_pxp_Z_production_footprint_FR[], 2, FALSE)</f>
        <v>1675422.4564488193</v>
      </c>
      <c r="G177" s="35">
        <f t="shared" si="16"/>
        <v>0.34915738361835341</v>
      </c>
      <c r="H177" s="1">
        <f t="shared" si="17"/>
        <v>0.65084261638164664</v>
      </c>
    </row>
    <row r="178" spans="1:8" x14ac:dyDescent="0.3">
      <c r="A178" s="9" t="s">
        <v>42</v>
      </c>
      <c r="B178" s="29">
        <f t="shared" si="15"/>
        <v>1772818.0894811738</v>
      </c>
      <c r="C178" s="4">
        <f>VLOOKUP(A178, output_exiobase_v3.10.2_EXIO_IOT_2019_pxp_Y_imports_footprint_FR[], 2, FALSE)</f>
        <v>0</v>
      </c>
      <c r="D178" s="4">
        <f>VLOOKUP(A178, output_exiobase_v3.10.2_EXIO_IOT_2019_pxp_Z_imports_footprint_FR[], 2, FALSE)</f>
        <v>83005.220898639149</v>
      </c>
      <c r="E178" s="4">
        <f>VLOOKUP(A178, output_exiobase_v3.10.2_EXIO_IOT_2019_pxp_Y_production_footprint_FR[], 2, FALSE)</f>
        <v>17507.766766103017</v>
      </c>
      <c r="F178" s="4">
        <f>VLOOKUP(A178, output_exiobase_v3.10.2_EXIO_IOT_2019_pxp_Z_production_footprint_FR[], 2, FALSE)</f>
        <v>1672305.1018164316</v>
      </c>
      <c r="G178" s="35">
        <f t="shared" si="16"/>
        <v>4.6821059301651834E-2</v>
      </c>
      <c r="H178" s="1">
        <f t="shared" si="17"/>
        <v>0.95317894069834819</v>
      </c>
    </row>
    <row r="179" spans="1:8" x14ac:dyDescent="0.3">
      <c r="A179" s="9" t="s">
        <v>113</v>
      </c>
      <c r="B179" s="29">
        <f t="shared" si="15"/>
        <v>1434139.6694685132</v>
      </c>
      <c r="C179" s="4">
        <f>VLOOKUP(A179, output_exiobase_v3.10.2_EXIO_IOT_2019_pxp_Y_imports_footprint_FR[], 2, FALSE)</f>
        <v>145.83314212205045</v>
      </c>
      <c r="D179" s="4">
        <f>VLOOKUP(A179, output_exiobase_v3.10.2_EXIO_IOT_2019_pxp_Z_imports_footprint_FR[], 2, FALSE)</f>
        <v>382166.96198875335</v>
      </c>
      <c r="E179" s="4">
        <f>VLOOKUP(A179, output_exiobase_v3.10.2_EXIO_IOT_2019_pxp_Y_production_footprint_FR[], 2, FALSE)</f>
        <v>141.68069922974169</v>
      </c>
      <c r="F179" s="4">
        <f>VLOOKUP(A179, output_exiobase_v3.10.2_EXIO_IOT_2019_pxp_Z_production_footprint_FR[], 2, FALSE)</f>
        <v>1051685.1936384081</v>
      </c>
      <c r="G179" s="35">
        <f t="shared" si="16"/>
        <v>0.26657988986007136</v>
      </c>
      <c r="H179" s="1">
        <f t="shared" si="17"/>
        <v>0.73342011013992858</v>
      </c>
    </row>
    <row r="180" spans="1:8" x14ac:dyDescent="0.3">
      <c r="A180" s="9" t="s">
        <v>189</v>
      </c>
      <c r="B180" s="29">
        <f t="shared" si="15"/>
        <v>1182277.1939340143</v>
      </c>
      <c r="C180" s="4">
        <f>VLOOKUP(A180, output_exiobase_v3.10.2_EXIO_IOT_2019_pxp_Y_imports_footprint_FR[], 2, FALSE)</f>
        <v>0</v>
      </c>
      <c r="D180" s="4">
        <f>VLOOKUP(A180, output_exiobase_v3.10.2_EXIO_IOT_2019_pxp_Z_imports_footprint_FR[], 2, FALSE)</f>
        <v>0</v>
      </c>
      <c r="E180" s="4">
        <f>VLOOKUP(A180, output_exiobase_v3.10.2_EXIO_IOT_2019_pxp_Y_production_footprint_FR[], 2, FALSE)</f>
        <v>5.8265072402076658E-2</v>
      </c>
      <c r="F180" s="4">
        <f>VLOOKUP(A180, output_exiobase_v3.10.2_EXIO_IOT_2019_pxp_Z_production_footprint_FR[], 2, FALSE)</f>
        <v>1182277.135668942</v>
      </c>
      <c r="G180" s="35">
        <f t="shared" si="16"/>
        <v>0</v>
      </c>
      <c r="H180" s="1">
        <f t="shared" si="17"/>
        <v>1</v>
      </c>
    </row>
    <row r="181" spans="1:8" x14ac:dyDescent="0.3">
      <c r="A181" s="9" t="s">
        <v>129</v>
      </c>
      <c r="B181" s="29">
        <f t="shared" si="15"/>
        <v>609190.45912083122</v>
      </c>
      <c r="C181" s="4">
        <f>VLOOKUP(A181, output_exiobase_v3.10.2_EXIO_IOT_2019_pxp_Y_imports_footprint_FR[], 2, FALSE)</f>
        <v>51651.22186169566</v>
      </c>
      <c r="D181" s="4">
        <f>VLOOKUP(A181, output_exiobase_v3.10.2_EXIO_IOT_2019_pxp_Z_imports_footprint_FR[], 2, FALSE)</f>
        <v>557539.23725913558</v>
      </c>
      <c r="E181" s="4">
        <f>VLOOKUP(A181, output_exiobase_v3.10.2_EXIO_IOT_2019_pxp_Y_production_footprint_FR[], 2, FALSE)</f>
        <v>0</v>
      </c>
      <c r="F181" s="4">
        <f>VLOOKUP(A181, output_exiobase_v3.10.2_EXIO_IOT_2019_pxp_Z_production_footprint_FR[], 2, FALSE)</f>
        <v>0</v>
      </c>
      <c r="G181" s="35">
        <f t="shared" si="16"/>
        <v>1</v>
      </c>
      <c r="H181" s="1">
        <f t="shared" si="17"/>
        <v>0</v>
      </c>
    </row>
    <row r="182" spans="1:8" x14ac:dyDescent="0.3">
      <c r="A182" s="9" t="s">
        <v>50</v>
      </c>
      <c r="B182" s="29">
        <f t="shared" si="15"/>
        <v>565874.7513140518</v>
      </c>
      <c r="C182" s="4">
        <f>VLOOKUP(A182, output_exiobase_v3.10.2_EXIO_IOT_2019_pxp_Y_imports_footprint_FR[], 2, FALSE)</f>
        <v>0</v>
      </c>
      <c r="D182" s="4">
        <f>VLOOKUP(A182, output_exiobase_v3.10.2_EXIO_IOT_2019_pxp_Z_imports_footprint_FR[], 2, FALSE)</f>
        <v>565874.7513140518</v>
      </c>
      <c r="E182" s="4">
        <f>VLOOKUP(A182, output_exiobase_v3.10.2_EXIO_IOT_2019_pxp_Y_production_footprint_FR[], 2, FALSE)</f>
        <v>0</v>
      </c>
      <c r="F182" s="4">
        <f>VLOOKUP(A182, output_exiobase_v3.10.2_EXIO_IOT_2019_pxp_Z_production_footprint_FR[], 2, FALSE)</f>
        <v>0</v>
      </c>
      <c r="G182" s="35">
        <f t="shared" si="16"/>
        <v>1</v>
      </c>
      <c r="H182" s="1">
        <f t="shared" si="17"/>
        <v>0</v>
      </c>
    </row>
    <row r="183" spans="1:8" x14ac:dyDescent="0.3">
      <c r="A183" s="9" t="s">
        <v>109</v>
      </c>
      <c r="B183" s="29">
        <f t="shared" si="15"/>
        <v>417796.05593649909</v>
      </c>
      <c r="C183" s="4">
        <f>VLOOKUP(A183, output_exiobase_v3.10.2_EXIO_IOT_2019_pxp_Y_imports_footprint_FR[], 2, FALSE)</f>
        <v>309548.43987461919</v>
      </c>
      <c r="D183" s="4">
        <f>VLOOKUP(A183, output_exiobase_v3.10.2_EXIO_IOT_2019_pxp_Z_imports_footprint_FR[], 2, FALSE)</f>
        <v>108247.61606187989</v>
      </c>
      <c r="E183" s="4">
        <f>VLOOKUP(A183, output_exiobase_v3.10.2_EXIO_IOT_2019_pxp_Y_production_footprint_FR[], 2, FALSE)</f>
        <v>0</v>
      </c>
      <c r="F183" s="4">
        <f>VLOOKUP(A183, output_exiobase_v3.10.2_EXIO_IOT_2019_pxp_Z_production_footprint_FR[], 2, FALSE)</f>
        <v>0</v>
      </c>
      <c r="G183" s="35">
        <f t="shared" si="16"/>
        <v>1</v>
      </c>
      <c r="H183" s="1">
        <f t="shared" si="17"/>
        <v>0</v>
      </c>
    </row>
    <row r="184" spans="1:8" x14ac:dyDescent="0.3">
      <c r="A184" s="9" t="s">
        <v>80</v>
      </c>
      <c r="B184" s="29">
        <f t="shared" si="15"/>
        <v>66593.985546253665</v>
      </c>
      <c r="C184" s="4">
        <f>VLOOKUP(A184, output_exiobase_v3.10.2_EXIO_IOT_2019_pxp_Y_imports_footprint_FR[], 2, FALSE)</f>
        <v>0.40972825145250225</v>
      </c>
      <c r="D184" s="4">
        <f>VLOOKUP(A184, output_exiobase_v3.10.2_EXIO_IOT_2019_pxp_Z_imports_footprint_FR[], 2, FALSE)</f>
        <v>66593.575818002209</v>
      </c>
      <c r="E184" s="4">
        <f>VLOOKUP(A184, output_exiobase_v3.10.2_EXIO_IOT_2019_pxp_Y_production_footprint_FR[], 2, FALSE)</f>
        <v>0</v>
      </c>
      <c r="F184" s="4">
        <f>VLOOKUP(A184, output_exiobase_v3.10.2_EXIO_IOT_2019_pxp_Z_production_footprint_FR[], 2, FALSE)</f>
        <v>0</v>
      </c>
      <c r="G184" s="35">
        <f t="shared" si="16"/>
        <v>1</v>
      </c>
      <c r="H184" s="1">
        <f t="shared" si="17"/>
        <v>0</v>
      </c>
    </row>
    <row r="185" spans="1:8" x14ac:dyDescent="0.3">
      <c r="A185" s="9" t="s">
        <v>28</v>
      </c>
      <c r="B185" s="29">
        <f t="shared" si="15"/>
        <v>49500.089900288665</v>
      </c>
      <c r="C185" s="4">
        <f>VLOOKUP(A185, output_exiobase_v3.10.2_EXIO_IOT_2019_pxp_Y_imports_footprint_FR[], 2, FALSE)</f>
        <v>0</v>
      </c>
      <c r="D185" s="4">
        <f>VLOOKUP(A185, output_exiobase_v3.10.2_EXIO_IOT_2019_pxp_Z_imports_footprint_FR[], 2, FALSE)</f>
        <v>49500.089900288665</v>
      </c>
      <c r="E185" s="4">
        <f>VLOOKUP(A185, output_exiobase_v3.10.2_EXIO_IOT_2019_pxp_Y_production_footprint_FR[], 2, FALSE)</f>
        <v>0</v>
      </c>
      <c r="F185" s="4">
        <f>VLOOKUP(A185, output_exiobase_v3.10.2_EXIO_IOT_2019_pxp_Z_production_footprint_FR[], 2, FALSE)</f>
        <v>0</v>
      </c>
      <c r="G185" s="35">
        <f t="shared" si="16"/>
        <v>1</v>
      </c>
      <c r="H185" s="1">
        <f t="shared" si="17"/>
        <v>0</v>
      </c>
    </row>
    <row r="186" spans="1:8" x14ac:dyDescent="0.3">
      <c r="A186" s="9" t="s">
        <v>138</v>
      </c>
      <c r="B186" s="29">
        <f t="shared" si="15"/>
        <v>47959.308473759054</v>
      </c>
      <c r="C186" s="4">
        <f>VLOOKUP(A186, output_exiobase_v3.10.2_EXIO_IOT_2019_pxp_Y_imports_footprint_FR[], 2, FALSE)</f>
        <v>19.314131819546748</v>
      </c>
      <c r="D186" s="4">
        <f>VLOOKUP(A186, output_exiobase_v3.10.2_EXIO_IOT_2019_pxp_Z_imports_footprint_FR[], 2, FALSE)</f>
        <v>47939.994341939506</v>
      </c>
      <c r="E186" s="4">
        <f>VLOOKUP(A186, output_exiobase_v3.10.2_EXIO_IOT_2019_pxp_Y_production_footprint_FR[], 2, FALSE)</f>
        <v>0</v>
      </c>
      <c r="F186" s="4">
        <f>VLOOKUP(A186, output_exiobase_v3.10.2_EXIO_IOT_2019_pxp_Z_production_footprint_FR[], 2, FALSE)</f>
        <v>0</v>
      </c>
      <c r="G186" s="35">
        <f t="shared" si="16"/>
        <v>1</v>
      </c>
      <c r="H186" s="1">
        <f t="shared" si="17"/>
        <v>0</v>
      </c>
    </row>
    <row r="187" spans="1:8" x14ac:dyDescent="0.3">
      <c r="A187" s="9" t="s">
        <v>33</v>
      </c>
      <c r="B187" s="29">
        <f t="shared" si="15"/>
        <v>955.07360593123713</v>
      </c>
      <c r="C187" s="4">
        <f>VLOOKUP(A187, output_exiobase_v3.10.2_EXIO_IOT_2019_pxp_Y_imports_footprint_FR[], 2, FALSE)</f>
        <v>6.7948383667264874E-4</v>
      </c>
      <c r="D187" s="4">
        <f>VLOOKUP(A187, output_exiobase_v3.10.2_EXIO_IOT_2019_pxp_Z_imports_footprint_FR[], 2, FALSE)</f>
        <v>955.0729264474005</v>
      </c>
      <c r="E187" s="4">
        <f>VLOOKUP(A187, output_exiobase_v3.10.2_EXIO_IOT_2019_pxp_Y_production_footprint_FR[], 2, FALSE)</f>
        <v>0</v>
      </c>
      <c r="F187" s="4">
        <f>VLOOKUP(A187, output_exiobase_v3.10.2_EXIO_IOT_2019_pxp_Z_production_footprint_FR[], 2, FALSE)</f>
        <v>0</v>
      </c>
      <c r="G187" s="35">
        <f t="shared" si="16"/>
        <v>1</v>
      </c>
      <c r="H187" s="1">
        <f t="shared" si="17"/>
        <v>0</v>
      </c>
    </row>
    <row r="188" spans="1:8" x14ac:dyDescent="0.3">
      <c r="A188" s="9" t="s">
        <v>102</v>
      </c>
      <c r="B188" s="29">
        <f t="shared" si="15"/>
        <v>0</v>
      </c>
      <c r="C188" s="4">
        <f>VLOOKUP(A188, output_exiobase_v3.10.2_EXIO_IOT_2019_pxp_Y_imports_footprint_FR[], 2, FALSE)</f>
        <v>0</v>
      </c>
      <c r="D188" s="4">
        <f>VLOOKUP(A188, output_exiobase_v3.10.2_EXIO_IOT_2019_pxp_Z_imports_footprint_FR[], 2, FALSE)</f>
        <v>0</v>
      </c>
      <c r="E188" s="4">
        <f>VLOOKUP(A188, output_exiobase_v3.10.2_EXIO_IOT_2019_pxp_Y_production_footprint_FR[], 2, FALSE)</f>
        <v>0</v>
      </c>
      <c r="F188" s="4">
        <f>VLOOKUP(A188, output_exiobase_v3.10.2_EXIO_IOT_2019_pxp_Z_production_footprint_FR[], 2, FALSE)</f>
        <v>0</v>
      </c>
      <c r="G188" s="35" t="e">
        <f t="shared" si="16"/>
        <v>#DIV/0!</v>
      </c>
      <c r="H188" s="1" t="e">
        <f t="shared" si="17"/>
        <v>#DIV/0!</v>
      </c>
    </row>
    <row r="189" spans="1:8" x14ac:dyDescent="0.3">
      <c r="A189" s="9" t="s">
        <v>69</v>
      </c>
      <c r="B189" s="29">
        <f t="shared" si="15"/>
        <v>0</v>
      </c>
      <c r="C189" s="4">
        <f>VLOOKUP(A189, output_exiobase_v3.10.2_EXIO_IOT_2019_pxp_Y_imports_footprint_FR[], 2, FALSE)</f>
        <v>0</v>
      </c>
      <c r="D189" s="4">
        <f>VLOOKUP(A189, output_exiobase_v3.10.2_EXIO_IOT_2019_pxp_Z_imports_footprint_FR[], 2, FALSE)</f>
        <v>0</v>
      </c>
      <c r="E189" s="4">
        <f>VLOOKUP(A189, output_exiobase_v3.10.2_EXIO_IOT_2019_pxp_Y_production_footprint_FR[], 2, FALSE)</f>
        <v>0</v>
      </c>
      <c r="F189" s="4">
        <f>VLOOKUP(A189, output_exiobase_v3.10.2_EXIO_IOT_2019_pxp_Z_production_footprint_FR[], 2, FALSE)</f>
        <v>0</v>
      </c>
      <c r="G189" s="35" t="e">
        <f t="shared" si="16"/>
        <v>#DIV/0!</v>
      </c>
      <c r="H189" s="1" t="e">
        <f t="shared" si="17"/>
        <v>#DIV/0!</v>
      </c>
    </row>
    <row r="190" spans="1:8" x14ac:dyDescent="0.3">
      <c r="A190" s="9" t="s">
        <v>119</v>
      </c>
      <c r="B190" s="29">
        <f t="shared" si="15"/>
        <v>0</v>
      </c>
      <c r="C190" s="4">
        <f>VLOOKUP(A190, output_exiobase_v3.10.2_EXIO_IOT_2019_pxp_Y_imports_footprint_FR[], 2, FALSE)</f>
        <v>0</v>
      </c>
      <c r="D190" s="4">
        <f>VLOOKUP(A190, output_exiobase_v3.10.2_EXIO_IOT_2019_pxp_Z_imports_footprint_FR[], 2, FALSE)</f>
        <v>0</v>
      </c>
      <c r="E190" s="4">
        <f>VLOOKUP(A190, output_exiobase_v3.10.2_EXIO_IOT_2019_pxp_Y_production_footprint_FR[], 2, FALSE)</f>
        <v>0</v>
      </c>
      <c r="F190" s="4">
        <f>VLOOKUP(A190, output_exiobase_v3.10.2_EXIO_IOT_2019_pxp_Z_production_footprint_FR[], 2, FALSE)</f>
        <v>0</v>
      </c>
      <c r="G190" s="35" t="e">
        <f t="shared" si="16"/>
        <v>#DIV/0!</v>
      </c>
      <c r="H190" s="1" t="e">
        <f t="shared" si="17"/>
        <v>#DIV/0!</v>
      </c>
    </row>
    <row r="191" spans="1:8" x14ac:dyDescent="0.3">
      <c r="A191" s="9" t="s">
        <v>173</v>
      </c>
      <c r="B191" s="29">
        <f t="shared" si="15"/>
        <v>0</v>
      </c>
      <c r="C191" s="4">
        <f>VLOOKUP(A191, output_exiobase_v3.10.2_EXIO_IOT_2019_pxp_Y_imports_footprint_FR[], 2, FALSE)</f>
        <v>0</v>
      </c>
      <c r="D191" s="4">
        <f>VLOOKUP(A191, output_exiobase_v3.10.2_EXIO_IOT_2019_pxp_Z_imports_footprint_FR[], 2, FALSE)</f>
        <v>0</v>
      </c>
      <c r="E191" s="4">
        <f>VLOOKUP(A191, output_exiobase_v3.10.2_EXIO_IOT_2019_pxp_Y_production_footprint_FR[], 2, FALSE)</f>
        <v>0</v>
      </c>
      <c r="F191" s="4">
        <f>VLOOKUP(A191, output_exiobase_v3.10.2_EXIO_IOT_2019_pxp_Z_production_footprint_FR[], 2, FALSE)</f>
        <v>0</v>
      </c>
      <c r="G191" s="35" t="e">
        <f t="shared" si="16"/>
        <v>#DIV/0!</v>
      </c>
      <c r="H191" s="1" t="e">
        <f t="shared" si="17"/>
        <v>#DIV/0!</v>
      </c>
    </row>
    <row r="192" spans="1:8" x14ac:dyDescent="0.3">
      <c r="A192" s="9" t="s">
        <v>71</v>
      </c>
      <c r="B192" s="29">
        <f t="shared" si="15"/>
        <v>0</v>
      </c>
      <c r="C192" s="4">
        <f>VLOOKUP(A192, output_exiobase_v3.10.2_EXIO_IOT_2019_pxp_Y_imports_footprint_FR[], 2, FALSE)</f>
        <v>0</v>
      </c>
      <c r="D192" s="4">
        <f>VLOOKUP(A192, output_exiobase_v3.10.2_EXIO_IOT_2019_pxp_Z_imports_footprint_FR[], 2, FALSE)</f>
        <v>0</v>
      </c>
      <c r="E192" s="4">
        <f>VLOOKUP(A192, output_exiobase_v3.10.2_EXIO_IOT_2019_pxp_Y_production_footprint_FR[], 2, FALSE)</f>
        <v>0</v>
      </c>
      <c r="F192" s="4">
        <f>VLOOKUP(A192, output_exiobase_v3.10.2_EXIO_IOT_2019_pxp_Z_production_footprint_FR[], 2, FALSE)</f>
        <v>0</v>
      </c>
      <c r="G192" s="35" t="e">
        <f t="shared" si="16"/>
        <v>#DIV/0!</v>
      </c>
      <c r="H192" s="1" t="e">
        <f t="shared" si="17"/>
        <v>#DIV/0!</v>
      </c>
    </row>
    <row r="193" spans="1:8" x14ac:dyDescent="0.3">
      <c r="A193" s="9" t="s">
        <v>68</v>
      </c>
      <c r="B193" s="29">
        <f t="shared" si="15"/>
        <v>0</v>
      </c>
      <c r="C193" s="4">
        <f>VLOOKUP(A193, output_exiobase_v3.10.2_EXIO_IOT_2019_pxp_Y_imports_footprint_FR[], 2, FALSE)</f>
        <v>0</v>
      </c>
      <c r="D193" s="4">
        <f>VLOOKUP(A193, output_exiobase_v3.10.2_EXIO_IOT_2019_pxp_Z_imports_footprint_FR[], 2, FALSE)</f>
        <v>0</v>
      </c>
      <c r="E193" s="4">
        <f>VLOOKUP(A193, output_exiobase_v3.10.2_EXIO_IOT_2019_pxp_Y_production_footprint_FR[], 2, FALSE)</f>
        <v>0</v>
      </c>
      <c r="F193" s="4">
        <f>VLOOKUP(A193, output_exiobase_v3.10.2_EXIO_IOT_2019_pxp_Z_production_footprint_FR[], 2, FALSE)</f>
        <v>0</v>
      </c>
      <c r="G193" s="35" t="e">
        <f t="shared" si="16"/>
        <v>#DIV/0!</v>
      </c>
      <c r="H193" s="1" t="e">
        <f t="shared" si="17"/>
        <v>#DIV/0!</v>
      </c>
    </row>
    <row r="194" spans="1:8" x14ac:dyDescent="0.3">
      <c r="A194" s="9" t="s">
        <v>91</v>
      </c>
      <c r="B194" s="29">
        <f t="shared" si="15"/>
        <v>0</v>
      </c>
      <c r="C194" s="4">
        <f>VLOOKUP(A194, output_exiobase_v3.10.2_EXIO_IOT_2019_pxp_Y_imports_footprint_FR[], 2, FALSE)</f>
        <v>0</v>
      </c>
      <c r="D194" s="4">
        <f>VLOOKUP(A194, output_exiobase_v3.10.2_EXIO_IOT_2019_pxp_Z_imports_footprint_FR[], 2, FALSE)</f>
        <v>0</v>
      </c>
      <c r="E194" s="4">
        <f>VLOOKUP(A194, output_exiobase_v3.10.2_EXIO_IOT_2019_pxp_Y_production_footprint_FR[], 2, FALSE)</f>
        <v>0</v>
      </c>
      <c r="F194" s="4">
        <f>VLOOKUP(A194, output_exiobase_v3.10.2_EXIO_IOT_2019_pxp_Z_production_footprint_FR[], 2, FALSE)</f>
        <v>0</v>
      </c>
      <c r="G194" s="35" t="e">
        <f t="shared" si="16"/>
        <v>#DIV/0!</v>
      </c>
      <c r="H194" s="1" t="e">
        <f t="shared" si="17"/>
        <v>#DIV/0!</v>
      </c>
    </row>
    <row r="195" spans="1:8" x14ac:dyDescent="0.3">
      <c r="A195" s="9" t="s">
        <v>90</v>
      </c>
      <c r="B195" s="29">
        <f t="shared" si="15"/>
        <v>0</v>
      </c>
      <c r="C195" s="4">
        <f>VLOOKUP(A195, output_exiobase_v3.10.2_EXIO_IOT_2019_pxp_Y_imports_footprint_FR[], 2, FALSE)</f>
        <v>0</v>
      </c>
      <c r="D195" s="4">
        <f>VLOOKUP(A195, output_exiobase_v3.10.2_EXIO_IOT_2019_pxp_Z_imports_footprint_FR[], 2, FALSE)</f>
        <v>0</v>
      </c>
      <c r="E195" s="4">
        <f>VLOOKUP(A195, output_exiobase_v3.10.2_EXIO_IOT_2019_pxp_Y_production_footprint_FR[], 2, FALSE)</f>
        <v>0</v>
      </c>
      <c r="F195" s="4">
        <f>VLOOKUP(A195, output_exiobase_v3.10.2_EXIO_IOT_2019_pxp_Z_production_footprint_FR[], 2, FALSE)</f>
        <v>0</v>
      </c>
      <c r="G195" s="35" t="e">
        <f t="shared" si="16"/>
        <v>#DIV/0!</v>
      </c>
      <c r="H195" s="1" t="e">
        <f t="shared" si="17"/>
        <v>#DIV/0!</v>
      </c>
    </row>
    <row r="196" spans="1:8" x14ac:dyDescent="0.3">
      <c r="A196" s="9" t="s">
        <v>196</v>
      </c>
      <c r="B196" s="29">
        <f t="shared" si="15"/>
        <v>0</v>
      </c>
      <c r="C196" s="4">
        <f>VLOOKUP(A196, output_exiobase_v3.10.2_EXIO_IOT_2019_pxp_Y_imports_footprint_FR[], 2, FALSE)</f>
        <v>0</v>
      </c>
      <c r="D196" s="4">
        <f>VLOOKUP(A196, output_exiobase_v3.10.2_EXIO_IOT_2019_pxp_Z_imports_footprint_FR[], 2, FALSE)</f>
        <v>0</v>
      </c>
      <c r="E196" s="4">
        <f>VLOOKUP(A196, output_exiobase_v3.10.2_EXIO_IOT_2019_pxp_Y_production_footprint_FR[], 2, FALSE)</f>
        <v>0</v>
      </c>
      <c r="F196" s="4">
        <f>VLOOKUP(A196, output_exiobase_v3.10.2_EXIO_IOT_2019_pxp_Z_production_footprint_FR[], 2, FALSE)</f>
        <v>0</v>
      </c>
      <c r="G196" s="35" t="e">
        <f t="shared" si="16"/>
        <v>#DIV/0!</v>
      </c>
      <c r="H196" s="1" t="e">
        <f t="shared" si="17"/>
        <v>#DIV/0!</v>
      </c>
    </row>
    <row r="197" spans="1:8" x14ac:dyDescent="0.3">
      <c r="A197" s="9" t="s">
        <v>170</v>
      </c>
      <c r="B197" s="29">
        <f t="shared" si="15"/>
        <v>0</v>
      </c>
      <c r="C197" s="4">
        <f>VLOOKUP(A197, output_exiobase_v3.10.2_EXIO_IOT_2019_pxp_Y_imports_footprint_FR[], 2, FALSE)</f>
        <v>0</v>
      </c>
      <c r="D197" s="4">
        <f>VLOOKUP(A197, output_exiobase_v3.10.2_EXIO_IOT_2019_pxp_Z_imports_footprint_FR[], 2, FALSE)</f>
        <v>0</v>
      </c>
      <c r="E197" s="4">
        <f>VLOOKUP(A197, output_exiobase_v3.10.2_EXIO_IOT_2019_pxp_Y_production_footprint_FR[], 2, FALSE)</f>
        <v>0</v>
      </c>
      <c r="F197" s="4">
        <f>VLOOKUP(A197, output_exiobase_v3.10.2_EXIO_IOT_2019_pxp_Z_production_footprint_FR[], 2, FALSE)</f>
        <v>0</v>
      </c>
      <c r="G197" s="35" t="e">
        <f t="shared" si="16"/>
        <v>#DIV/0!</v>
      </c>
      <c r="H197" s="1" t="e">
        <f t="shared" si="17"/>
        <v>#DIV/0!</v>
      </c>
    </row>
    <row r="198" spans="1:8" x14ac:dyDescent="0.3">
      <c r="A198" s="9" t="s">
        <v>171</v>
      </c>
      <c r="B198" s="29">
        <f t="shared" si="15"/>
        <v>0</v>
      </c>
      <c r="C198" s="4">
        <f>VLOOKUP(A198, output_exiobase_v3.10.2_EXIO_IOT_2019_pxp_Y_imports_footprint_FR[], 2, FALSE)</f>
        <v>0</v>
      </c>
      <c r="D198" s="4">
        <f>VLOOKUP(A198, output_exiobase_v3.10.2_EXIO_IOT_2019_pxp_Z_imports_footprint_FR[], 2, FALSE)</f>
        <v>0</v>
      </c>
      <c r="E198" s="4">
        <f>VLOOKUP(A198, output_exiobase_v3.10.2_EXIO_IOT_2019_pxp_Y_production_footprint_FR[], 2, FALSE)</f>
        <v>0</v>
      </c>
      <c r="F198" s="4">
        <f>VLOOKUP(A198, output_exiobase_v3.10.2_EXIO_IOT_2019_pxp_Z_production_footprint_FR[], 2, FALSE)</f>
        <v>0</v>
      </c>
      <c r="G198" s="35" t="e">
        <f t="shared" si="16"/>
        <v>#DIV/0!</v>
      </c>
      <c r="H198" s="1" t="e">
        <f t="shared" si="17"/>
        <v>#DIV/0!</v>
      </c>
    </row>
    <row r="199" spans="1:8" x14ac:dyDescent="0.3">
      <c r="A199" s="9" t="s">
        <v>167</v>
      </c>
      <c r="B199" s="29">
        <f t="shared" si="15"/>
        <v>0</v>
      </c>
      <c r="C199" s="4">
        <f>VLOOKUP(A199, output_exiobase_v3.10.2_EXIO_IOT_2019_pxp_Y_imports_footprint_FR[], 2, FALSE)</f>
        <v>0</v>
      </c>
      <c r="D199" s="4">
        <f>VLOOKUP(A199, output_exiobase_v3.10.2_EXIO_IOT_2019_pxp_Z_imports_footprint_FR[], 2, FALSE)</f>
        <v>0</v>
      </c>
      <c r="E199" s="4">
        <f>VLOOKUP(A199, output_exiobase_v3.10.2_EXIO_IOT_2019_pxp_Y_production_footprint_FR[], 2, FALSE)</f>
        <v>0</v>
      </c>
      <c r="F199" s="4">
        <f>VLOOKUP(A199, output_exiobase_v3.10.2_EXIO_IOT_2019_pxp_Z_production_footprint_FR[], 2, FALSE)</f>
        <v>0</v>
      </c>
      <c r="G199" s="35" t="e">
        <f t="shared" si="16"/>
        <v>#DIV/0!</v>
      </c>
      <c r="H199" s="1" t="e">
        <f t="shared" si="17"/>
        <v>#DIV/0!</v>
      </c>
    </row>
    <row r="200" spans="1:8" x14ac:dyDescent="0.3">
      <c r="A200" s="9" t="s">
        <v>7</v>
      </c>
      <c r="B200" s="29">
        <f t="shared" si="15"/>
        <v>0</v>
      </c>
      <c r="C200" s="4">
        <f>VLOOKUP(A200, output_exiobase_v3.10.2_EXIO_IOT_2019_pxp_Y_imports_footprint_FR[], 2, FALSE)</f>
        <v>0</v>
      </c>
      <c r="D200" s="4">
        <f>VLOOKUP(A200, output_exiobase_v3.10.2_EXIO_IOT_2019_pxp_Z_imports_footprint_FR[], 2, FALSE)</f>
        <v>0</v>
      </c>
      <c r="E200" s="4">
        <f>VLOOKUP(A200, output_exiobase_v3.10.2_EXIO_IOT_2019_pxp_Y_production_footprint_FR[], 2, FALSE)</f>
        <v>0</v>
      </c>
      <c r="F200" s="4">
        <f>VLOOKUP(A200, output_exiobase_v3.10.2_EXIO_IOT_2019_pxp_Z_production_footprint_FR[], 2, FALSE)</f>
        <v>0</v>
      </c>
      <c r="G200" s="35" t="e">
        <f t="shared" si="16"/>
        <v>#DIV/0!</v>
      </c>
      <c r="H200" s="1" t="e">
        <f t="shared" si="17"/>
        <v>#DIV/0!</v>
      </c>
    </row>
    <row r="201" spans="1:8" x14ac:dyDescent="0.3">
      <c r="A201" s="9" t="s">
        <v>174</v>
      </c>
      <c r="B201" s="29">
        <f t="shared" si="15"/>
        <v>0</v>
      </c>
      <c r="C201" s="4">
        <f>VLOOKUP(A201, output_exiobase_v3.10.2_EXIO_IOT_2019_pxp_Y_imports_footprint_FR[], 2, FALSE)</f>
        <v>0</v>
      </c>
      <c r="D201" s="4">
        <f>VLOOKUP(A201, output_exiobase_v3.10.2_EXIO_IOT_2019_pxp_Z_imports_footprint_FR[], 2, FALSE)</f>
        <v>0</v>
      </c>
      <c r="E201" s="4">
        <f>VLOOKUP(A201, output_exiobase_v3.10.2_EXIO_IOT_2019_pxp_Y_production_footprint_FR[], 2, FALSE)</f>
        <v>0</v>
      </c>
      <c r="F201" s="4">
        <f>VLOOKUP(A201, output_exiobase_v3.10.2_EXIO_IOT_2019_pxp_Z_production_footprint_FR[], 2, FALSE)</f>
        <v>0</v>
      </c>
      <c r="G201" s="35" t="e">
        <f t="shared" si="16"/>
        <v>#DIV/0!</v>
      </c>
      <c r="H201" s="1" t="e">
        <f t="shared" si="17"/>
        <v>#DIV/0!</v>
      </c>
    </row>
    <row r="202" spans="1:8" x14ac:dyDescent="0.3">
      <c r="A202" s="9" t="s">
        <v>172</v>
      </c>
      <c r="B202" s="29">
        <f t="shared" ref="B202:B209" si="18">SUM(C202:F202)</f>
        <v>0</v>
      </c>
      <c r="C202" s="4">
        <f>VLOOKUP(A202, output_exiobase_v3.10.2_EXIO_IOT_2019_pxp_Y_imports_footprint_FR[], 2, FALSE)</f>
        <v>0</v>
      </c>
      <c r="D202" s="4">
        <f>VLOOKUP(A202, output_exiobase_v3.10.2_EXIO_IOT_2019_pxp_Z_imports_footprint_FR[], 2, FALSE)</f>
        <v>0</v>
      </c>
      <c r="E202" s="4">
        <f>VLOOKUP(A202, output_exiobase_v3.10.2_EXIO_IOT_2019_pxp_Y_production_footprint_FR[], 2, FALSE)</f>
        <v>0</v>
      </c>
      <c r="F202" s="4">
        <f>VLOOKUP(A202, output_exiobase_v3.10.2_EXIO_IOT_2019_pxp_Z_production_footprint_FR[], 2, FALSE)</f>
        <v>0</v>
      </c>
      <c r="G202" s="35" t="e">
        <f t="shared" ref="G202:G209" si="19">(C202+D202)/B202</f>
        <v>#DIV/0!</v>
      </c>
      <c r="H202" s="1" t="e">
        <f t="shared" ref="H202:H209" si="20">(E202+F202)/B202</f>
        <v>#DIV/0!</v>
      </c>
    </row>
    <row r="203" spans="1:8" x14ac:dyDescent="0.3">
      <c r="A203" s="9" t="s">
        <v>164</v>
      </c>
      <c r="B203" s="29">
        <f t="shared" si="18"/>
        <v>0</v>
      </c>
      <c r="C203" s="4">
        <f>VLOOKUP(A203, output_exiobase_v3.10.2_EXIO_IOT_2019_pxp_Y_imports_footprint_FR[], 2, FALSE)</f>
        <v>0</v>
      </c>
      <c r="D203" s="4">
        <f>VLOOKUP(A203, output_exiobase_v3.10.2_EXIO_IOT_2019_pxp_Z_imports_footprint_FR[], 2, FALSE)</f>
        <v>0</v>
      </c>
      <c r="E203" s="4">
        <f>VLOOKUP(A203, output_exiobase_v3.10.2_EXIO_IOT_2019_pxp_Y_production_footprint_FR[], 2, FALSE)</f>
        <v>0</v>
      </c>
      <c r="F203" s="4">
        <f>VLOOKUP(A203, output_exiobase_v3.10.2_EXIO_IOT_2019_pxp_Z_production_footprint_FR[], 2, FALSE)</f>
        <v>0</v>
      </c>
      <c r="G203" s="35" t="e">
        <f t="shared" si="19"/>
        <v>#DIV/0!</v>
      </c>
      <c r="H203" s="1" t="e">
        <f t="shared" si="20"/>
        <v>#DIV/0!</v>
      </c>
    </row>
    <row r="204" spans="1:8" x14ac:dyDescent="0.3">
      <c r="A204" s="9" t="s">
        <v>168</v>
      </c>
      <c r="B204" s="29">
        <f t="shared" si="18"/>
        <v>0</v>
      </c>
      <c r="C204" s="4">
        <f>VLOOKUP(A204, output_exiobase_v3.10.2_EXIO_IOT_2019_pxp_Y_imports_footprint_FR[], 2, FALSE)</f>
        <v>0</v>
      </c>
      <c r="D204" s="4">
        <f>VLOOKUP(A204, output_exiobase_v3.10.2_EXIO_IOT_2019_pxp_Z_imports_footprint_FR[], 2, FALSE)</f>
        <v>0</v>
      </c>
      <c r="E204" s="4">
        <f>VLOOKUP(A204, output_exiobase_v3.10.2_EXIO_IOT_2019_pxp_Y_production_footprint_FR[], 2, FALSE)</f>
        <v>0</v>
      </c>
      <c r="F204" s="4">
        <f>VLOOKUP(A204, output_exiobase_v3.10.2_EXIO_IOT_2019_pxp_Z_production_footprint_FR[], 2, FALSE)</f>
        <v>0</v>
      </c>
      <c r="G204" s="35" t="e">
        <f t="shared" si="19"/>
        <v>#DIV/0!</v>
      </c>
      <c r="H204" s="1" t="e">
        <f t="shared" si="20"/>
        <v>#DIV/0!</v>
      </c>
    </row>
    <row r="205" spans="1:8" x14ac:dyDescent="0.3">
      <c r="A205" s="9" t="s">
        <v>166</v>
      </c>
      <c r="B205" s="29">
        <f t="shared" si="18"/>
        <v>0</v>
      </c>
      <c r="C205" s="4">
        <f>VLOOKUP(A205, output_exiobase_v3.10.2_EXIO_IOT_2019_pxp_Y_imports_footprint_FR[], 2, FALSE)</f>
        <v>0</v>
      </c>
      <c r="D205" s="4">
        <f>VLOOKUP(A205, output_exiobase_v3.10.2_EXIO_IOT_2019_pxp_Z_imports_footprint_FR[], 2, FALSE)</f>
        <v>0</v>
      </c>
      <c r="E205" s="4">
        <f>VLOOKUP(A205, output_exiobase_v3.10.2_EXIO_IOT_2019_pxp_Y_production_footprint_FR[], 2, FALSE)</f>
        <v>0</v>
      </c>
      <c r="F205" s="4">
        <f>VLOOKUP(A205, output_exiobase_v3.10.2_EXIO_IOT_2019_pxp_Z_production_footprint_FR[], 2, FALSE)</f>
        <v>0</v>
      </c>
      <c r="G205" s="35" t="e">
        <f t="shared" si="19"/>
        <v>#DIV/0!</v>
      </c>
      <c r="H205" s="1" t="e">
        <f t="shared" si="20"/>
        <v>#DIV/0!</v>
      </c>
    </row>
    <row r="206" spans="1:8" x14ac:dyDescent="0.3">
      <c r="A206" s="9" t="s">
        <v>169</v>
      </c>
      <c r="B206" s="29">
        <f t="shared" si="18"/>
        <v>0</v>
      </c>
      <c r="C206" s="4">
        <f>VLOOKUP(A206, output_exiobase_v3.10.2_EXIO_IOT_2019_pxp_Y_imports_footprint_FR[], 2, FALSE)</f>
        <v>0</v>
      </c>
      <c r="D206" s="4">
        <f>VLOOKUP(A206, output_exiobase_v3.10.2_EXIO_IOT_2019_pxp_Z_imports_footprint_FR[], 2, FALSE)</f>
        <v>0</v>
      </c>
      <c r="E206" s="4">
        <f>VLOOKUP(A206, output_exiobase_v3.10.2_EXIO_IOT_2019_pxp_Y_production_footprint_FR[], 2, FALSE)</f>
        <v>0</v>
      </c>
      <c r="F206" s="4">
        <f>VLOOKUP(A206, output_exiobase_v3.10.2_EXIO_IOT_2019_pxp_Z_production_footprint_FR[], 2, FALSE)</f>
        <v>0</v>
      </c>
      <c r="G206" s="35" t="e">
        <f t="shared" si="19"/>
        <v>#DIV/0!</v>
      </c>
      <c r="H206" s="1" t="e">
        <f t="shared" si="20"/>
        <v>#DIV/0!</v>
      </c>
    </row>
    <row r="207" spans="1:8" x14ac:dyDescent="0.3">
      <c r="A207" s="9" t="s">
        <v>17</v>
      </c>
      <c r="B207" s="29">
        <f t="shared" si="18"/>
        <v>0</v>
      </c>
      <c r="C207" s="4">
        <f>VLOOKUP(A207, output_exiobase_v3.10.2_EXIO_IOT_2019_pxp_Y_imports_footprint_FR[], 2, FALSE)</f>
        <v>0</v>
      </c>
      <c r="D207" s="4">
        <f>VLOOKUP(A207, output_exiobase_v3.10.2_EXIO_IOT_2019_pxp_Z_imports_footprint_FR[], 2, FALSE)</f>
        <v>0</v>
      </c>
      <c r="E207" s="4">
        <f>VLOOKUP(A207, output_exiobase_v3.10.2_EXIO_IOT_2019_pxp_Y_production_footprint_FR[], 2, FALSE)</f>
        <v>0</v>
      </c>
      <c r="F207" s="4">
        <f>VLOOKUP(A207, output_exiobase_v3.10.2_EXIO_IOT_2019_pxp_Z_production_footprint_FR[], 2, FALSE)</f>
        <v>0</v>
      </c>
      <c r="G207" s="35" t="e">
        <f t="shared" si="19"/>
        <v>#DIV/0!</v>
      </c>
      <c r="H207" s="1" t="e">
        <f t="shared" si="20"/>
        <v>#DIV/0!</v>
      </c>
    </row>
    <row r="208" spans="1:8" x14ac:dyDescent="0.3">
      <c r="A208" s="9" t="s">
        <v>165</v>
      </c>
      <c r="B208" s="29">
        <f t="shared" si="18"/>
        <v>0</v>
      </c>
      <c r="C208" s="4">
        <f>VLOOKUP(A208, output_exiobase_v3.10.2_EXIO_IOT_2019_pxp_Y_imports_footprint_FR[], 2, FALSE)</f>
        <v>0</v>
      </c>
      <c r="D208" s="4">
        <f>VLOOKUP(A208, output_exiobase_v3.10.2_EXIO_IOT_2019_pxp_Z_imports_footprint_FR[], 2, FALSE)</f>
        <v>0</v>
      </c>
      <c r="E208" s="4">
        <f>VLOOKUP(A208, output_exiobase_v3.10.2_EXIO_IOT_2019_pxp_Y_production_footprint_FR[], 2, FALSE)</f>
        <v>0</v>
      </c>
      <c r="F208" s="4">
        <f>VLOOKUP(A208, output_exiobase_v3.10.2_EXIO_IOT_2019_pxp_Z_production_footprint_FR[], 2, FALSE)</f>
        <v>0</v>
      </c>
      <c r="G208" s="35" t="e">
        <f t="shared" si="19"/>
        <v>#DIV/0!</v>
      </c>
      <c r="H208" s="1" t="e">
        <f t="shared" si="20"/>
        <v>#DIV/0!</v>
      </c>
    </row>
    <row r="209" spans="1:8" x14ac:dyDescent="0.3">
      <c r="A209" s="9" t="s">
        <v>55</v>
      </c>
      <c r="B209" s="29">
        <f t="shared" si="18"/>
        <v>0</v>
      </c>
      <c r="C209" s="4">
        <f>VLOOKUP(A209, output_exiobase_v3.10.2_EXIO_IOT_2019_pxp_Y_imports_footprint_FR[], 2, FALSE)</f>
        <v>0</v>
      </c>
      <c r="D209" s="4">
        <f>VLOOKUP(A209, output_exiobase_v3.10.2_EXIO_IOT_2019_pxp_Z_imports_footprint_FR[], 2, FALSE)</f>
        <v>0</v>
      </c>
      <c r="E209" s="4">
        <f>VLOOKUP(A209, output_exiobase_v3.10.2_EXIO_IOT_2019_pxp_Y_production_footprint_FR[], 2, FALSE)</f>
        <v>0</v>
      </c>
      <c r="F209" s="4">
        <f>VLOOKUP(A209, output_exiobase_v3.10.2_EXIO_IOT_2019_pxp_Z_production_footprint_FR[], 2, FALSE)</f>
        <v>0</v>
      </c>
      <c r="G209" s="35" t="e">
        <f t="shared" si="19"/>
        <v>#DIV/0!</v>
      </c>
      <c r="H209" s="1" t="e">
        <f t="shared" si="20"/>
        <v>#DIV/0!</v>
      </c>
    </row>
  </sheetData>
  <autoFilter ref="A9:H209" xr:uid="{D128262F-2692-4D3F-9EA9-5C378385CE66}">
    <sortState xmlns:xlrd2="http://schemas.microsoft.com/office/spreadsheetml/2017/richdata2" ref="A10:H209">
      <sortCondition descending="1" ref="B9:B209"/>
    </sortState>
  </autoFilter>
  <conditionalFormatting sqref="B10:B209">
    <cfRule type="dataBar" priority="2">
      <dataBar>
        <cfvo type="min"/>
        <cfvo type="max"/>
        <color theme="2" tint="-9.9978637043366805E-2"/>
      </dataBar>
      <extLst>
        <ext xmlns:x14="http://schemas.microsoft.com/office/spreadsheetml/2009/9/main" uri="{B025F937-C7B1-47D3-B67F-A62EFF666E3E}">
          <x14:id>{47B6647A-F22C-4CF6-96DD-901B8A4A779E}</x14:id>
        </ext>
      </extLst>
    </cfRule>
    <cfRule type="cellIs" dxfId="27" priority="3" operator="equal">
      <formula>0</formula>
    </cfRule>
  </conditionalFormatting>
  <conditionalFormatting sqref="G10:H186">
    <cfRule type="dataBar" priority="1">
      <dataBar>
        <cfvo type="min"/>
        <cfvo type="max"/>
        <color theme="2" tint="-9.9978637043366805E-2"/>
      </dataBar>
      <extLst>
        <ext xmlns:x14="http://schemas.microsoft.com/office/spreadsheetml/2009/9/main" uri="{B025F937-C7B1-47D3-B67F-A62EFF666E3E}">
          <x14:id>{90ED89AA-3D2D-4485-BCA5-21FA37944059}</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47B6647A-F22C-4CF6-96DD-901B8A4A779E}">
            <x14:dataBar minLength="0" maxLength="100" gradient="0">
              <x14:cfvo type="autoMin"/>
              <x14:cfvo type="autoMax"/>
              <x14:negativeFillColor rgb="FFFF0000"/>
              <x14:axisColor rgb="FF000000"/>
            </x14:dataBar>
          </x14:cfRule>
          <xm:sqref>B10:B209</xm:sqref>
        </x14:conditionalFormatting>
        <x14:conditionalFormatting xmlns:xm="http://schemas.microsoft.com/office/excel/2006/main">
          <x14:cfRule type="dataBar" id="{90ED89AA-3D2D-4485-BCA5-21FA37944059}">
            <x14:dataBar minLength="0" maxLength="100" gradient="0">
              <x14:cfvo type="autoMin"/>
              <x14:cfvo type="autoMax"/>
              <x14:negativeFillColor rgb="FFFF0000"/>
              <x14:axisColor rgb="FF000000"/>
            </x14:dataBar>
          </x14:cfRule>
          <xm:sqref>G10:H186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E618-FC0F-4078-A90F-DB87C1B0D75B}">
  <sheetPr codeName="Sheet12"/>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275</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4.1375710791289943E-4</v>
      </c>
    </row>
    <row r="6" spans="1:2" x14ac:dyDescent="0.3">
      <c r="A6" s="34" t="s">
        <v>2</v>
      </c>
      <c r="B6" s="36">
        <v>10591606639.642776</v>
      </c>
    </row>
    <row r="7" spans="1:2" x14ac:dyDescent="0.3">
      <c r="A7" s="34" t="s">
        <v>3</v>
      </c>
      <c r="B7" s="36">
        <v>3111617.3042882378</v>
      </c>
    </row>
    <row r="8" spans="1:2" x14ac:dyDescent="0.3">
      <c r="A8" s="34" t="s">
        <v>4</v>
      </c>
      <c r="B8" s="36">
        <v>175819.45178065632</v>
      </c>
    </row>
    <row r="9" spans="1:2" x14ac:dyDescent="0.3">
      <c r="A9" s="34" t="s">
        <v>5</v>
      </c>
      <c r="B9" s="36">
        <v>276209943.97701126</v>
      </c>
    </row>
    <row r="10" spans="1:2" x14ac:dyDescent="0.3">
      <c r="A10" s="34" t="s">
        <v>6</v>
      </c>
      <c r="B10" s="36">
        <v>77833233.658536628</v>
      </c>
    </row>
    <row r="11" spans="1:2" x14ac:dyDescent="0.3">
      <c r="A11" s="34" t="s">
        <v>7</v>
      </c>
      <c r="B11" s="36">
        <v>0</v>
      </c>
    </row>
    <row r="12" spans="1:2" x14ac:dyDescent="0.3">
      <c r="A12" s="34" t="s">
        <v>8</v>
      </c>
      <c r="B12" s="36">
        <v>9.9112836575264407E-4</v>
      </c>
    </row>
    <row r="13" spans="1:2" x14ac:dyDescent="0.3">
      <c r="A13" s="34" t="s">
        <v>9</v>
      </c>
      <c r="B13" s="36">
        <v>979159.9641110244</v>
      </c>
    </row>
    <row r="14" spans="1:2" x14ac:dyDescent="0.3">
      <c r="A14" s="34" t="s">
        <v>10</v>
      </c>
      <c r="B14" s="36">
        <v>12092.279433146272</v>
      </c>
    </row>
    <row r="15" spans="1:2" x14ac:dyDescent="0.3">
      <c r="A15" s="34" t="s">
        <v>11</v>
      </c>
      <c r="B15" s="36">
        <v>1262925580.5136228</v>
      </c>
    </row>
    <row r="16" spans="1:2" x14ac:dyDescent="0.3">
      <c r="A16" s="34" t="s">
        <v>12</v>
      </c>
      <c r="B16" s="36">
        <v>5054971.3683708534</v>
      </c>
    </row>
    <row r="17" spans="1:2" x14ac:dyDescent="0.3">
      <c r="A17" s="34" t="s">
        <v>13</v>
      </c>
      <c r="B17" s="36">
        <v>0</v>
      </c>
    </row>
    <row r="18" spans="1:2" x14ac:dyDescent="0.3">
      <c r="A18" s="34" t="s">
        <v>14</v>
      </c>
      <c r="B18" s="36">
        <v>21277970.066864423</v>
      </c>
    </row>
    <row r="19" spans="1:2" x14ac:dyDescent="0.3">
      <c r="A19" s="34" t="s">
        <v>15</v>
      </c>
      <c r="B19" s="36">
        <v>12761012.889665695</v>
      </c>
    </row>
    <row r="20" spans="1:2" x14ac:dyDescent="0.3">
      <c r="A20" s="34" t="s">
        <v>16</v>
      </c>
      <c r="B20" s="36">
        <v>0</v>
      </c>
    </row>
    <row r="21" spans="1:2" x14ac:dyDescent="0.3">
      <c r="A21" s="34" t="s">
        <v>17</v>
      </c>
      <c r="B21" s="36">
        <v>0</v>
      </c>
    </row>
    <row r="22" spans="1:2" x14ac:dyDescent="0.3">
      <c r="A22" s="34" t="s">
        <v>18</v>
      </c>
      <c r="B22" s="36">
        <v>527954.69810254348</v>
      </c>
    </row>
    <row r="23" spans="1:2" x14ac:dyDescent="0.3">
      <c r="A23" s="34" t="s">
        <v>19</v>
      </c>
      <c r="B23" s="36">
        <v>17016516.950666454</v>
      </c>
    </row>
    <row r="24" spans="1:2" x14ac:dyDescent="0.3">
      <c r="A24" s="34" t="s">
        <v>20</v>
      </c>
      <c r="B24" s="36">
        <v>33249008.15738998</v>
      </c>
    </row>
    <row r="25" spans="1:2" x14ac:dyDescent="0.3">
      <c r="A25" s="34" t="s">
        <v>21</v>
      </c>
      <c r="B25" s="36">
        <v>1047610976.9420292</v>
      </c>
    </row>
    <row r="26" spans="1:2" x14ac:dyDescent="0.3">
      <c r="A26" s="34" t="s">
        <v>22</v>
      </c>
      <c r="B26" s="36">
        <v>19688034.398869622</v>
      </c>
    </row>
    <row r="27" spans="1:2" x14ac:dyDescent="0.3">
      <c r="A27" s="34" t="s">
        <v>23</v>
      </c>
      <c r="B27" s="36">
        <v>69667906.065000996</v>
      </c>
    </row>
    <row r="28" spans="1:2" x14ac:dyDescent="0.3">
      <c r="A28" s="34" t="s">
        <v>24</v>
      </c>
      <c r="B28" s="36">
        <v>5518241.4709990406</v>
      </c>
    </row>
    <row r="29" spans="1:2" x14ac:dyDescent="0.3">
      <c r="A29" s="34" t="s">
        <v>25</v>
      </c>
      <c r="B29" s="36">
        <v>4599851729.659626</v>
      </c>
    </row>
    <row r="30" spans="1:2" x14ac:dyDescent="0.3">
      <c r="A30" s="34" t="s">
        <v>26</v>
      </c>
      <c r="B30" s="36">
        <v>0</v>
      </c>
    </row>
    <row r="31" spans="1:2" x14ac:dyDescent="0.3">
      <c r="A31" s="34" t="s">
        <v>27</v>
      </c>
      <c r="B31" s="36">
        <v>102703.37191419739</v>
      </c>
    </row>
    <row r="32" spans="1:2" x14ac:dyDescent="0.3">
      <c r="A32" s="34" t="s">
        <v>28</v>
      </c>
      <c r="B32" s="36">
        <v>0</v>
      </c>
    </row>
    <row r="33" spans="1:2" x14ac:dyDescent="0.3">
      <c r="A33" s="34" t="s">
        <v>29</v>
      </c>
      <c r="B33" s="36">
        <v>0</v>
      </c>
    </row>
    <row r="34" spans="1:2" x14ac:dyDescent="0.3">
      <c r="A34" s="34" t="s">
        <v>30</v>
      </c>
      <c r="B34" s="36">
        <v>0</v>
      </c>
    </row>
    <row r="35" spans="1:2" x14ac:dyDescent="0.3">
      <c r="A35" s="34" t="s">
        <v>31</v>
      </c>
      <c r="B35" s="36">
        <v>1641899803.5723214</v>
      </c>
    </row>
    <row r="36" spans="1:2" x14ac:dyDescent="0.3">
      <c r="A36" s="34" t="s">
        <v>32</v>
      </c>
      <c r="B36" s="36">
        <v>2867378760.8238087</v>
      </c>
    </row>
    <row r="37" spans="1:2" x14ac:dyDescent="0.3">
      <c r="A37" s="34" t="s">
        <v>33</v>
      </c>
      <c r="B37" s="36">
        <v>2.7586232306202496E-2</v>
      </c>
    </row>
    <row r="38" spans="1:2" x14ac:dyDescent="0.3">
      <c r="A38" s="34" t="s">
        <v>34</v>
      </c>
      <c r="B38" s="36">
        <v>1.6685513488473164E-3</v>
      </c>
    </row>
    <row r="39" spans="1:2" x14ac:dyDescent="0.3">
      <c r="A39" s="34" t="s">
        <v>35</v>
      </c>
      <c r="B39" s="36">
        <v>157372033.23128882</v>
      </c>
    </row>
    <row r="40" spans="1:2" x14ac:dyDescent="0.3">
      <c r="A40" s="34" t="s">
        <v>36</v>
      </c>
      <c r="B40" s="36">
        <v>1658230.2589096711</v>
      </c>
    </row>
    <row r="41" spans="1:2" x14ac:dyDescent="0.3">
      <c r="A41" s="34" t="s">
        <v>37</v>
      </c>
      <c r="B41" s="36">
        <v>2320593835.3268986</v>
      </c>
    </row>
    <row r="42" spans="1:2" x14ac:dyDescent="0.3">
      <c r="A42" s="34" t="s">
        <v>38</v>
      </c>
      <c r="B42" s="36">
        <v>0</v>
      </c>
    </row>
    <row r="43" spans="1:2" x14ac:dyDescent="0.3">
      <c r="A43" s="34" t="s">
        <v>39</v>
      </c>
      <c r="B43" s="36">
        <v>0</v>
      </c>
    </row>
    <row r="44" spans="1:2" x14ac:dyDescent="0.3">
      <c r="A44" s="34" t="s">
        <v>40</v>
      </c>
      <c r="B44" s="36">
        <v>392000499.53233325</v>
      </c>
    </row>
    <row r="45" spans="1:2" x14ac:dyDescent="0.3">
      <c r="A45" s="34" t="s">
        <v>41</v>
      </c>
      <c r="B45" s="36">
        <v>2242991349.9213343</v>
      </c>
    </row>
    <row r="46" spans="1:2" x14ac:dyDescent="0.3">
      <c r="A46" s="34" t="s">
        <v>42</v>
      </c>
      <c r="B46" s="36">
        <v>0</v>
      </c>
    </row>
    <row r="47" spans="1:2" x14ac:dyDescent="0.3">
      <c r="A47" s="34" t="s">
        <v>43</v>
      </c>
      <c r="B47" s="36">
        <v>122283690.10191905</v>
      </c>
    </row>
    <row r="48" spans="1:2" x14ac:dyDescent="0.3">
      <c r="A48" s="34" t="s">
        <v>44</v>
      </c>
      <c r="B48" s="36">
        <v>1187538229.897557</v>
      </c>
    </row>
    <row r="49" spans="1:2" x14ac:dyDescent="0.3">
      <c r="A49" s="34" t="s">
        <v>45</v>
      </c>
      <c r="B49" s="36">
        <v>2650600858.7978063</v>
      </c>
    </row>
    <row r="50" spans="1:2" x14ac:dyDescent="0.3">
      <c r="A50" s="34" t="s">
        <v>46</v>
      </c>
      <c r="B50" s="36">
        <v>33050074.646868479</v>
      </c>
    </row>
    <row r="51" spans="1:2" x14ac:dyDescent="0.3">
      <c r="A51" s="34" t="s">
        <v>47</v>
      </c>
      <c r="B51" s="36">
        <v>83574458.668727547</v>
      </c>
    </row>
    <row r="52" spans="1:2" x14ac:dyDescent="0.3">
      <c r="A52" s="34" t="s">
        <v>48</v>
      </c>
      <c r="B52" s="36">
        <v>170462422.94633126</v>
      </c>
    </row>
    <row r="53" spans="1:2" x14ac:dyDescent="0.3">
      <c r="A53" s="34" t="s">
        <v>49</v>
      </c>
      <c r="B53" s="36">
        <v>15927077.988232782</v>
      </c>
    </row>
    <row r="54" spans="1:2" x14ac:dyDescent="0.3">
      <c r="A54" s="34" t="s">
        <v>50</v>
      </c>
      <c r="B54" s="36">
        <v>0</v>
      </c>
    </row>
    <row r="55" spans="1:2" x14ac:dyDescent="0.3">
      <c r="A55" s="34" t="s">
        <v>51</v>
      </c>
      <c r="B55" s="36">
        <v>15977.762498837455</v>
      </c>
    </row>
    <row r="56" spans="1:2" x14ac:dyDescent="0.3">
      <c r="A56" s="34" t="s">
        <v>52</v>
      </c>
      <c r="B56" s="36">
        <v>42857507.380003661</v>
      </c>
    </row>
    <row r="57" spans="1:2" x14ac:dyDescent="0.3">
      <c r="A57" s="34" t="s">
        <v>53</v>
      </c>
      <c r="B57" s="36">
        <v>697496.77344613685</v>
      </c>
    </row>
    <row r="58" spans="1:2" x14ac:dyDescent="0.3">
      <c r="A58" s="34" t="s">
        <v>54</v>
      </c>
      <c r="B58" s="36">
        <v>0</v>
      </c>
    </row>
    <row r="59" spans="1:2" x14ac:dyDescent="0.3">
      <c r="A59" s="34" t="s">
        <v>55</v>
      </c>
      <c r="B59" s="36">
        <v>0</v>
      </c>
    </row>
    <row r="60" spans="1:2" x14ac:dyDescent="0.3">
      <c r="A60" s="34" t="s">
        <v>56</v>
      </c>
      <c r="B60" s="36">
        <v>1847784775.5055611</v>
      </c>
    </row>
    <row r="61" spans="1:2" x14ac:dyDescent="0.3">
      <c r="A61" s="34" t="s">
        <v>57</v>
      </c>
      <c r="B61" s="36">
        <v>83521381.368467852</v>
      </c>
    </row>
    <row r="62" spans="1:2" x14ac:dyDescent="0.3">
      <c r="A62" s="34" t="s">
        <v>58</v>
      </c>
      <c r="B62" s="36">
        <v>2180453357.7912021</v>
      </c>
    </row>
    <row r="63" spans="1:2" x14ac:dyDescent="0.3">
      <c r="A63" s="34" t="s">
        <v>59</v>
      </c>
      <c r="B63" s="36">
        <v>1202138978.7408409</v>
      </c>
    </row>
    <row r="64" spans="1:2" x14ac:dyDescent="0.3">
      <c r="A64" s="34" t="s">
        <v>60</v>
      </c>
      <c r="B64" s="36">
        <v>11604445515.597275</v>
      </c>
    </row>
    <row r="65" spans="1:2" x14ac:dyDescent="0.3">
      <c r="A65" s="34" t="s">
        <v>61</v>
      </c>
      <c r="B65" s="36">
        <v>150934.40906218419</v>
      </c>
    </row>
    <row r="66" spans="1:2" x14ac:dyDescent="0.3">
      <c r="A66" s="34" t="s">
        <v>62</v>
      </c>
      <c r="B66" s="36">
        <v>1216811.367676262</v>
      </c>
    </row>
    <row r="67" spans="1:2" x14ac:dyDescent="0.3">
      <c r="A67" s="34" t="s">
        <v>63</v>
      </c>
      <c r="B67" s="36">
        <v>894343.08742438711</v>
      </c>
    </row>
    <row r="68" spans="1:2" x14ac:dyDescent="0.3">
      <c r="A68" s="34" t="s">
        <v>64</v>
      </c>
      <c r="B68" s="36">
        <v>1550750.0852564662</v>
      </c>
    </row>
    <row r="69" spans="1:2" x14ac:dyDescent="0.3">
      <c r="A69" s="34" t="s">
        <v>65</v>
      </c>
      <c r="B69" s="36">
        <v>844914.02533901227</v>
      </c>
    </row>
    <row r="70" spans="1:2" x14ac:dyDescent="0.3">
      <c r="A70" s="34" t="s">
        <v>66</v>
      </c>
      <c r="B70" s="36">
        <v>0</v>
      </c>
    </row>
    <row r="71" spans="1:2" x14ac:dyDescent="0.3">
      <c r="A71" s="34" t="s">
        <v>67</v>
      </c>
      <c r="B71" s="36">
        <v>8225316145.1128979</v>
      </c>
    </row>
    <row r="72" spans="1:2" x14ac:dyDescent="0.3">
      <c r="A72" s="34" t="s">
        <v>68</v>
      </c>
      <c r="B72" s="36">
        <v>0</v>
      </c>
    </row>
    <row r="73" spans="1:2" x14ac:dyDescent="0.3">
      <c r="A73" s="34" t="s">
        <v>69</v>
      </c>
      <c r="B73" s="36">
        <v>0</v>
      </c>
    </row>
    <row r="74" spans="1:2" x14ac:dyDescent="0.3">
      <c r="A74" s="34" t="s">
        <v>70</v>
      </c>
      <c r="B74" s="36">
        <v>5035955316.1774197</v>
      </c>
    </row>
    <row r="75" spans="1:2" x14ac:dyDescent="0.3">
      <c r="A75" s="34" t="s">
        <v>71</v>
      </c>
      <c r="B75" s="36">
        <v>0</v>
      </c>
    </row>
    <row r="76" spans="1:2" x14ac:dyDescent="0.3">
      <c r="A76" s="34" t="s">
        <v>72</v>
      </c>
      <c r="B76" s="36">
        <v>5.7593623688128692E-4</v>
      </c>
    </row>
    <row r="77" spans="1:2" x14ac:dyDescent="0.3">
      <c r="A77" s="34" t="s">
        <v>73</v>
      </c>
      <c r="B77" s="36">
        <v>641909834.48595226</v>
      </c>
    </row>
    <row r="78" spans="1:2" x14ac:dyDescent="0.3">
      <c r="A78" s="34" t="s">
        <v>74</v>
      </c>
      <c r="B78" s="36">
        <v>2616393737.6354613</v>
      </c>
    </row>
    <row r="79" spans="1:2" x14ac:dyDescent="0.3">
      <c r="A79" s="34" t="s">
        <v>75</v>
      </c>
      <c r="B79" s="36">
        <v>9190675591.2945499</v>
      </c>
    </row>
    <row r="80" spans="1:2" x14ac:dyDescent="0.3">
      <c r="A80" s="34" t="s">
        <v>76</v>
      </c>
      <c r="B80" s="36">
        <v>932628.74196996377</v>
      </c>
    </row>
    <row r="81" spans="1:2" x14ac:dyDescent="0.3">
      <c r="A81" s="34" t="s">
        <v>77</v>
      </c>
      <c r="B81" s="36">
        <v>102998649.25208542</v>
      </c>
    </row>
    <row r="82" spans="1:2" x14ac:dyDescent="0.3">
      <c r="A82" s="34" t="s">
        <v>78</v>
      </c>
      <c r="B82" s="36">
        <v>174457908.77759603</v>
      </c>
    </row>
    <row r="83" spans="1:2" x14ac:dyDescent="0.3">
      <c r="A83" s="34" t="s">
        <v>79</v>
      </c>
      <c r="B83" s="36">
        <v>1567511.3569290072</v>
      </c>
    </row>
    <row r="84" spans="1:2" x14ac:dyDescent="0.3">
      <c r="A84" s="34" t="s">
        <v>80</v>
      </c>
      <c r="B84" s="36">
        <v>0.10576883419232309</v>
      </c>
    </row>
    <row r="85" spans="1:2" x14ac:dyDescent="0.3">
      <c r="A85" s="34" t="s">
        <v>81</v>
      </c>
      <c r="B85" s="36">
        <v>0</v>
      </c>
    </row>
    <row r="86" spans="1:2" x14ac:dyDescent="0.3">
      <c r="A86" s="34" t="s">
        <v>82</v>
      </c>
      <c r="B86" s="36">
        <v>9.8804476034043275E-4</v>
      </c>
    </row>
    <row r="87" spans="1:2" x14ac:dyDescent="0.3">
      <c r="A87" s="34" t="s">
        <v>83</v>
      </c>
      <c r="B87" s="36">
        <v>1.3157977859015258E-3</v>
      </c>
    </row>
    <row r="88" spans="1:2" x14ac:dyDescent="0.3">
      <c r="A88" s="34" t="s">
        <v>84</v>
      </c>
      <c r="B88" s="36">
        <v>1319823.9859970536</v>
      </c>
    </row>
    <row r="89" spans="1:2" x14ac:dyDescent="0.3">
      <c r="A89" s="34" t="s">
        <v>85</v>
      </c>
      <c r="B89" s="36">
        <v>5608837201.5718498</v>
      </c>
    </row>
    <row r="90" spans="1:2" x14ac:dyDescent="0.3">
      <c r="A90" s="34" t="s">
        <v>86</v>
      </c>
      <c r="B90" s="36">
        <v>1618965.7996400781</v>
      </c>
    </row>
    <row r="91" spans="1:2" x14ac:dyDescent="0.3">
      <c r="A91" s="34" t="s">
        <v>87</v>
      </c>
      <c r="B91" s="36">
        <v>1348567332.5283201</v>
      </c>
    </row>
    <row r="92" spans="1:2" x14ac:dyDescent="0.3">
      <c r="A92" s="34" t="s">
        <v>88</v>
      </c>
      <c r="B92" s="36">
        <v>1.0921876177023154E-3</v>
      </c>
    </row>
    <row r="93" spans="1:2" x14ac:dyDescent="0.3">
      <c r="A93" s="34" t="s">
        <v>89</v>
      </c>
      <c r="B93" s="36">
        <v>4388190270.113512</v>
      </c>
    </row>
    <row r="94" spans="1:2" x14ac:dyDescent="0.3">
      <c r="A94" s="34" t="s">
        <v>90</v>
      </c>
      <c r="B94" s="36">
        <v>0</v>
      </c>
    </row>
    <row r="95" spans="1:2" x14ac:dyDescent="0.3">
      <c r="A95" s="34" t="s">
        <v>91</v>
      </c>
      <c r="B95" s="36">
        <v>0</v>
      </c>
    </row>
    <row r="96" spans="1:2" x14ac:dyDescent="0.3">
      <c r="A96" s="34" t="s">
        <v>92</v>
      </c>
      <c r="B96" s="36">
        <v>751278348.98267984</v>
      </c>
    </row>
    <row r="97" spans="1:2" x14ac:dyDescent="0.3">
      <c r="A97" s="34" t="s">
        <v>93</v>
      </c>
      <c r="B97" s="36">
        <v>1026490163.2230183</v>
      </c>
    </row>
    <row r="98" spans="1:2" x14ac:dyDescent="0.3">
      <c r="A98" s="34" t="s">
        <v>94</v>
      </c>
      <c r="B98" s="36">
        <v>508790563.94824255</v>
      </c>
    </row>
    <row r="99" spans="1:2" x14ac:dyDescent="0.3">
      <c r="A99" s="34" t="s">
        <v>95</v>
      </c>
      <c r="B99" s="36">
        <v>45121190.957622513</v>
      </c>
    </row>
    <row r="100" spans="1:2" x14ac:dyDescent="0.3">
      <c r="A100" s="34" t="s">
        <v>96</v>
      </c>
      <c r="B100" s="36">
        <v>4697101160.4700413</v>
      </c>
    </row>
    <row r="101" spans="1:2" x14ac:dyDescent="0.3">
      <c r="A101" s="34" t="s">
        <v>97</v>
      </c>
      <c r="B101" s="36">
        <v>22831374801.885811</v>
      </c>
    </row>
    <row r="102" spans="1:2" x14ac:dyDescent="0.3">
      <c r="A102" s="34" t="s">
        <v>98</v>
      </c>
      <c r="B102" s="36">
        <v>1219777.9063826983</v>
      </c>
    </row>
    <row r="103" spans="1:2" x14ac:dyDescent="0.3">
      <c r="A103" s="34" t="s">
        <v>99</v>
      </c>
      <c r="B103" s="36">
        <v>10722076.247099688</v>
      </c>
    </row>
    <row r="104" spans="1:2" x14ac:dyDescent="0.3">
      <c r="A104" s="34" t="s">
        <v>100</v>
      </c>
      <c r="B104" s="36">
        <v>0</v>
      </c>
    </row>
    <row r="105" spans="1:2" x14ac:dyDescent="0.3">
      <c r="A105" s="34" t="s">
        <v>101</v>
      </c>
      <c r="B105" s="36">
        <v>4244780618.9335546</v>
      </c>
    </row>
    <row r="106" spans="1:2" x14ac:dyDescent="0.3">
      <c r="A106" s="34" t="s">
        <v>102</v>
      </c>
      <c r="B106" s="36">
        <v>0</v>
      </c>
    </row>
    <row r="107" spans="1:2" x14ac:dyDescent="0.3">
      <c r="A107" s="34" t="s">
        <v>103</v>
      </c>
      <c r="B107" s="36">
        <v>9592191.537655564</v>
      </c>
    </row>
    <row r="108" spans="1:2" x14ac:dyDescent="0.3">
      <c r="A108" s="34" t="s">
        <v>104</v>
      </c>
      <c r="B108" s="36">
        <v>105389227.13481206</v>
      </c>
    </row>
    <row r="109" spans="1:2" x14ac:dyDescent="0.3">
      <c r="A109" s="34" t="s">
        <v>105</v>
      </c>
      <c r="B109" s="36">
        <v>1833251526.2183745</v>
      </c>
    </row>
    <row r="110" spans="1:2" x14ac:dyDescent="0.3">
      <c r="A110" s="34" t="s">
        <v>106</v>
      </c>
      <c r="B110" s="36">
        <v>619070870.22541237</v>
      </c>
    </row>
    <row r="111" spans="1:2" x14ac:dyDescent="0.3">
      <c r="A111" s="34" t="s">
        <v>107</v>
      </c>
      <c r="B111" s="36">
        <v>698446.5986915275</v>
      </c>
    </row>
    <row r="112" spans="1:2" x14ac:dyDescent="0.3">
      <c r="A112" s="34" t="s">
        <v>108</v>
      </c>
      <c r="B112" s="36">
        <v>1595574953.9745612</v>
      </c>
    </row>
    <row r="113" spans="1:2" x14ac:dyDescent="0.3">
      <c r="A113" s="34" t="s">
        <v>109</v>
      </c>
      <c r="B113" s="36">
        <v>340219.44491428684</v>
      </c>
    </row>
    <row r="114" spans="1:2" x14ac:dyDescent="0.3">
      <c r="A114" s="34" t="s">
        <v>110</v>
      </c>
      <c r="B114" s="36">
        <v>0</v>
      </c>
    </row>
    <row r="115" spans="1:2" x14ac:dyDescent="0.3">
      <c r="A115" s="34" t="s">
        <v>111</v>
      </c>
      <c r="B115" s="36">
        <v>1127961610.2365248</v>
      </c>
    </row>
    <row r="116" spans="1:2" x14ac:dyDescent="0.3">
      <c r="A116" s="34" t="s">
        <v>112</v>
      </c>
      <c r="B116" s="36">
        <v>2152774546.0872998</v>
      </c>
    </row>
    <row r="117" spans="1:2" x14ac:dyDescent="0.3">
      <c r="A117" s="34" t="s">
        <v>113</v>
      </c>
      <c r="B117" s="36">
        <v>517.72180201875722</v>
      </c>
    </row>
    <row r="118" spans="1:2" x14ac:dyDescent="0.3">
      <c r="A118" s="34" t="s">
        <v>114</v>
      </c>
      <c r="B118" s="36">
        <v>7028988.2152334079</v>
      </c>
    </row>
    <row r="119" spans="1:2" x14ac:dyDescent="0.3">
      <c r="A119" s="34" t="s">
        <v>115</v>
      </c>
      <c r="B119" s="36">
        <v>763796108.63662386</v>
      </c>
    </row>
    <row r="120" spans="1:2" x14ac:dyDescent="0.3">
      <c r="A120" s="34" t="s">
        <v>116</v>
      </c>
      <c r="B120" s="36">
        <v>72205188.135222182</v>
      </c>
    </row>
    <row r="121" spans="1:2" x14ac:dyDescent="0.3">
      <c r="A121" s="34" t="s">
        <v>117</v>
      </c>
      <c r="B121" s="36">
        <v>4283443250.5107431</v>
      </c>
    </row>
    <row r="122" spans="1:2" x14ac:dyDescent="0.3">
      <c r="A122" s="34" t="s">
        <v>118</v>
      </c>
      <c r="B122" s="36">
        <v>1739437.7615809976</v>
      </c>
    </row>
    <row r="123" spans="1:2" x14ac:dyDescent="0.3">
      <c r="A123" s="34" t="s">
        <v>119</v>
      </c>
      <c r="B123" s="36">
        <v>0</v>
      </c>
    </row>
    <row r="124" spans="1:2" x14ac:dyDescent="0.3">
      <c r="A124" s="34" t="s">
        <v>120</v>
      </c>
      <c r="B124" s="36">
        <v>233395361.56274116</v>
      </c>
    </row>
    <row r="125" spans="1:2" x14ac:dyDescent="0.3">
      <c r="A125" s="34" t="s">
        <v>121</v>
      </c>
      <c r="B125" s="36">
        <v>27572107.874685608</v>
      </c>
    </row>
    <row r="126" spans="1:2" x14ac:dyDescent="0.3">
      <c r="A126" s="34" t="s">
        <v>122</v>
      </c>
      <c r="B126" s="36">
        <v>1887984914.9422865</v>
      </c>
    </row>
    <row r="127" spans="1:2" x14ac:dyDescent="0.3">
      <c r="A127" s="34" t="s">
        <v>123</v>
      </c>
      <c r="B127" s="36">
        <v>332.53678726656955</v>
      </c>
    </row>
    <row r="128" spans="1:2" x14ac:dyDescent="0.3">
      <c r="A128" s="34" t="s">
        <v>124</v>
      </c>
      <c r="B128" s="36">
        <v>563053.27423764975</v>
      </c>
    </row>
    <row r="129" spans="1:2" x14ac:dyDescent="0.3">
      <c r="A129" s="34" t="s">
        <v>125</v>
      </c>
      <c r="B129" s="36">
        <v>25166.387372588928</v>
      </c>
    </row>
    <row r="130" spans="1:2" x14ac:dyDescent="0.3">
      <c r="A130" s="34" t="s">
        <v>126</v>
      </c>
      <c r="B130" s="36">
        <v>865809.17223912012</v>
      </c>
    </row>
    <row r="131" spans="1:2" x14ac:dyDescent="0.3">
      <c r="A131" s="34" t="s">
        <v>127</v>
      </c>
      <c r="B131" s="36">
        <v>19621838.692845087</v>
      </c>
    </row>
    <row r="132" spans="1:2" x14ac:dyDescent="0.3">
      <c r="A132" s="34" t="s">
        <v>128</v>
      </c>
      <c r="B132" s="36">
        <v>10531704.477076534</v>
      </c>
    </row>
    <row r="133" spans="1:2" x14ac:dyDescent="0.3">
      <c r="A133" s="34" t="s">
        <v>129</v>
      </c>
      <c r="B133" s="36">
        <v>4994.9190130416391</v>
      </c>
    </row>
    <row r="134" spans="1:2" x14ac:dyDescent="0.3">
      <c r="A134" s="34" t="s">
        <v>130</v>
      </c>
      <c r="B134" s="36">
        <v>0</v>
      </c>
    </row>
    <row r="135" spans="1:2" x14ac:dyDescent="0.3">
      <c r="A135" s="34" t="s">
        <v>131</v>
      </c>
      <c r="B135" s="36">
        <v>2261399.4964834219</v>
      </c>
    </row>
    <row r="136" spans="1:2" x14ac:dyDescent="0.3">
      <c r="A136" s="34" t="s">
        <v>132</v>
      </c>
      <c r="B136" s="36">
        <v>47428598.914639093</v>
      </c>
    </row>
    <row r="137" spans="1:2" x14ac:dyDescent="0.3">
      <c r="A137" s="34" t="s">
        <v>133</v>
      </c>
      <c r="B137" s="36">
        <v>629583.38313513005</v>
      </c>
    </row>
    <row r="138" spans="1:2" x14ac:dyDescent="0.3">
      <c r="A138" s="34" t="s">
        <v>134</v>
      </c>
      <c r="B138" s="36">
        <v>182914.69102992243</v>
      </c>
    </row>
    <row r="139" spans="1:2" x14ac:dyDescent="0.3">
      <c r="A139" s="34" t="s">
        <v>135</v>
      </c>
      <c r="B139" s="36">
        <v>3541797275.5390215</v>
      </c>
    </row>
    <row r="140" spans="1:2" x14ac:dyDescent="0.3">
      <c r="A140" s="34" t="s">
        <v>136</v>
      </c>
      <c r="B140" s="36">
        <v>392146096.23828489</v>
      </c>
    </row>
    <row r="141" spans="1:2" x14ac:dyDescent="0.3">
      <c r="A141" s="34" t="s">
        <v>137</v>
      </c>
      <c r="B141" s="36">
        <v>74176287.397123218</v>
      </c>
    </row>
    <row r="142" spans="1:2" x14ac:dyDescent="0.3">
      <c r="A142" s="34" t="s">
        <v>138</v>
      </c>
      <c r="B142" s="36">
        <v>0.71272445145354313</v>
      </c>
    </row>
    <row r="143" spans="1:2" x14ac:dyDescent="0.3">
      <c r="A143" s="34" t="s">
        <v>139</v>
      </c>
      <c r="B143" s="36">
        <v>993190.37583210098</v>
      </c>
    </row>
    <row r="144" spans="1:2" x14ac:dyDescent="0.3">
      <c r="A144" s="34" t="s">
        <v>140</v>
      </c>
      <c r="B144" s="36">
        <v>198351823.90663084</v>
      </c>
    </row>
    <row r="145" spans="1:2" x14ac:dyDescent="0.3">
      <c r="A145" s="34" t="s">
        <v>141</v>
      </c>
      <c r="B145" s="36">
        <v>1189547280.0851421</v>
      </c>
    </row>
    <row r="146" spans="1:2" x14ac:dyDescent="0.3">
      <c r="A146" s="34" t="s">
        <v>142</v>
      </c>
      <c r="B146" s="36">
        <v>105439907.9675415</v>
      </c>
    </row>
    <row r="147" spans="1:2" x14ac:dyDescent="0.3">
      <c r="A147" s="34" t="s">
        <v>143</v>
      </c>
      <c r="B147" s="36">
        <v>44006677.342214368</v>
      </c>
    </row>
    <row r="148" spans="1:2" x14ac:dyDescent="0.3">
      <c r="A148" s="34" t="s">
        <v>144</v>
      </c>
      <c r="B148" s="36">
        <v>1358233402.879324</v>
      </c>
    </row>
    <row r="149" spans="1:2" x14ac:dyDescent="0.3">
      <c r="A149" s="34" t="s">
        <v>145</v>
      </c>
      <c r="B149" s="36">
        <v>227838464.29476103</v>
      </c>
    </row>
    <row r="150" spans="1:2" x14ac:dyDescent="0.3">
      <c r="A150" s="34" t="s">
        <v>146</v>
      </c>
      <c r="B150" s="36">
        <v>922437874.22447526</v>
      </c>
    </row>
    <row r="151" spans="1:2" x14ac:dyDescent="0.3">
      <c r="A151" s="34" t="s">
        <v>147</v>
      </c>
      <c r="B151" s="36">
        <v>907159162.92451382</v>
      </c>
    </row>
    <row r="152" spans="1:2" x14ac:dyDescent="0.3">
      <c r="A152" s="34" t="s">
        <v>148</v>
      </c>
      <c r="B152" s="36">
        <v>18608042.665311527</v>
      </c>
    </row>
    <row r="153" spans="1:2" x14ac:dyDescent="0.3">
      <c r="A153" s="34" t="s">
        <v>149</v>
      </c>
      <c r="B153" s="36">
        <v>4.9482553504825603E-5</v>
      </c>
    </row>
    <row r="154" spans="1:2" x14ac:dyDescent="0.3">
      <c r="A154" s="34" t="s">
        <v>150</v>
      </c>
      <c r="B154" s="36">
        <v>73300640.588931128</v>
      </c>
    </row>
    <row r="155" spans="1:2" x14ac:dyDescent="0.3">
      <c r="A155" s="34" t="s">
        <v>151</v>
      </c>
      <c r="B155" s="36">
        <v>0</v>
      </c>
    </row>
    <row r="156" spans="1:2" x14ac:dyDescent="0.3">
      <c r="A156" s="34" t="s">
        <v>152</v>
      </c>
      <c r="B156" s="36">
        <v>1110149848.0506811</v>
      </c>
    </row>
    <row r="157" spans="1:2" x14ac:dyDescent="0.3">
      <c r="A157" s="34" t="s">
        <v>153</v>
      </c>
      <c r="B157" s="36">
        <v>227297933.86066985</v>
      </c>
    </row>
    <row r="158" spans="1:2" x14ac:dyDescent="0.3">
      <c r="A158" s="34" t="s">
        <v>154</v>
      </c>
      <c r="B158" s="36">
        <v>0</v>
      </c>
    </row>
    <row r="159" spans="1:2" x14ac:dyDescent="0.3">
      <c r="A159" s="34" t="s">
        <v>155</v>
      </c>
      <c r="B159" s="36">
        <v>0</v>
      </c>
    </row>
    <row r="160" spans="1:2" x14ac:dyDescent="0.3">
      <c r="A160" s="34" t="s">
        <v>156</v>
      </c>
      <c r="B160" s="36">
        <v>9391561.7150921337</v>
      </c>
    </row>
    <row r="161" spans="1:2" x14ac:dyDescent="0.3">
      <c r="A161" s="34" t="s">
        <v>157</v>
      </c>
      <c r="B161" s="36">
        <v>223440727.51064375</v>
      </c>
    </row>
    <row r="162" spans="1:2" x14ac:dyDescent="0.3">
      <c r="A162" s="34" t="s">
        <v>158</v>
      </c>
      <c r="B162" s="36">
        <v>990424703.70951998</v>
      </c>
    </row>
    <row r="163" spans="1:2" x14ac:dyDescent="0.3">
      <c r="A163" s="34" t="s">
        <v>159</v>
      </c>
      <c r="B163" s="36">
        <v>7503552.2500176802</v>
      </c>
    </row>
    <row r="164" spans="1:2" x14ac:dyDescent="0.3">
      <c r="A164" s="34" t="s">
        <v>160</v>
      </c>
      <c r="B164" s="36">
        <v>4105224433.6645541</v>
      </c>
    </row>
    <row r="165" spans="1:2" x14ac:dyDescent="0.3">
      <c r="A165" s="34" t="s">
        <v>161</v>
      </c>
      <c r="B165" s="36">
        <v>311704238.33234572</v>
      </c>
    </row>
    <row r="166" spans="1:2" x14ac:dyDescent="0.3">
      <c r="A166" s="34" t="s">
        <v>162</v>
      </c>
      <c r="B166" s="36">
        <v>30875267.43404945</v>
      </c>
    </row>
    <row r="167" spans="1:2" x14ac:dyDescent="0.3">
      <c r="A167" s="34" t="s">
        <v>163</v>
      </c>
      <c r="B167" s="36">
        <v>21951982622.317726</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1502974.6334899359</v>
      </c>
    </row>
    <row r="180" spans="1:2" x14ac:dyDescent="0.3">
      <c r="A180" s="34" t="s">
        <v>176</v>
      </c>
      <c r="B180" s="36">
        <v>1022126.8990153038</v>
      </c>
    </row>
    <row r="181" spans="1:2" x14ac:dyDescent="0.3">
      <c r="A181" s="34" t="s">
        <v>177</v>
      </c>
      <c r="B181" s="36">
        <v>0</v>
      </c>
    </row>
    <row r="182" spans="1:2" x14ac:dyDescent="0.3">
      <c r="A182" s="34" t="s">
        <v>178</v>
      </c>
      <c r="B182" s="36">
        <v>1449612.7527593947</v>
      </c>
    </row>
    <row r="183" spans="1:2" x14ac:dyDescent="0.3">
      <c r="A183" s="34" t="s">
        <v>179</v>
      </c>
      <c r="B183" s="36">
        <v>121562.69048274624</v>
      </c>
    </row>
    <row r="184" spans="1:2" x14ac:dyDescent="0.3">
      <c r="A184" s="34" t="s">
        <v>180</v>
      </c>
      <c r="B184" s="36">
        <v>63819526.867415205</v>
      </c>
    </row>
    <row r="185" spans="1:2" x14ac:dyDescent="0.3">
      <c r="A185" s="34" t="s">
        <v>181</v>
      </c>
      <c r="B185" s="36">
        <v>2.6975293883305263E-3</v>
      </c>
    </row>
    <row r="186" spans="1:2" x14ac:dyDescent="0.3">
      <c r="A186" s="34" t="s">
        <v>182</v>
      </c>
      <c r="B186" s="36">
        <v>66992201.470708355</v>
      </c>
    </row>
    <row r="187" spans="1:2" x14ac:dyDescent="0.3">
      <c r="A187" s="34" t="s">
        <v>183</v>
      </c>
      <c r="B187" s="36">
        <v>3304991844.8762884</v>
      </c>
    </row>
    <row r="188" spans="1:2" x14ac:dyDescent="0.3">
      <c r="A188" s="34" t="s">
        <v>184</v>
      </c>
      <c r="B188" s="36">
        <v>254838.56593777868</v>
      </c>
    </row>
    <row r="189" spans="1:2" x14ac:dyDescent="0.3">
      <c r="A189" s="34" t="s">
        <v>185</v>
      </c>
      <c r="B189" s="36">
        <v>88156.421061650515</v>
      </c>
    </row>
    <row r="190" spans="1:2" x14ac:dyDescent="0.3">
      <c r="A190" s="34" t="s">
        <v>186</v>
      </c>
      <c r="B190" s="36">
        <v>309126922.95882475</v>
      </c>
    </row>
    <row r="191" spans="1:2" x14ac:dyDescent="0.3">
      <c r="A191" s="34" t="s">
        <v>187</v>
      </c>
      <c r="B191" s="36">
        <v>0</v>
      </c>
    </row>
    <row r="192" spans="1:2" x14ac:dyDescent="0.3">
      <c r="A192" s="34" t="s">
        <v>188</v>
      </c>
      <c r="B192" s="36">
        <v>0</v>
      </c>
    </row>
    <row r="193" spans="1:2" x14ac:dyDescent="0.3">
      <c r="A193" s="34" t="s">
        <v>189</v>
      </c>
      <c r="B193" s="36">
        <v>0</v>
      </c>
    </row>
    <row r="194" spans="1:2" x14ac:dyDescent="0.3">
      <c r="A194" s="34" t="s">
        <v>190</v>
      </c>
      <c r="B194" s="36">
        <v>5103514823.889596</v>
      </c>
    </row>
    <row r="195" spans="1:2" x14ac:dyDescent="0.3">
      <c r="A195" s="34" t="s">
        <v>191</v>
      </c>
      <c r="B195" s="36">
        <v>6512521070.1186113</v>
      </c>
    </row>
    <row r="196" spans="1:2" x14ac:dyDescent="0.3">
      <c r="A196" s="34" t="s">
        <v>192</v>
      </c>
      <c r="B196" s="36">
        <v>121924333.9304269</v>
      </c>
    </row>
    <row r="197" spans="1:2" x14ac:dyDescent="0.3">
      <c r="A197" s="34" t="s">
        <v>193</v>
      </c>
      <c r="B197" s="36">
        <v>1063073.2824552867</v>
      </c>
    </row>
    <row r="198" spans="1:2" x14ac:dyDescent="0.3">
      <c r="A198" s="34" t="s">
        <v>194</v>
      </c>
      <c r="B198" s="36">
        <v>8.6695094898601598E-4</v>
      </c>
    </row>
    <row r="199" spans="1:2" x14ac:dyDescent="0.3">
      <c r="A199" s="34" t="s">
        <v>195</v>
      </c>
      <c r="B199" s="36">
        <v>601711724.85948479</v>
      </c>
    </row>
    <row r="200" spans="1:2" x14ac:dyDescent="0.3">
      <c r="A200" s="34" t="s">
        <v>196</v>
      </c>
      <c r="B200" s="36">
        <v>0</v>
      </c>
    </row>
    <row r="201" spans="1:2" x14ac:dyDescent="0.3">
      <c r="A201" s="34" t="s">
        <v>197</v>
      </c>
      <c r="B201" s="36">
        <v>558875.54391561809</v>
      </c>
    </row>
    <row r="202" spans="1:2" x14ac:dyDescent="0.3">
      <c r="A202" s="34" t="s">
        <v>198</v>
      </c>
      <c r="B202" s="36">
        <v>153696.88185754037</v>
      </c>
    </row>
    <row r="203" spans="1:2" x14ac:dyDescent="0.3">
      <c r="A203" s="34" t="s">
        <v>199</v>
      </c>
      <c r="B203" s="36">
        <v>7.3131809857429148E-2</v>
      </c>
    </row>
    <row r="204" spans="1:2" x14ac:dyDescent="0.3">
      <c r="A204" s="34" t="s">
        <v>200</v>
      </c>
      <c r="B204" s="36">
        <v>78681647.504298165</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B6E1-2C94-4A16-826A-EB9CE3BEFFE8}">
  <sheetPr codeName="Sheet13"/>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279</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53044297.88269797</v>
      </c>
    </row>
    <row r="6" spans="1:2" x14ac:dyDescent="0.3">
      <c r="A6" s="34" t="s">
        <v>2</v>
      </c>
      <c r="B6" s="36">
        <v>5130429342.5137463</v>
      </c>
    </row>
    <row r="7" spans="1:2" x14ac:dyDescent="0.3">
      <c r="A7" s="34" t="s">
        <v>3</v>
      </c>
      <c r="B7" s="36">
        <v>4456871543.5347538</v>
      </c>
    </row>
    <row r="8" spans="1:2" x14ac:dyDescent="0.3">
      <c r="A8" s="34" t="s">
        <v>4</v>
      </c>
      <c r="B8" s="36">
        <v>15951755.980505472</v>
      </c>
    </row>
    <row r="9" spans="1:2" x14ac:dyDescent="0.3">
      <c r="A9" s="34" t="s">
        <v>5</v>
      </c>
      <c r="B9" s="36">
        <v>10491474.367292391</v>
      </c>
    </row>
    <row r="10" spans="1:2" x14ac:dyDescent="0.3">
      <c r="A10" s="34" t="s">
        <v>6</v>
      </c>
      <c r="B10" s="36">
        <v>68956809.273395538</v>
      </c>
    </row>
    <row r="11" spans="1:2" x14ac:dyDescent="0.3">
      <c r="A11" s="34" t="s">
        <v>7</v>
      </c>
      <c r="B11" s="36">
        <v>0</v>
      </c>
    </row>
    <row r="12" spans="1:2" x14ac:dyDescent="0.3">
      <c r="A12" s="34" t="s">
        <v>8</v>
      </c>
      <c r="B12" s="36">
        <v>1038475.7293542911</v>
      </c>
    </row>
    <row r="13" spans="1:2" x14ac:dyDescent="0.3">
      <c r="A13" s="34" t="s">
        <v>9</v>
      </c>
      <c r="B13" s="36">
        <v>37450455.525394261</v>
      </c>
    </row>
    <row r="14" spans="1:2" x14ac:dyDescent="0.3">
      <c r="A14" s="34" t="s">
        <v>10</v>
      </c>
      <c r="B14" s="36">
        <v>13665794389.687773</v>
      </c>
    </row>
    <row r="15" spans="1:2" x14ac:dyDescent="0.3">
      <c r="A15" s="34" t="s">
        <v>11</v>
      </c>
      <c r="B15" s="36">
        <v>1081821537.6429775</v>
      </c>
    </row>
    <row r="16" spans="1:2" x14ac:dyDescent="0.3">
      <c r="A16" s="34" t="s">
        <v>12</v>
      </c>
      <c r="B16" s="36">
        <v>138263456.5033353</v>
      </c>
    </row>
    <row r="17" spans="1:2" x14ac:dyDescent="0.3">
      <c r="A17" s="34" t="s">
        <v>13</v>
      </c>
      <c r="B17" s="36">
        <v>0</v>
      </c>
    </row>
    <row r="18" spans="1:2" x14ac:dyDescent="0.3">
      <c r="A18" s="34" t="s">
        <v>14</v>
      </c>
      <c r="B18" s="36">
        <v>12626088.72115219</v>
      </c>
    </row>
    <row r="19" spans="1:2" x14ac:dyDescent="0.3">
      <c r="A19" s="34" t="s">
        <v>15</v>
      </c>
      <c r="B19" s="36">
        <v>305320656.81037474</v>
      </c>
    </row>
    <row r="20" spans="1:2" x14ac:dyDescent="0.3">
      <c r="A20" s="34" t="s">
        <v>16</v>
      </c>
      <c r="B20" s="36">
        <v>9890.6325121688351</v>
      </c>
    </row>
    <row r="21" spans="1:2" x14ac:dyDescent="0.3">
      <c r="A21" s="34" t="s">
        <v>17</v>
      </c>
      <c r="B21" s="36">
        <v>0</v>
      </c>
    </row>
    <row r="22" spans="1:2" x14ac:dyDescent="0.3">
      <c r="A22" s="34" t="s">
        <v>18</v>
      </c>
      <c r="B22" s="36">
        <v>88384187.598413631</v>
      </c>
    </row>
    <row r="23" spans="1:2" x14ac:dyDescent="0.3">
      <c r="A23" s="34" t="s">
        <v>19</v>
      </c>
      <c r="B23" s="36">
        <v>251699755.15829843</v>
      </c>
    </row>
    <row r="24" spans="1:2" x14ac:dyDescent="0.3">
      <c r="A24" s="34" t="s">
        <v>20</v>
      </c>
      <c r="B24" s="36">
        <v>7158643691.0309401</v>
      </c>
    </row>
    <row r="25" spans="1:2" x14ac:dyDescent="0.3">
      <c r="A25" s="34" t="s">
        <v>21</v>
      </c>
      <c r="B25" s="36">
        <v>1533796726.4876592</v>
      </c>
    </row>
    <row r="26" spans="1:2" x14ac:dyDescent="0.3">
      <c r="A26" s="34" t="s">
        <v>22</v>
      </c>
      <c r="B26" s="36">
        <v>676604719.32129622</v>
      </c>
    </row>
    <row r="27" spans="1:2" x14ac:dyDescent="0.3">
      <c r="A27" s="34" t="s">
        <v>23</v>
      </c>
      <c r="B27" s="36">
        <v>0</v>
      </c>
    </row>
    <row r="28" spans="1:2" x14ac:dyDescent="0.3">
      <c r="A28" s="34" t="s">
        <v>24</v>
      </c>
      <c r="B28" s="36">
        <v>106586066.71215786</v>
      </c>
    </row>
    <row r="29" spans="1:2" x14ac:dyDescent="0.3">
      <c r="A29" s="34" t="s">
        <v>25</v>
      </c>
      <c r="B29" s="36">
        <v>9593013267.0601826</v>
      </c>
    </row>
    <row r="30" spans="1:2" x14ac:dyDescent="0.3">
      <c r="A30" s="34" t="s">
        <v>26</v>
      </c>
      <c r="B30" s="36">
        <v>9761.7841571000281</v>
      </c>
    </row>
    <row r="31" spans="1:2" x14ac:dyDescent="0.3">
      <c r="A31" s="34" t="s">
        <v>27</v>
      </c>
      <c r="B31" s="36">
        <v>2661203547.6554461</v>
      </c>
    </row>
    <row r="32" spans="1:2" x14ac:dyDescent="0.3">
      <c r="A32" s="34" t="s">
        <v>28</v>
      </c>
      <c r="B32" s="36">
        <v>104187.55735635934</v>
      </c>
    </row>
    <row r="33" spans="1:2" x14ac:dyDescent="0.3">
      <c r="A33" s="34" t="s">
        <v>29</v>
      </c>
      <c r="B33" s="36">
        <v>87317106.887915269</v>
      </c>
    </row>
    <row r="34" spans="1:2" x14ac:dyDescent="0.3">
      <c r="A34" s="34" t="s">
        <v>30</v>
      </c>
      <c r="B34" s="36">
        <v>0</v>
      </c>
    </row>
    <row r="35" spans="1:2" x14ac:dyDescent="0.3">
      <c r="A35" s="34" t="s">
        <v>31</v>
      </c>
      <c r="B35" s="36">
        <v>918622501.34888721</v>
      </c>
    </row>
    <row r="36" spans="1:2" x14ac:dyDescent="0.3">
      <c r="A36" s="34" t="s">
        <v>32</v>
      </c>
      <c r="B36" s="36">
        <v>912538572.08080351</v>
      </c>
    </row>
    <row r="37" spans="1:2" x14ac:dyDescent="0.3">
      <c r="A37" s="34" t="s">
        <v>33</v>
      </c>
      <c r="B37" s="36">
        <v>4107.5095667394444</v>
      </c>
    </row>
    <row r="38" spans="1:2" x14ac:dyDescent="0.3">
      <c r="A38" s="34" t="s">
        <v>34</v>
      </c>
      <c r="B38" s="36">
        <v>2786390379.8811131</v>
      </c>
    </row>
    <row r="39" spans="1:2" x14ac:dyDescent="0.3">
      <c r="A39" s="34" t="s">
        <v>35</v>
      </c>
      <c r="B39" s="36">
        <v>861684709.49624121</v>
      </c>
    </row>
    <row r="40" spans="1:2" x14ac:dyDescent="0.3">
      <c r="A40" s="34" t="s">
        <v>36</v>
      </c>
      <c r="B40" s="36">
        <v>17702148317.882015</v>
      </c>
    </row>
    <row r="41" spans="1:2" x14ac:dyDescent="0.3">
      <c r="A41" s="34" t="s">
        <v>37</v>
      </c>
      <c r="B41" s="36">
        <v>3648667840.9647279</v>
      </c>
    </row>
    <row r="42" spans="1:2" x14ac:dyDescent="0.3">
      <c r="A42" s="34" t="s">
        <v>38</v>
      </c>
      <c r="B42" s="36">
        <v>0</v>
      </c>
    </row>
    <row r="43" spans="1:2" x14ac:dyDescent="0.3">
      <c r="A43" s="34" t="s">
        <v>39</v>
      </c>
      <c r="B43" s="36">
        <v>0</v>
      </c>
    </row>
    <row r="44" spans="1:2" x14ac:dyDescent="0.3">
      <c r="A44" s="34" t="s">
        <v>40</v>
      </c>
      <c r="B44" s="36">
        <v>103537121.73958071</v>
      </c>
    </row>
    <row r="45" spans="1:2" x14ac:dyDescent="0.3">
      <c r="A45" s="34" t="s">
        <v>41</v>
      </c>
      <c r="B45" s="36">
        <v>5143815376.3924656</v>
      </c>
    </row>
    <row r="46" spans="1:2" x14ac:dyDescent="0.3">
      <c r="A46" s="34" t="s">
        <v>42</v>
      </c>
      <c r="B46" s="36">
        <v>1112884.8808156559</v>
      </c>
    </row>
    <row r="47" spans="1:2" x14ac:dyDescent="0.3">
      <c r="A47" s="34" t="s">
        <v>43</v>
      </c>
      <c r="B47" s="36">
        <v>367684133.25122195</v>
      </c>
    </row>
    <row r="48" spans="1:2" x14ac:dyDescent="0.3">
      <c r="A48" s="34" t="s">
        <v>44</v>
      </c>
      <c r="B48" s="36">
        <v>3586517732.2365499</v>
      </c>
    </row>
    <row r="49" spans="1:2" x14ac:dyDescent="0.3">
      <c r="A49" s="34" t="s">
        <v>45</v>
      </c>
      <c r="B49" s="36">
        <v>7989440468.2316046</v>
      </c>
    </row>
    <row r="50" spans="1:2" x14ac:dyDescent="0.3">
      <c r="A50" s="34" t="s">
        <v>46</v>
      </c>
      <c r="B50" s="36">
        <v>90037239.229134962</v>
      </c>
    </row>
    <row r="51" spans="1:2" x14ac:dyDescent="0.3">
      <c r="A51" s="34" t="s">
        <v>47</v>
      </c>
      <c r="B51" s="36">
        <v>250147870.45297033</v>
      </c>
    </row>
    <row r="52" spans="1:2" x14ac:dyDescent="0.3">
      <c r="A52" s="34" t="s">
        <v>48</v>
      </c>
      <c r="B52" s="36">
        <v>519275476.02598125</v>
      </c>
    </row>
    <row r="53" spans="1:2" x14ac:dyDescent="0.3">
      <c r="A53" s="34" t="s">
        <v>49</v>
      </c>
      <c r="B53" s="36">
        <v>45842141.816878513</v>
      </c>
    </row>
    <row r="54" spans="1:2" x14ac:dyDescent="0.3">
      <c r="A54" s="34" t="s">
        <v>50</v>
      </c>
      <c r="B54" s="36">
        <v>18424271.271626469</v>
      </c>
    </row>
    <row r="55" spans="1:2" x14ac:dyDescent="0.3">
      <c r="A55" s="34" t="s">
        <v>51</v>
      </c>
      <c r="B55" s="36">
        <v>43715.710858407911</v>
      </c>
    </row>
    <row r="56" spans="1:2" x14ac:dyDescent="0.3">
      <c r="A56" s="34" t="s">
        <v>52</v>
      </c>
      <c r="B56" s="36">
        <v>127898364.56646536</v>
      </c>
    </row>
    <row r="57" spans="1:2" x14ac:dyDescent="0.3">
      <c r="A57" s="34" t="s">
        <v>53</v>
      </c>
      <c r="B57" s="36">
        <v>2110646.5890529342</v>
      </c>
    </row>
    <row r="58" spans="1:2" x14ac:dyDescent="0.3">
      <c r="A58" s="34" t="s">
        <v>54</v>
      </c>
      <c r="B58" s="36">
        <v>331905.99330934806</v>
      </c>
    </row>
    <row r="59" spans="1:2" x14ac:dyDescent="0.3">
      <c r="A59" s="34" t="s">
        <v>55</v>
      </c>
      <c r="B59" s="36">
        <v>0</v>
      </c>
    </row>
    <row r="60" spans="1:2" x14ac:dyDescent="0.3">
      <c r="A60" s="34" t="s">
        <v>56</v>
      </c>
      <c r="B60" s="36">
        <v>12638648337.632776</v>
      </c>
    </row>
    <row r="61" spans="1:2" x14ac:dyDescent="0.3">
      <c r="A61" s="34" t="s">
        <v>57</v>
      </c>
      <c r="B61" s="36">
        <v>984517841.96202207</v>
      </c>
    </row>
    <row r="62" spans="1:2" x14ac:dyDescent="0.3">
      <c r="A62" s="34" t="s">
        <v>58</v>
      </c>
      <c r="B62" s="36">
        <v>438288430.35672039</v>
      </c>
    </row>
    <row r="63" spans="1:2" x14ac:dyDescent="0.3">
      <c r="A63" s="34" t="s">
        <v>59</v>
      </c>
      <c r="B63" s="36">
        <v>1494143878.9663231</v>
      </c>
    </row>
    <row r="64" spans="1:2" x14ac:dyDescent="0.3">
      <c r="A64" s="34" t="s">
        <v>60</v>
      </c>
      <c r="B64" s="36">
        <v>5081568985.6165752</v>
      </c>
    </row>
    <row r="65" spans="1:2" x14ac:dyDescent="0.3">
      <c r="A65" s="34" t="s">
        <v>61</v>
      </c>
      <c r="B65" s="36">
        <v>1778106.9186063048</v>
      </c>
    </row>
    <row r="66" spans="1:2" x14ac:dyDescent="0.3">
      <c r="A66" s="34" t="s">
        <v>62</v>
      </c>
      <c r="B66" s="36">
        <v>14356459.469770884</v>
      </c>
    </row>
    <row r="67" spans="1:2" x14ac:dyDescent="0.3">
      <c r="A67" s="34" t="s">
        <v>63</v>
      </c>
      <c r="B67" s="36">
        <v>10719023.725556472</v>
      </c>
    </row>
    <row r="68" spans="1:2" x14ac:dyDescent="0.3">
      <c r="A68" s="34" t="s">
        <v>64</v>
      </c>
      <c r="B68" s="36">
        <v>18679786.027981874</v>
      </c>
    </row>
    <row r="69" spans="1:2" x14ac:dyDescent="0.3">
      <c r="A69" s="34" t="s">
        <v>65</v>
      </c>
      <c r="B69" s="36">
        <v>10259629.591627924</v>
      </c>
    </row>
    <row r="70" spans="1:2" x14ac:dyDescent="0.3">
      <c r="A70" s="34" t="s">
        <v>66</v>
      </c>
      <c r="B70" s="36">
        <v>0</v>
      </c>
    </row>
    <row r="71" spans="1:2" x14ac:dyDescent="0.3">
      <c r="A71" s="34" t="s">
        <v>67</v>
      </c>
      <c r="B71" s="36">
        <v>3817868222.2156029</v>
      </c>
    </row>
    <row r="72" spans="1:2" x14ac:dyDescent="0.3">
      <c r="A72" s="34" t="s">
        <v>68</v>
      </c>
      <c r="B72" s="36">
        <v>0</v>
      </c>
    </row>
    <row r="73" spans="1:2" x14ac:dyDescent="0.3">
      <c r="A73" s="34" t="s">
        <v>69</v>
      </c>
      <c r="B73" s="36">
        <v>0</v>
      </c>
    </row>
    <row r="74" spans="1:2" x14ac:dyDescent="0.3">
      <c r="A74" s="34" t="s">
        <v>70</v>
      </c>
      <c r="B74" s="36">
        <v>5372167382.2735929</v>
      </c>
    </row>
    <row r="75" spans="1:2" x14ac:dyDescent="0.3">
      <c r="A75" s="34" t="s">
        <v>71</v>
      </c>
      <c r="B75" s="36">
        <v>0</v>
      </c>
    </row>
    <row r="76" spans="1:2" x14ac:dyDescent="0.3">
      <c r="A76" s="34" t="s">
        <v>72</v>
      </c>
      <c r="B76" s="36">
        <v>3234134202.8207827</v>
      </c>
    </row>
    <row r="77" spans="1:2" x14ac:dyDescent="0.3">
      <c r="A77" s="34" t="s">
        <v>73</v>
      </c>
      <c r="B77" s="36">
        <v>31740595.992409065</v>
      </c>
    </row>
    <row r="78" spans="1:2" x14ac:dyDescent="0.3">
      <c r="A78" s="34" t="s">
        <v>74</v>
      </c>
      <c r="B78" s="36">
        <v>831882795.82206416</v>
      </c>
    </row>
    <row r="79" spans="1:2" x14ac:dyDescent="0.3">
      <c r="A79" s="34" t="s">
        <v>75</v>
      </c>
      <c r="B79" s="36">
        <v>1525036085.8658874</v>
      </c>
    </row>
    <row r="80" spans="1:2" x14ac:dyDescent="0.3">
      <c r="A80" s="34" t="s">
        <v>76</v>
      </c>
      <c r="B80" s="36">
        <v>11083425.801557092</v>
      </c>
    </row>
    <row r="81" spans="1:2" x14ac:dyDescent="0.3">
      <c r="A81" s="34" t="s">
        <v>77</v>
      </c>
      <c r="B81" s="36">
        <v>6297865.9360548817</v>
      </c>
    </row>
    <row r="82" spans="1:2" x14ac:dyDescent="0.3">
      <c r="A82" s="34" t="s">
        <v>78</v>
      </c>
      <c r="B82" s="36">
        <v>270458232.87257576</v>
      </c>
    </row>
    <row r="83" spans="1:2" x14ac:dyDescent="0.3">
      <c r="A83" s="34" t="s">
        <v>79</v>
      </c>
      <c r="B83" s="36">
        <v>18556078.946788542</v>
      </c>
    </row>
    <row r="84" spans="1:2" x14ac:dyDescent="0.3">
      <c r="A84" s="34" t="s">
        <v>80</v>
      </c>
      <c r="B84" s="36">
        <v>16960.299670974495</v>
      </c>
    </row>
    <row r="85" spans="1:2" x14ac:dyDescent="0.3">
      <c r="A85" s="34" t="s">
        <v>81</v>
      </c>
      <c r="B85" s="36">
        <v>190421692.51875252</v>
      </c>
    </row>
    <row r="86" spans="1:2" x14ac:dyDescent="0.3">
      <c r="A86" s="34" t="s">
        <v>82</v>
      </c>
      <c r="B86" s="36">
        <v>4152633894.189085</v>
      </c>
    </row>
    <row r="87" spans="1:2" x14ac:dyDescent="0.3">
      <c r="A87" s="34" t="s">
        <v>83</v>
      </c>
      <c r="B87" s="36">
        <v>450284940.3668415</v>
      </c>
    </row>
    <row r="88" spans="1:2" x14ac:dyDescent="0.3">
      <c r="A88" s="34" t="s">
        <v>84</v>
      </c>
      <c r="B88" s="36">
        <v>8296587.2580556311</v>
      </c>
    </row>
    <row r="89" spans="1:2" x14ac:dyDescent="0.3">
      <c r="A89" s="34" t="s">
        <v>85</v>
      </c>
      <c r="B89" s="36">
        <v>685789252.33751428</v>
      </c>
    </row>
    <row r="90" spans="1:2" x14ac:dyDescent="0.3">
      <c r="A90" s="34" t="s">
        <v>86</v>
      </c>
      <c r="B90" s="36">
        <v>3758765.4812981049</v>
      </c>
    </row>
    <row r="91" spans="1:2" x14ac:dyDescent="0.3">
      <c r="A91" s="34" t="s">
        <v>87</v>
      </c>
      <c r="B91" s="36">
        <v>768855209.80893469</v>
      </c>
    </row>
    <row r="92" spans="1:2" x14ac:dyDescent="0.3">
      <c r="A92" s="34" t="s">
        <v>88</v>
      </c>
      <c r="B92" s="36">
        <v>6261466.5807123007</v>
      </c>
    </row>
    <row r="93" spans="1:2" x14ac:dyDescent="0.3">
      <c r="A93" s="34" t="s">
        <v>89</v>
      </c>
      <c r="B93" s="36">
        <v>5648150772.6589518</v>
      </c>
    </row>
    <row r="94" spans="1:2" x14ac:dyDescent="0.3">
      <c r="A94" s="34" t="s">
        <v>90</v>
      </c>
      <c r="B94" s="36">
        <v>0</v>
      </c>
    </row>
    <row r="95" spans="1:2" x14ac:dyDescent="0.3">
      <c r="A95" s="34" t="s">
        <v>91</v>
      </c>
      <c r="B95" s="36">
        <v>0</v>
      </c>
    </row>
    <row r="96" spans="1:2" x14ac:dyDescent="0.3">
      <c r="A96" s="34" t="s">
        <v>92</v>
      </c>
      <c r="B96" s="36">
        <v>16152454.285238616</v>
      </c>
    </row>
    <row r="97" spans="1:2" x14ac:dyDescent="0.3">
      <c r="A97" s="34" t="s">
        <v>93</v>
      </c>
      <c r="B97" s="36">
        <v>40159367.243891753</v>
      </c>
    </row>
    <row r="98" spans="1:2" x14ac:dyDescent="0.3">
      <c r="A98" s="34" t="s">
        <v>94</v>
      </c>
      <c r="B98" s="36">
        <v>1436260194.5952349</v>
      </c>
    </row>
    <row r="99" spans="1:2" x14ac:dyDescent="0.3">
      <c r="A99" s="34" t="s">
        <v>95</v>
      </c>
      <c r="B99" s="36">
        <v>27427895.145995013</v>
      </c>
    </row>
    <row r="100" spans="1:2" x14ac:dyDescent="0.3">
      <c r="A100" s="34" t="s">
        <v>96</v>
      </c>
      <c r="B100" s="36">
        <v>633081669.7554853</v>
      </c>
    </row>
    <row r="101" spans="1:2" x14ac:dyDescent="0.3">
      <c r="A101" s="34" t="s">
        <v>97</v>
      </c>
      <c r="B101" s="36">
        <v>1427383800.0165629</v>
      </c>
    </row>
    <row r="102" spans="1:2" x14ac:dyDescent="0.3">
      <c r="A102" s="34" t="s">
        <v>98</v>
      </c>
      <c r="B102" s="36">
        <v>14985612.004810985</v>
      </c>
    </row>
    <row r="103" spans="1:2" x14ac:dyDescent="0.3">
      <c r="A103" s="34" t="s">
        <v>99</v>
      </c>
      <c r="B103" s="36">
        <v>618957163.29692495</v>
      </c>
    </row>
    <row r="104" spans="1:2" x14ac:dyDescent="0.3">
      <c r="A104" s="34" t="s">
        <v>100</v>
      </c>
      <c r="B104" s="36">
        <v>1679724719.4353948</v>
      </c>
    </row>
    <row r="105" spans="1:2" x14ac:dyDescent="0.3">
      <c r="A105" s="34" t="s">
        <v>101</v>
      </c>
      <c r="B105" s="36">
        <v>507961113.03157586</v>
      </c>
    </row>
    <row r="106" spans="1:2" x14ac:dyDescent="0.3">
      <c r="A106" s="34" t="s">
        <v>102</v>
      </c>
      <c r="B106" s="36">
        <v>0</v>
      </c>
    </row>
    <row r="107" spans="1:2" x14ac:dyDescent="0.3">
      <c r="A107" s="34" t="s">
        <v>103</v>
      </c>
      <c r="B107" s="36">
        <v>109679548.00955427</v>
      </c>
    </row>
    <row r="108" spans="1:2" x14ac:dyDescent="0.3">
      <c r="A108" s="34" t="s">
        <v>104</v>
      </c>
      <c r="B108" s="36">
        <v>39191.996255510421</v>
      </c>
    </row>
    <row r="109" spans="1:2" x14ac:dyDescent="0.3">
      <c r="A109" s="34" t="s">
        <v>105</v>
      </c>
      <c r="B109" s="36">
        <v>431142171.16756141</v>
      </c>
    </row>
    <row r="110" spans="1:2" x14ac:dyDescent="0.3">
      <c r="A110" s="34" t="s">
        <v>106</v>
      </c>
      <c r="B110" s="36">
        <v>1388233845.6837754</v>
      </c>
    </row>
    <row r="111" spans="1:2" x14ac:dyDescent="0.3">
      <c r="A111" s="34" t="s">
        <v>107</v>
      </c>
      <c r="B111" s="36">
        <v>8254722.9945525154</v>
      </c>
    </row>
    <row r="112" spans="1:2" x14ac:dyDescent="0.3">
      <c r="A112" s="34" t="s">
        <v>108</v>
      </c>
      <c r="B112" s="36">
        <v>1466139671.2455759</v>
      </c>
    </row>
    <row r="113" spans="1:2" x14ac:dyDescent="0.3">
      <c r="A113" s="34" t="s">
        <v>109</v>
      </c>
      <c r="B113" s="36">
        <v>28010.173048309418</v>
      </c>
    </row>
    <row r="114" spans="1:2" x14ac:dyDescent="0.3">
      <c r="A114" s="34" t="s">
        <v>110</v>
      </c>
      <c r="B114" s="36">
        <v>88375.29486730216</v>
      </c>
    </row>
    <row r="115" spans="1:2" x14ac:dyDescent="0.3">
      <c r="A115" s="34" t="s">
        <v>111</v>
      </c>
      <c r="B115" s="36">
        <v>3974567410.506938</v>
      </c>
    </row>
    <row r="116" spans="1:2" x14ac:dyDescent="0.3">
      <c r="A116" s="34" t="s">
        <v>112</v>
      </c>
      <c r="B116" s="36">
        <v>4952624024.8513803</v>
      </c>
    </row>
    <row r="117" spans="1:2" x14ac:dyDescent="0.3">
      <c r="A117" s="34" t="s">
        <v>113</v>
      </c>
      <c r="B117" s="36">
        <v>692130.5900939987</v>
      </c>
    </row>
    <row r="118" spans="1:2" x14ac:dyDescent="0.3">
      <c r="A118" s="34" t="s">
        <v>114</v>
      </c>
      <c r="B118" s="36">
        <v>1260540127.4310684</v>
      </c>
    </row>
    <row r="119" spans="1:2" x14ac:dyDescent="0.3">
      <c r="A119" s="34" t="s">
        <v>115</v>
      </c>
      <c r="B119" s="36">
        <v>1613639416.1181219</v>
      </c>
    </row>
    <row r="120" spans="1:2" x14ac:dyDescent="0.3">
      <c r="A120" s="34" t="s">
        <v>116</v>
      </c>
      <c r="B120" s="36">
        <v>141571887.53318352</v>
      </c>
    </row>
    <row r="121" spans="1:2" x14ac:dyDescent="0.3">
      <c r="A121" s="34" t="s">
        <v>117</v>
      </c>
      <c r="B121" s="36">
        <v>5013899018.6108837</v>
      </c>
    </row>
    <row r="122" spans="1:2" x14ac:dyDescent="0.3">
      <c r="A122" s="34" t="s">
        <v>118</v>
      </c>
      <c r="B122" s="36">
        <v>20842863.111882772</v>
      </c>
    </row>
    <row r="123" spans="1:2" x14ac:dyDescent="0.3">
      <c r="A123" s="34" t="s">
        <v>119</v>
      </c>
      <c r="B123" s="36">
        <v>0</v>
      </c>
    </row>
    <row r="124" spans="1:2" x14ac:dyDescent="0.3">
      <c r="A124" s="34" t="s">
        <v>120</v>
      </c>
      <c r="B124" s="36">
        <v>3310851634.8531981</v>
      </c>
    </row>
    <row r="125" spans="1:2" x14ac:dyDescent="0.3">
      <c r="A125" s="34" t="s">
        <v>121</v>
      </c>
      <c r="B125" s="36">
        <v>36277660.985302433</v>
      </c>
    </row>
    <row r="126" spans="1:2" x14ac:dyDescent="0.3">
      <c r="A126" s="34" t="s">
        <v>122</v>
      </c>
      <c r="B126" s="36">
        <v>3123303824.9111099</v>
      </c>
    </row>
    <row r="127" spans="1:2" x14ac:dyDescent="0.3">
      <c r="A127" s="34" t="s">
        <v>123</v>
      </c>
      <c r="B127" s="36">
        <v>24029.003684660362</v>
      </c>
    </row>
    <row r="128" spans="1:2" x14ac:dyDescent="0.3">
      <c r="A128" s="34" t="s">
        <v>124</v>
      </c>
      <c r="B128" s="36">
        <v>6833372.1569831818</v>
      </c>
    </row>
    <row r="129" spans="1:2" x14ac:dyDescent="0.3">
      <c r="A129" s="34" t="s">
        <v>125</v>
      </c>
      <c r="B129" s="36">
        <v>296467.75525014009</v>
      </c>
    </row>
    <row r="130" spans="1:2" x14ac:dyDescent="0.3">
      <c r="A130" s="34" t="s">
        <v>126</v>
      </c>
      <c r="B130" s="36">
        <v>10393860.998594496</v>
      </c>
    </row>
    <row r="131" spans="1:2" x14ac:dyDescent="0.3">
      <c r="A131" s="34" t="s">
        <v>127</v>
      </c>
      <c r="B131" s="36">
        <v>54912691.082582906</v>
      </c>
    </row>
    <row r="132" spans="1:2" x14ac:dyDescent="0.3">
      <c r="A132" s="34" t="s">
        <v>128</v>
      </c>
      <c r="B132" s="36">
        <v>477109.64549985371</v>
      </c>
    </row>
    <row r="133" spans="1:2" x14ac:dyDescent="0.3">
      <c r="A133" s="34" t="s">
        <v>129</v>
      </c>
      <c r="B133" s="36">
        <v>99588.862116065808</v>
      </c>
    </row>
    <row r="134" spans="1:2" x14ac:dyDescent="0.3">
      <c r="A134" s="34" t="s">
        <v>130</v>
      </c>
      <c r="B134" s="36">
        <v>71772289.280744359</v>
      </c>
    </row>
    <row r="135" spans="1:2" x14ac:dyDescent="0.3">
      <c r="A135" s="34" t="s">
        <v>131</v>
      </c>
      <c r="B135" s="36">
        <v>9455937.6750700548</v>
      </c>
    </row>
    <row r="136" spans="1:2" x14ac:dyDescent="0.3">
      <c r="A136" s="34" t="s">
        <v>132</v>
      </c>
      <c r="B136" s="36">
        <v>7108057.3681815797</v>
      </c>
    </row>
    <row r="137" spans="1:2" x14ac:dyDescent="0.3">
      <c r="A137" s="34" t="s">
        <v>133</v>
      </c>
      <c r="B137" s="36">
        <v>7665406.062518524</v>
      </c>
    </row>
    <row r="138" spans="1:2" x14ac:dyDescent="0.3">
      <c r="A138" s="34" t="s">
        <v>134</v>
      </c>
      <c r="B138" s="36">
        <v>2314549.3777749748</v>
      </c>
    </row>
    <row r="139" spans="1:2" x14ac:dyDescent="0.3">
      <c r="A139" s="34" t="s">
        <v>135</v>
      </c>
      <c r="B139" s="36">
        <v>1523844713.1400065</v>
      </c>
    </row>
    <row r="140" spans="1:2" x14ac:dyDescent="0.3">
      <c r="A140" s="34" t="s">
        <v>136</v>
      </c>
      <c r="B140" s="36">
        <v>529611645.66248512</v>
      </c>
    </row>
    <row r="141" spans="1:2" x14ac:dyDescent="0.3">
      <c r="A141" s="34" t="s">
        <v>137</v>
      </c>
      <c r="B141" s="36">
        <v>5330281.5348827662</v>
      </c>
    </row>
    <row r="142" spans="1:2" x14ac:dyDescent="0.3">
      <c r="A142" s="34" t="s">
        <v>138</v>
      </c>
      <c r="B142" s="36">
        <v>7104.2021416479211</v>
      </c>
    </row>
    <row r="143" spans="1:2" x14ac:dyDescent="0.3">
      <c r="A143" s="34" t="s">
        <v>139</v>
      </c>
      <c r="B143" s="36">
        <v>177192933.35552701</v>
      </c>
    </row>
    <row r="144" spans="1:2" x14ac:dyDescent="0.3">
      <c r="A144" s="34" t="s">
        <v>140</v>
      </c>
      <c r="B144" s="36">
        <v>535051268.68565011</v>
      </c>
    </row>
    <row r="145" spans="1:2" x14ac:dyDescent="0.3">
      <c r="A145" s="34" t="s">
        <v>141</v>
      </c>
      <c r="B145" s="36">
        <v>1261092727.9835789</v>
      </c>
    </row>
    <row r="146" spans="1:2" x14ac:dyDescent="0.3">
      <c r="A146" s="34" t="s">
        <v>142</v>
      </c>
      <c r="B146" s="36">
        <v>195461082.28741941</v>
      </c>
    </row>
    <row r="147" spans="1:2" x14ac:dyDescent="0.3">
      <c r="A147" s="34" t="s">
        <v>143</v>
      </c>
      <c r="B147" s="36">
        <v>222511822.46745121</v>
      </c>
    </row>
    <row r="148" spans="1:2" x14ac:dyDescent="0.3">
      <c r="A148" s="34" t="s">
        <v>144</v>
      </c>
      <c r="B148" s="36">
        <v>983486476.76910377</v>
      </c>
    </row>
    <row r="149" spans="1:2" x14ac:dyDescent="0.3">
      <c r="A149" s="34" t="s">
        <v>145</v>
      </c>
      <c r="B149" s="36">
        <v>150980277.64914539</v>
      </c>
    </row>
    <row r="150" spans="1:2" x14ac:dyDescent="0.3">
      <c r="A150" s="34" t="s">
        <v>146</v>
      </c>
      <c r="B150" s="36">
        <v>68243251.15283446</v>
      </c>
    </row>
    <row r="151" spans="1:2" x14ac:dyDescent="0.3">
      <c r="A151" s="34" t="s">
        <v>147</v>
      </c>
      <c r="B151" s="36">
        <v>0</v>
      </c>
    </row>
    <row r="152" spans="1:2" x14ac:dyDescent="0.3">
      <c r="A152" s="34" t="s">
        <v>148</v>
      </c>
      <c r="B152" s="36">
        <v>509034274.03451204</v>
      </c>
    </row>
    <row r="153" spans="1:2" x14ac:dyDescent="0.3">
      <c r="A153" s="34" t="s">
        <v>149</v>
      </c>
      <c r="B153" s="36">
        <v>806510449.3199712</v>
      </c>
    </row>
    <row r="154" spans="1:2" x14ac:dyDescent="0.3">
      <c r="A154" s="34" t="s">
        <v>150</v>
      </c>
      <c r="B154" s="36">
        <v>1782605518.6662214</v>
      </c>
    </row>
    <row r="155" spans="1:2" x14ac:dyDescent="0.3">
      <c r="A155" s="34" t="s">
        <v>151</v>
      </c>
      <c r="B155" s="36">
        <v>0</v>
      </c>
    </row>
    <row r="156" spans="1:2" x14ac:dyDescent="0.3">
      <c r="A156" s="34" t="s">
        <v>152</v>
      </c>
      <c r="B156" s="36">
        <v>582600574.99211061</v>
      </c>
    </row>
    <row r="157" spans="1:2" x14ac:dyDescent="0.3">
      <c r="A157" s="34" t="s">
        <v>153</v>
      </c>
      <c r="B157" s="36">
        <v>393447675.21429175</v>
      </c>
    </row>
    <row r="158" spans="1:2" x14ac:dyDescent="0.3">
      <c r="A158" s="34" t="s">
        <v>154</v>
      </c>
      <c r="B158" s="36">
        <v>106056714.62912413</v>
      </c>
    </row>
    <row r="159" spans="1:2" x14ac:dyDescent="0.3">
      <c r="A159" s="34" t="s">
        <v>155</v>
      </c>
      <c r="B159" s="36">
        <v>2310374.8482692624</v>
      </c>
    </row>
    <row r="160" spans="1:2" x14ac:dyDescent="0.3">
      <c r="A160" s="34" t="s">
        <v>156</v>
      </c>
      <c r="B160" s="36">
        <v>249610110.72263128</v>
      </c>
    </row>
    <row r="161" spans="1:2" x14ac:dyDescent="0.3">
      <c r="A161" s="34" t="s">
        <v>157</v>
      </c>
      <c r="B161" s="36">
        <v>2052777115.5850768</v>
      </c>
    </row>
    <row r="162" spans="1:2" x14ac:dyDescent="0.3">
      <c r="A162" s="34" t="s">
        <v>158</v>
      </c>
      <c r="B162" s="36">
        <v>182602453.28675148</v>
      </c>
    </row>
    <row r="163" spans="1:2" x14ac:dyDescent="0.3">
      <c r="A163" s="34" t="s">
        <v>159</v>
      </c>
      <c r="B163" s="36">
        <v>35478185.248549998</v>
      </c>
    </row>
    <row r="164" spans="1:2" x14ac:dyDescent="0.3">
      <c r="A164" s="34" t="s">
        <v>160</v>
      </c>
      <c r="B164" s="36">
        <v>13838407475.120806</v>
      </c>
    </row>
    <row r="165" spans="1:2" x14ac:dyDescent="0.3">
      <c r="A165" s="34" t="s">
        <v>161</v>
      </c>
      <c r="B165" s="36">
        <v>48865494.70513767</v>
      </c>
    </row>
    <row r="166" spans="1:2" x14ac:dyDescent="0.3">
      <c r="A166" s="34" t="s">
        <v>162</v>
      </c>
      <c r="B166" s="36">
        <v>184729100.02346119</v>
      </c>
    </row>
    <row r="167" spans="1:2" x14ac:dyDescent="0.3">
      <c r="A167" s="34" t="s">
        <v>163</v>
      </c>
      <c r="B167" s="36">
        <v>12016880060.200825</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273576932.29796726</v>
      </c>
    </row>
    <row r="180" spans="1:2" x14ac:dyDescent="0.3">
      <c r="A180" s="34" t="s">
        <v>176</v>
      </c>
      <c r="B180" s="36">
        <v>12418781.8716392</v>
      </c>
    </row>
    <row r="181" spans="1:2" x14ac:dyDescent="0.3">
      <c r="A181" s="34" t="s">
        <v>177</v>
      </c>
      <c r="B181" s="36">
        <v>0</v>
      </c>
    </row>
    <row r="182" spans="1:2" x14ac:dyDescent="0.3">
      <c r="A182" s="34" t="s">
        <v>178</v>
      </c>
      <c r="B182" s="36">
        <v>83813287.542343378</v>
      </c>
    </row>
    <row r="183" spans="1:2" x14ac:dyDescent="0.3">
      <c r="A183" s="34" t="s">
        <v>179</v>
      </c>
      <c r="B183" s="36">
        <v>34239299.3803223</v>
      </c>
    </row>
    <row r="184" spans="1:2" x14ac:dyDescent="0.3">
      <c r="A184" s="34" t="s">
        <v>180</v>
      </c>
      <c r="B184" s="36">
        <v>129655872.68283436</v>
      </c>
    </row>
    <row r="185" spans="1:2" x14ac:dyDescent="0.3">
      <c r="A185" s="34" t="s">
        <v>181</v>
      </c>
      <c r="B185" s="36">
        <v>1883098.4147469008</v>
      </c>
    </row>
    <row r="186" spans="1:2" x14ac:dyDescent="0.3">
      <c r="A186" s="34" t="s">
        <v>182</v>
      </c>
      <c r="B186" s="36">
        <v>1778291860.3137138</v>
      </c>
    </row>
    <row r="187" spans="1:2" x14ac:dyDescent="0.3">
      <c r="A187" s="34" t="s">
        <v>183</v>
      </c>
      <c r="B187" s="36">
        <v>2731331055.1596475</v>
      </c>
    </row>
    <row r="188" spans="1:2" x14ac:dyDescent="0.3">
      <c r="A188" s="34" t="s">
        <v>184</v>
      </c>
      <c r="B188" s="36">
        <v>3065991.5417239391</v>
      </c>
    </row>
    <row r="189" spans="1:2" x14ac:dyDescent="0.3">
      <c r="A189" s="34" t="s">
        <v>185</v>
      </c>
      <c r="B189" s="36">
        <v>1080123.0485593982</v>
      </c>
    </row>
    <row r="190" spans="1:2" x14ac:dyDescent="0.3">
      <c r="A190" s="34" t="s">
        <v>186</v>
      </c>
      <c r="B190" s="36">
        <v>3065067.8043017355</v>
      </c>
    </row>
    <row r="191" spans="1:2" x14ac:dyDescent="0.3">
      <c r="A191" s="34" t="s">
        <v>187</v>
      </c>
      <c r="B191" s="36">
        <v>0</v>
      </c>
    </row>
    <row r="192" spans="1:2" x14ac:dyDescent="0.3">
      <c r="A192" s="34" t="s">
        <v>188</v>
      </c>
      <c r="B192" s="36">
        <v>1187672522.7109013</v>
      </c>
    </row>
    <row r="193" spans="1:2" x14ac:dyDescent="0.3">
      <c r="A193" s="34" t="s">
        <v>189</v>
      </c>
      <c r="B193" s="36">
        <v>0</v>
      </c>
    </row>
    <row r="194" spans="1:2" x14ac:dyDescent="0.3">
      <c r="A194" s="34" t="s">
        <v>190</v>
      </c>
      <c r="B194" s="36">
        <v>929400729.75756764</v>
      </c>
    </row>
    <row r="195" spans="1:2" x14ac:dyDescent="0.3">
      <c r="A195" s="34" t="s">
        <v>191</v>
      </c>
      <c r="B195" s="36">
        <v>957606509.71452236</v>
      </c>
    </row>
    <row r="196" spans="1:2" x14ac:dyDescent="0.3">
      <c r="A196" s="34" t="s">
        <v>192</v>
      </c>
      <c r="B196" s="36">
        <v>58546217.056595676</v>
      </c>
    </row>
    <row r="197" spans="1:2" x14ac:dyDescent="0.3">
      <c r="A197" s="34" t="s">
        <v>193</v>
      </c>
      <c r="B197" s="36">
        <v>6315815.9524397198</v>
      </c>
    </row>
    <row r="198" spans="1:2" x14ac:dyDescent="0.3">
      <c r="A198" s="34" t="s">
        <v>194</v>
      </c>
      <c r="B198" s="36">
        <v>1997143929.4216692</v>
      </c>
    </row>
    <row r="199" spans="1:2" x14ac:dyDescent="0.3">
      <c r="A199" s="34" t="s">
        <v>195</v>
      </c>
      <c r="B199" s="36">
        <v>2480762799.0961084</v>
      </c>
    </row>
    <row r="200" spans="1:2" x14ac:dyDescent="0.3">
      <c r="A200" s="34" t="s">
        <v>196</v>
      </c>
      <c r="B200" s="36">
        <v>0</v>
      </c>
    </row>
    <row r="201" spans="1:2" x14ac:dyDescent="0.3">
      <c r="A201" s="34" t="s">
        <v>197</v>
      </c>
      <c r="B201" s="36">
        <v>6709912.2892384157</v>
      </c>
    </row>
    <row r="202" spans="1:2" x14ac:dyDescent="0.3">
      <c r="A202" s="34" t="s">
        <v>198</v>
      </c>
      <c r="B202" s="36">
        <v>1840726.3130885605</v>
      </c>
    </row>
    <row r="203" spans="1:2" x14ac:dyDescent="0.3">
      <c r="A203" s="34" t="s">
        <v>199</v>
      </c>
      <c r="B203" s="36">
        <v>8527085.7684009541</v>
      </c>
    </row>
    <row r="204" spans="1:2" x14ac:dyDescent="0.3">
      <c r="A204" s="34" t="s">
        <v>200</v>
      </c>
      <c r="B204" s="36">
        <v>1256850875.7871523</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2272F-617B-4A4F-ABBA-5B5289B4C248}">
  <sheetPr codeName="Sheet14"/>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278</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1182797.8495617579</v>
      </c>
    </row>
    <row r="6" spans="1:2" x14ac:dyDescent="0.3">
      <c r="A6" s="34" t="s">
        <v>2</v>
      </c>
      <c r="B6" s="36">
        <v>18203824309.368294</v>
      </c>
    </row>
    <row r="7" spans="1:2" x14ac:dyDescent="0.3">
      <c r="A7" s="34" t="s">
        <v>3</v>
      </c>
      <c r="B7" s="36">
        <v>66268212.648109496</v>
      </c>
    </row>
    <row r="8" spans="1:2" x14ac:dyDescent="0.3">
      <c r="A8" s="34" t="s">
        <v>4</v>
      </c>
      <c r="B8" s="36">
        <v>545958.52165230922</v>
      </c>
    </row>
    <row r="9" spans="1:2" x14ac:dyDescent="0.3">
      <c r="A9" s="34" t="s">
        <v>5</v>
      </c>
      <c r="B9" s="36">
        <v>427876016.69754308</v>
      </c>
    </row>
    <row r="10" spans="1:2" x14ac:dyDescent="0.3">
      <c r="A10" s="34" t="s">
        <v>6</v>
      </c>
      <c r="B10" s="36">
        <v>20200.103099916923</v>
      </c>
    </row>
    <row r="11" spans="1:2" x14ac:dyDescent="0.3">
      <c r="A11" s="34" t="s">
        <v>7</v>
      </c>
      <c r="B11" s="36">
        <v>0</v>
      </c>
    </row>
    <row r="12" spans="1:2" x14ac:dyDescent="0.3">
      <c r="A12" s="34" t="s">
        <v>8</v>
      </c>
      <c r="B12" s="36">
        <v>6248.7310540327953</v>
      </c>
    </row>
    <row r="13" spans="1:2" x14ac:dyDescent="0.3">
      <c r="A13" s="34" t="s">
        <v>9</v>
      </c>
      <c r="B13" s="36">
        <v>0</v>
      </c>
    </row>
    <row r="14" spans="1:2" x14ac:dyDescent="0.3">
      <c r="A14" s="34" t="s">
        <v>10</v>
      </c>
      <c r="B14" s="36">
        <v>999972286.89249289</v>
      </c>
    </row>
    <row r="15" spans="1:2" x14ac:dyDescent="0.3">
      <c r="A15" s="34" t="s">
        <v>11</v>
      </c>
      <c r="B15" s="36">
        <v>7665022209.9304352</v>
      </c>
    </row>
    <row r="16" spans="1:2" x14ac:dyDescent="0.3">
      <c r="A16" s="34" t="s">
        <v>12</v>
      </c>
      <c r="B16" s="36">
        <v>43078663.037100174</v>
      </c>
    </row>
    <row r="17" spans="1:2" x14ac:dyDescent="0.3">
      <c r="A17" s="34" t="s">
        <v>13</v>
      </c>
      <c r="B17" s="36">
        <v>10329.714496123393</v>
      </c>
    </row>
    <row r="18" spans="1:2" x14ac:dyDescent="0.3">
      <c r="A18" s="34" t="s">
        <v>14</v>
      </c>
      <c r="B18" s="36">
        <v>12335287.104122037</v>
      </c>
    </row>
    <row r="19" spans="1:2" x14ac:dyDescent="0.3">
      <c r="A19" s="34" t="s">
        <v>15</v>
      </c>
      <c r="B19" s="36">
        <v>1798485.5206099229</v>
      </c>
    </row>
    <row r="20" spans="1:2" x14ac:dyDescent="0.3">
      <c r="A20" s="34" t="s">
        <v>16</v>
      </c>
      <c r="B20" s="36">
        <v>81677.535833684931</v>
      </c>
    </row>
    <row r="21" spans="1:2" x14ac:dyDescent="0.3">
      <c r="A21" s="34" t="s">
        <v>17</v>
      </c>
      <c r="B21" s="36">
        <v>0</v>
      </c>
    </row>
    <row r="22" spans="1:2" x14ac:dyDescent="0.3">
      <c r="A22" s="34" t="s">
        <v>18</v>
      </c>
      <c r="B22" s="36">
        <v>7274841.6768897558</v>
      </c>
    </row>
    <row r="23" spans="1:2" x14ac:dyDescent="0.3">
      <c r="A23" s="34" t="s">
        <v>19</v>
      </c>
      <c r="B23" s="36">
        <v>2029605256.910002</v>
      </c>
    </row>
    <row r="24" spans="1:2" x14ac:dyDescent="0.3">
      <c r="A24" s="34" t="s">
        <v>20</v>
      </c>
      <c r="B24" s="36">
        <v>74485317.819344699</v>
      </c>
    </row>
    <row r="25" spans="1:2" x14ac:dyDescent="0.3">
      <c r="A25" s="34" t="s">
        <v>21</v>
      </c>
      <c r="B25" s="36">
        <v>552660067.98675013</v>
      </c>
    </row>
    <row r="26" spans="1:2" x14ac:dyDescent="0.3">
      <c r="A26" s="34" t="s">
        <v>22</v>
      </c>
      <c r="B26" s="36">
        <v>783942301.77025747</v>
      </c>
    </row>
    <row r="27" spans="1:2" x14ac:dyDescent="0.3">
      <c r="A27" s="34" t="s">
        <v>23</v>
      </c>
      <c r="B27" s="36">
        <v>7467165.7913899906</v>
      </c>
    </row>
    <row r="28" spans="1:2" x14ac:dyDescent="0.3">
      <c r="A28" s="34" t="s">
        <v>24</v>
      </c>
      <c r="B28" s="36">
        <v>21662446.77731036</v>
      </c>
    </row>
    <row r="29" spans="1:2" x14ac:dyDescent="0.3">
      <c r="A29" s="34" t="s">
        <v>25</v>
      </c>
      <c r="B29" s="36">
        <v>2389229675.650322</v>
      </c>
    </row>
    <row r="30" spans="1:2" x14ac:dyDescent="0.3">
      <c r="A30" s="34" t="s">
        <v>26</v>
      </c>
      <c r="B30" s="36">
        <v>1062040.7241778828</v>
      </c>
    </row>
    <row r="31" spans="1:2" x14ac:dyDescent="0.3">
      <c r="A31" s="34" t="s">
        <v>27</v>
      </c>
      <c r="B31" s="36">
        <v>829036.06072235352</v>
      </c>
    </row>
    <row r="32" spans="1:2" x14ac:dyDescent="0.3">
      <c r="A32" s="34" t="s">
        <v>28</v>
      </c>
      <c r="B32" s="36">
        <v>0</v>
      </c>
    </row>
    <row r="33" spans="1:2" x14ac:dyDescent="0.3">
      <c r="A33" s="34" t="s">
        <v>29</v>
      </c>
      <c r="B33" s="36">
        <v>183.60621214068937</v>
      </c>
    </row>
    <row r="34" spans="1:2" x14ac:dyDescent="0.3">
      <c r="A34" s="34" t="s">
        <v>30</v>
      </c>
      <c r="B34" s="36">
        <v>798234813.07494152</v>
      </c>
    </row>
    <row r="35" spans="1:2" x14ac:dyDescent="0.3">
      <c r="A35" s="34" t="s">
        <v>31</v>
      </c>
      <c r="B35" s="36">
        <v>5716564312.9408875</v>
      </c>
    </row>
    <row r="36" spans="1:2" x14ac:dyDescent="0.3">
      <c r="A36" s="34" t="s">
        <v>32</v>
      </c>
      <c r="B36" s="36">
        <v>54367563468.660583</v>
      </c>
    </row>
    <row r="37" spans="1:2" x14ac:dyDescent="0.3">
      <c r="A37" s="34" t="s">
        <v>33</v>
      </c>
      <c r="B37" s="36">
        <v>0</v>
      </c>
    </row>
    <row r="38" spans="1:2" x14ac:dyDescent="0.3">
      <c r="A38" s="34" t="s">
        <v>34</v>
      </c>
      <c r="B38" s="36">
        <v>77206176.692036659</v>
      </c>
    </row>
    <row r="39" spans="1:2" x14ac:dyDescent="0.3">
      <c r="A39" s="34" t="s">
        <v>35</v>
      </c>
      <c r="B39" s="36">
        <v>12385981.455674147</v>
      </c>
    </row>
    <row r="40" spans="1:2" x14ac:dyDescent="0.3">
      <c r="A40" s="34" t="s">
        <v>36</v>
      </c>
      <c r="B40" s="36">
        <v>1254005.9692001541</v>
      </c>
    </row>
    <row r="41" spans="1:2" x14ac:dyDescent="0.3">
      <c r="A41" s="34" t="s">
        <v>37</v>
      </c>
      <c r="B41" s="36">
        <v>19771098539.820705</v>
      </c>
    </row>
    <row r="42" spans="1:2" x14ac:dyDescent="0.3">
      <c r="A42" s="34" t="s">
        <v>38</v>
      </c>
      <c r="B42" s="36">
        <v>2357728470.2349677</v>
      </c>
    </row>
    <row r="43" spans="1:2" x14ac:dyDescent="0.3">
      <c r="A43" s="34" t="s">
        <v>39</v>
      </c>
      <c r="B43" s="36">
        <v>5144843863.1617069</v>
      </c>
    </row>
    <row r="44" spans="1:2" x14ac:dyDescent="0.3">
      <c r="A44" s="34" t="s">
        <v>40</v>
      </c>
      <c r="B44" s="36">
        <v>8406838683.5174217</v>
      </c>
    </row>
    <row r="45" spans="1:2" x14ac:dyDescent="0.3">
      <c r="A45" s="34" t="s">
        <v>41</v>
      </c>
      <c r="B45" s="36">
        <v>36575402.287536159</v>
      </c>
    </row>
    <row r="46" spans="1:2" x14ac:dyDescent="0.3">
      <c r="A46" s="34" t="s">
        <v>42</v>
      </c>
      <c r="B46" s="36">
        <v>55962.383162589089</v>
      </c>
    </row>
    <row r="47" spans="1:2" x14ac:dyDescent="0.3">
      <c r="A47" s="34" t="s">
        <v>43</v>
      </c>
      <c r="B47" s="36">
        <v>36983943.711572722</v>
      </c>
    </row>
    <row r="48" spans="1:2" x14ac:dyDescent="0.3">
      <c r="A48" s="34" t="s">
        <v>44</v>
      </c>
      <c r="B48" s="36">
        <v>597215294.30783951</v>
      </c>
    </row>
    <row r="49" spans="1:2" x14ac:dyDescent="0.3">
      <c r="A49" s="34" t="s">
        <v>45</v>
      </c>
      <c r="B49" s="36">
        <v>3376594492.9209313</v>
      </c>
    </row>
    <row r="50" spans="1:2" x14ac:dyDescent="0.3">
      <c r="A50" s="34" t="s">
        <v>46</v>
      </c>
      <c r="B50" s="36">
        <v>152061080.88291052</v>
      </c>
    </row>
    <row r="51" spans="1:2" x14ac:dyDescent="0.3">
      <c r="A51" s="34" t="s">
        <v>47</v>
      </c>
      <c r="B51" s="36">
        <v>950376919.1589843</v>
      </c>
    </row>
    <row r="52" spans="1:2" x14ac:dyDescent="0.3">
      <c r="A52" s="34" t="s">
        <v>48</v>
      </c>
      <c r="B52" s="36">
        <v>817207164.72617948</v>
      </c>
    </row>
    <row r="53" spans="1:2" x14ac:dyDescent="0.3">
      <c r="A53" s="34" t="s">
        <v>49</v>
      </c>
      <c r="B53" s="36">
        <v>36919502.887211516</v>
      </c>
    </row>
    <row r="54" spans="1:2" x14ac:dyDescent="0.3">
      <c r="A54" s="34" t="s">
        <v>50</v>
      </c>
      <c r="B54" s="36">
        <v>0</v>
      </c>
    </row>
    <row r="55" spans="1:2" x14ac:dyDescent="0.3">
      <c r="A55" s="34" t="s">
        <v>51</v>
      </c>
      <c r="B55" s="36">
        <v>1310252.6986229368</v>
      </c>
    </row>
    <row r="56" spans="1:2" x14ac:dyDescent="0.3">
      <c r="A56" s="34" t="s">
        <v>52</v>
      </c>
      <c r="B56" s="36">
        <v>101508814.12988123</v>
      </c>
    </row>
    <row r="57" spans="1:2" x14ac:dyDescent="0.3">
      <c r="A57" s="34" t="s">
        <v>53</v>
      </c>
      <c r="B57" s="36">
        <v>2559557.1964935763</v>
      </c>
    </row>
    <row r="58" spans="1:2" x14ac:dyDescent="0.3">
      <c r="A58" s="34" t="s">
        <v>54</v>
      </c>
      <c r="B58" s="36">
        <v>246512.75990602066</v>
      </c>
    </row>
    <row r="59" spans="1:2" x14ac:dyDescent="0.3">
      <c r="A59" s="34" t="s">
        <v>55</v>
      </c>
      <c r="B59" s="36">
        <v>0</v>
      </c>
    </row>
    <row r="60" spans="1:2" x14ac:dyDescent="0.3">
      <c r="A60" s="34" t="s">
        <v>56</v>
      </c>
      <c r="B60" s="36">
        <v>2719452531.7781672</v>
      </c>
    </row>
    <row r="61" spans="1:2" x14ac:dyDescent="0.3">
      <c r="A61" s="34" t="s">
        <v>57</v>
      </c>
      <c r="B61" s="36">
        <v>1248165417.938983</v>
      </c>
    </row>
    <row r="62" spans="1:2" x14ac:dyDescent="0.3">
      <c r="A62" s="34" t="s">
        <v>58</v>
      </c>
      <c r="B62" s="36">
        <v>2245111043.2790561</v>
      </c>
    </row>
    <row r="63" spans="1:2" x14ac:dyDescent="0.3">
      <c r="A63" s="34" t="s">
        <v>59</v>
      </c>
      <c r="B63" s="36">
        <v>260097067.7920945</v>
      </c>
    </row>
    <row r="64" spans="1:2" x14ac:dyDescent="0.3">
      <c r="A64" s="34" t="s">
        <v>60</v>
      </c>
      <c r="B64" s="36">
        <v>19283647799.948612</v>
      </c>
    </row>
    <row r="65" spans="1:2" x14ac:dyDescent="0.3">
      <c r="A65" s="34" t="s">
        <v>61</v>
      </c>
      <c r="B65" s="36">
        <v>23593539.858073957</v>
      </c>
    </row>
    <row r="66" spans="1:2" x14ac:dyDescent="0.3">
      <c r="A66" s="34" t="s">
        <v>62</v>
      </c>
      <c r="B66" s="36">
        <v>509897203.42974198</v>
      </c>
    </row>
    <row r="67" spans="1:2" x14ac:dyDescent="0.3">
      <c r="A67" s="34" t="s">
        <v>63</v>
      </c>
      <c r="B67" s="36">
        <v>569452321.81583154</v>
      </c>
    </row>
    <row r="68" spans="1:2" x14ac:dyDescent="0.3">
      <c r="A68" s="34" t="s">
        <v>64</v>
      </c>
      <c r="B68" s="36">
        <v>825548596.05315375</v>
      </c>
    </row>
    <row r="69" spans="1:2" x14ac:dyDescent="0.3">
      <c r="A69" s="34" t="s">
        <v>65</v>
      </c>
      <c r="B69" s="36">
        <v>1119255674.9832819</v>
      </c>
    </row>
    <row r="70" spans="1:2" x14ac:dyDescent="0.3">
      <c r="A70" s="34" t="s">
        <v>66</v>
      </c>
      <c r="B70" s="36">
        <v>58137.660532669332</v>
      </c>
    </row>
    <row r="71" spans="1:2" x14ac:dyDescent="0.3">
      <c r="A71" s="34" t="s">
        <v>67</v>
      </c>
      <c r="B71" s="36">
        <v>366613024.28648508</v>
      </c>
    </row>
    <row r="72" spans="1:2" x14ac:dyDescent="0.3">
      <c r="A72" s="34" t="s">
        <v>68</v>
      </c>
      <c r="B72" s="36">
        <v>0</v>
      </c>
    </row>
    <row r="73" spans="1:2" x14ac:dyDescent="0.3">
      <c r="A73" s="34" t="s">
        <v>69</v>
      </c>
      <c r="B73" s="36">
        <v>0</v>
      </c>
    </row>
    <row r="74" spans="1:2" x14ac:dyDescent="0.3">
      <c r="A74" s="34" t="s">
        <v>70</v>
      </c>
      <c r="B74" s="36">
        <v>5132066450.3408175</v>
      </c>
    </row>
    <row r="75" spans="1:2" x14ac:dyDescent="0.3">
      <c r="A75" s="34" t="s">
        <v>71</v>
      </c>
      <c r="B75" s="36">
        <v>0</v>
      </c>
    </row>
    <row r="76" spans="1:2" x14ac:dyDescent="0.3">
      <c r="A76" s="34" t="s">
        <v>72</v>
      </c>
      <c r="B76" s="36">
        <v>61712332.89598731</v>
      </c>
    </row>
    <row r="77" spans="1:2" x14ac:dyDescent="0.3">
      <c r="A77" s="34" t="s">
        <v>73</v>
      </c>
      <c r="B77" s="36">
        <v>7617813138.7644815</v>
      </c>
    </row>
    <row r="78" spans="1:2" x14ac:dyDescent="0.3">
      <c r="A78" s="34" t="s">
        <v>74</v>
      </c>
      <c r="B78" s="36">
        <v>4021942808.3904796</v>
      </c>
    </row>
    <row r="79" spans="1:2" x14ac:dyDescent="0.3">
      <c r="A79" s="34" t="s">
        <v>75</v>
      </c>
      <c r="B79" s="36">
        <v>6446321417.6372557</v>
      </c>
    </row>
    <row r="80" spans="1:2" x14ac:dyDescent="0.3">
      <c r="A80" s="34" t="s">
        <v>76</v>
      </c>
      <c r="B80" s="36">
        <v>1006028973.2736174</v>
      </c>
    </row>
    <row r="81" spans="1:2" x14ac:dyDescent="0.3">
      <c r="A81" s="34" t="s">
        <v>77</v>
      </c>
      <c r="B81" s="36">
        <v>431736622.88573587</v>
      </c>
    </row>
    <row r="82" spans="1:2" x14ac:dyDescent="0.3">
      <c r="A82" s="34" t="s">
        <v>78</v>
      </c>
      <c r="B82" s="36">
        <v>3346389874.2547112</v>
      </c>
    </row>
    <row r="83" spans="1:2" x14ac:dyDescent="0.3">
      <c r="A83" s="34" t="s">
        <v>79</v>
      </c>
      <c r="B83" s="36">
        <v>1164460993.1342895</v>
      </c>
    </row>
    <row r="84" spans="1:2" x14ac:dyDescent="0.3">
      <c r="A84" s="34" t="s">
        <v>80</v>
      </c>
      <c r="B84" s="36">
        <v>0</v>
      </c>
    </row>
    <row r="85" spans="1:2" x14ac:dyDescent="0.3">
      <c r="A85" s="34" t="s">
        <v>81</v>
      </c>
      <c r="B85" s="36">
        <v>135259.24448815189</v>
      </c>
    </row>
    <row r="86" spans="1:2" x14ac:dyDescent="0.3">
      <c r="A86" s="34" t="s">
        <v>82</v>
      </c>
      <c r="B86" s="36">
        <v>222497512.88960469</v>
      </c>
    </row>
    <row r="87" spans="1:2" x14ac:dyDescent="0.3">
      <c r="A87" s="34" t="s">
        <v>83</v>
      </c>
      <c r="B87" s="36">
        <v>13473875.939437352</v>
      </c>
    </row>
    <row r="88" spans="1:2" x14ac:dyDescent="0.3">
      <c r="A88" s="34" t="s">
        <v>84</v>
      </c>
      <c r="B88" s="36">
        <v>0</v>
      </c>
    </row>
    <row r="89" spans="1:2" x14ac:dyDescent="0.3">
      <c r="A89" s="34" t="s">
        <v>85</v>
      </c>
      <c r="B89" s="36">
        <v>681415995.05709851</v>
      </c>
    </row>
    <row r="90" spans="1:2" x14ac:dyDescent="0.3">
      <c r="A90" s="34" t="s">
        <v>86</v>
      </c>
      <c r="B90" s="36">
        <v>203.1492431900021</v>
      </c>
    </row>
    <row r="91" spans="1:2" x14ac:dyDescent="0.3">
      <c r="A91" s="34" t="s">
        <v>87</v>
      </c>
      <c r="B91" s="36">
        <v>363644529.87749565</v>
      </c>
    </row>
    <row r="92" spans="1:2" x14ac:dyDescent="0.3">
      <c r="A92" s="34" t="s">
        <v>88</v>
      </c>
      <c r="B92" s="36">
        <v>248084.34330854693</v>
      </c>
    </row>
    <row r="93" spans="1:2" x14ac:dyDescent="0.3">
      <c r="A93" s="34" t="s">
        <v>89</v>
      </c>
      <c r="B93" s="36">
        <v>8613772241.8927536</v>
      </c>
    </row>
    <row r="94" spans="1:2" x14ac:dyDescent="0.3">
      <c r="A94" s="34" t="s">
        <v>90</v>
      </c>
      <c r="B94" s="36">
        <v>0</v>
      </c>
    </row>
    <row r="95" spans="1:2" x14ac:dyDescent="0.3">
      <c r="A95" s="34" t="s">
        <v>91</v>
      </c>
      <c r="B95" s="36">
        <v>0</v>
      </c>
    </row>
    <row r="96" spans="1:2" x14ac:dyDescent="0.3">
      <c r="A96" s="34" t="s">
        <v>92</v>
      </c>
      <c r="B96" s="36">
        <v>2189857476.2364292</v>
      </c>
    </row>
    <row r="97" spans="1:2" x14ac:dyDescent="0.3">
      <c r="A97" s="34" t="s">
        <v>93</v>
      </c>
      <c r="B97" s="36">
        <v>774063794.30746627</v>
      </c>
    </row>
    <row r="98" spans="1:2" x14ac:dyDescent="0.3">
      <c r="A98" s="34" t="s">
        <v>94</v>
      </c>
      <c r="B98" s="36">
        <v>0</v>
      </c>
    </row>
    <row r="99" spans="1:2" x14ac:dyDescent="0.3">
      <c r="A99" s="34" t="s">
        <v>95</v>
      </c>
      <c r="B99" s="36">
        <v>1156215496.0740697</v>
      </c>
    </row>
    <row r="100" spans="1:2" x14ac:dyDescent="0.3">
      <c r="A100" s="34" t="s">
        <v>96</v>
      </c>
      <c r="B100" s="36">
        <v>7582649480.2079763</v>
      </c>
    </row>
    <row r="101" spans="1:2" x14ac:dyDescent="0.3">
      <c r="A101" s="34" t="s">
        <v>97</v>
      </c>
      <c r="B101" s="36">
        <v>21817328299.452114</v>
      </c>
    </row>
    <row r="102" spans="1:2" x14ac:dyDescent="0.3">
      <c r="A102" s="34" t="s">
        <v>98</v>
      </c>
      <c r="B102" s="36">
        <v>80513007.433767587</v>
      </c>
    </row>
    <row r="103" spans="1:2" x14ac:dyDescent="0.3">
      <c r="A103" s="34" t="s">
        <v>99</v>
      </c>
      <c r="B103" s="36">
        <v>34109624.883869126</v>
      </c>
    </row>
    <row r="104" spans="1:2" x14ac:dyDescent="0.3">
      <c r="A104" s="34" t="s">
        <v>100</v>
      </c>
      <c r="B104" s="36">
        <v>0</v>
      </c>
    </row>
    <row r="105" spans="1:2" x14ac:dyDescent="0.3">
      <c r="A105" s="34" t="s">
        <v>101</v>
      </c>
      <c r="B105" s="36">
        <v>427117811.106655</v>
      </c>
    </row>
    <row r="106" spans="1:2" x14ac:dyDescent="0.3">
      <c r="A106" s="34" t="s">
        <v>102</v>
      </c>
      <c r="B106" s="36">
        <v>0.1774949438412759</v>
      </c>
    </row>
    <row r="107" spans="1:2" x14ac:dyDescent="0.3">
      <c r="A107" s="34" t="s">
        <v>103</v>
      </c>
      <c r="B107" s="36">
        <v>8956942.5575395692</v>
      </c>
    </row>
    <row r="108" spans="1:2" x14ac:dyDescent="0.3">
      <c r="A108" s="34" t="s">
        <v>104</v>
      </c>
      <c r="B108" s="36">
        <v>669180711.8605653</v>
      </c>
    </row>
    <row r="109" spans="1:2" x14ac:dyDescent="0.3">
      <c r="A109" s="34" t="s">
        <v>105</v>
      </c>
      <c r="B109" s="36">
        <v>81363438.558566332</v>
      </c>
    </row>
    <row r="110" spans="1:2" x14ac:dyDescent="0.3">
      <c r="A110" s="34" t="s">
        <v>106</v>
      </c>
      <c r="B110" s="36">
        <v>631134348.63149405</v>
      </c>
    </row>
    <row r="111" spans="1:2" x14ac:dyDescent="0.3">
      <c r="A111" s="34" t="s">
        <v>107</v>
      </c>
      <c r="B111" s="36">
        <v>1054385698.9449232</v>
      </c>
    </row>
    <row r="112" spans="1:2" x14ac:dyDescent="0.3">
      <c r="A112" s="34" t="s">
        <v>108</v>
      </c>
      <c r="B112" s="36">
        <v>361990.26921105199</v>
      </c>
    </row>
    <row r="113" spans="1:2" x14ac:dyDescent="0.3">
      <c r="A113" s="34" t="s">
        <v>109</v>
      </c>
      <c r="B113" s="36">
        <v>0</v>
      </c>
    </row>
    <row r="114" spans="1:2" x14ac:dyDescent="0.3">
      <c r="A114" s="34" t="s">
        <v>110</v>
      </c>
      <c r="B114" s="36">
        <v>0</v>
      </c>
    </row>
    <row r="115" spans="1:2" x14ac:dyDescent="0.3">
      <c r="A115" s="34" t="s">
        <v>111</v>
      </c>
      <c r="B115" s="36">
        <v>4038152733.7000685</v>
      </c>
    </row>
    <row r="116" spans="1:2" x14ac:dyDescent="0.3">
      <c r="A116" s="34" t="s">
        <v>112</v>
      </c>
      <c r="B116" s="36">
        <v>9741825796.2477665</v>
      </c>
    </row>
    <row r="117" spans="1:2" x14ac:dyDescent="0.3">
      <c r="A117" s="34" t="s">
        <v>113</v>
      </c>
      <c r="B117" s="36">
        <v>4324.8873500056843</v>
      </c>
    </row>
    <row r="118" spans="1:2" x14ac:dyDescent="0.3">
      <c r="A118" s="34" t="s">
        <v>114</v>
      </c>
      <c r="B118" s="36">
        <v>6408920.5268842122</v>
      </c>
    </row>
    <row r="119" spans="1:2" x14ac:dyDescent="0.3">
      <c r="A119" s="34" t="s">
        <v>115</v>
      </c>
      <c r="B119" s="36">
        <v>231625300.99529061</v>
      </c>
    </row>
    <row r="120" spans="1:2" x14ac:dyDescent="0.3">
      <c r="A120" s="34" t="s">
        <v>116</v>
      </c>
      <c r="B120" s="36">
        <v>503319572.81172031</v>
      </c>
    </row>
    <row r="121" spans="1:2" x14ac:dyDescent="0.3">
      <c r="A121" s="34" t="s">
        <v>117</v>
      </c>
      <c r="B121" s="36">
        <v>9830329170.5876122</v>
      </c>
    </row>
    <row r="122" spans="1:2" x14ac:dyDescent="0.3">
      <c r="A122" s="34" t="s">
        <v>118</v>
      </c>
      <c r="B122" s="36">
        <v>1831458241.6537819</v>
      </c>
    </row>
    <row r="123" spans="1:2" x14ac:dyDescent="0.3">
      <c r="A123" s="34" t="s">
        <v>119</v>
      </c>
      <c r="B123" s="36">
        <v>0</v>
      </c>
    </row>
    <row r="124" spans="1:2" x14ac:dyDescent="0.3">
      <c r="A124" s="34" t="s">
        <v>120</v>
      </c>
      <c r="B124" s="36">
        <v>91305379.150674164</v>
      </c>
    </row>
    <row r="125" spans="1:2" x14ac:dyDescent="0.3">
      <c r="A125" s="34" t="s">
        <v>121</v>
      </c>
      <c r="B125" s="36">
        <v>4231885.3077342501</v>
      </c>
    </row>
    <row r="126" spans="1:2" x14ac:dyDescent="0.3">
      <c r="A126" s="34" t="s">
        <v>122</v>
      </c>
      <c r="B126" s="36">
        <v>992721063.39639938</v>
      </c>
    </row>
    <row r="127" spans="1:2" x14ac:dyDescent="0.3">
      <c r="A127" s="34" t="s">
        <v>123</v>
      </c>
      <c r="B127" s="36">
        <v>270434.47076439444</v>
      </c>
    </row>
    <row r="128" spans="1:2" x14ac:dyDescent="0.3">
      <c r="A128" s="34" t="s">
        <v>124</v>
      </c>
      <c r="B128" s="36">
        <v>105662828.79566447</v>
      </c>
    </row>
    <row r="129" spans="1:2" x14ac:dyDescent="0.3">
      <c r="A129" s="34" t="s">
        <v>125</v>
      </c>
      <c r="B129" s="36">
        <v>1861129.6225024529</v>
      </c>
    </row>
    <row r="130" spans="1:2" x14ac:dyDescent="0.3">
      <c r="A130" s="34" t="s">
        <v>126</v>
      </c>
      <c r="B130" s="36">
        <v>730506699.8206501</v>
      </c>
    </row>
    <row r="131" spans="1:2" x14ac:dyDescent="0.3">
      <c r="A131" s="34" t="s">
        <v>127</v>
      </c>
      <c r="B131" s="36">
        <v>2671425.9495523935</v>
      </c>
    </row>
    <row r="132" spans="1:2" x14ac:dyDescent="0.3">
      <c r="A132" s="34" t="s">
        <v>128</v>
      </c>
      <c r="B132" s="36">
        <v>0</v>
      </c>
    </row>
    <row r="133" spans="1:2" x14ac:dyDescent="0.3">
      <c r="A133" s="34" t="s">
        <v>129</v>
      </c>
      <c r="B133" s="36">
        <v>0</v>
      </c>
    </row>
    <row r="134" spans="1:2" x14ac:dyDescent="0.3">
      <c r="A134" s="34" t="s">
        <v>130</v>
      </c>
      <c r="B134" s="36">
        <v>658528.27967688662</v>
      </c>
    </row>
    <row r="135" spans="1:2" x14ac:dyDescent="0.3">
      <c r="A135" s="34" t="s">
        <v>131</v>
      </c>
      <c r="B135" s="36">
        <v>623393130.29159248</v>
      </c>
    </row>
    <row r="136" spans="1:2" x14ac:dyDescent="0.3">
      <c r="A136" s="34" t="s">
        <v>132</v>
      </c>
      <c r="B136" s="36">
        <v>10294026.988950379</v>
      </c>
    </row>
    <row r="137" spans="1:2" x14ac:dyDescent="0.3">
      <c r="A137" s="34" t="s">
        <v>133</v>
      </c>
      <c r="B137" s="36">
        <v>141703189.48680273</v>
      </c>
    </row>
    <row r="138" spans="1:2" x14ac:dyDescent="0.3">
      <c r="A138" s="34" t="s">
        <v>134</v>
      </c>
      <c r="B138" s="36">
        <v>50075529.304946393</v>
      </c>
    </row>
    <row r="139" spans="1:2" x14ac:dyDescent="0.3">
      <c r="A139" s="34" t="s">
        <v>135</v>
      </c>
      <c r="B139" s="36">
        <v>9563821352.2919044</v>
      </c>
    </row>
    <row r="140" spans="1:2" x14ac:dyDescent="0.3">
      <c r="A140" s="34" t="s">
        <v>136</v>
      </c>
      <c r="B140" s="36">
        <v>104681751.79842317</v>
      </c>
    </row>
    <row r="141" spans="1:2" x14ac:dyDescent="0.3">
      <c r="A141" s="34" t="s">
        <v>137</v>
      </c>
      <c r="B141" s="36">
        <v>2446891123.5362835</v>
      </c>
    </row>
    <row r="142" spans="1:2" x14ac:dyDescent="0.3">
      <c r="A142" s="34" t="s">
        <v>138</v>
      </c>
      <c r="B142" s="36">
        <v>0</v>
      </c>
    </row>
    <row r="143" spans="1:2" x14ac:dyDescent="0.3">
      <c r="A143" s="34" t="s">
        <v>139</v>
      </c>
      <c r="B143" s="36">
        <v>8280966.6204810543</v>
      </c>
    </row>
    <row r="144" spans="1:2" x14ac:dyDescent="0.3">
      <c r="A144" s="34" t="s">
        <v>140</v>
      </c>
      <c r="B144" s="36">
        <v>129914936.92357345</v>
      </c>
    </row>
    <row r="145" spans="1:2" x14ac:dyDescent="0.3">
      <c r="A145" s="34" t="s">
        <v>141</v>
      </c>
      <c r="B145" s="36">
        <v>24432017.564601533</v>
      </c>
    </row>
    <row r="146" spans="1:2" x14ac:dyDescent="0.3">
      <c r="A146" s="34" t="s">
        <v>142</v>
      </c>
      <c r="B146" s="36">
        <v>10986042.834910167</v>
      </c>
    </row>
    <row r="147" spans="1:2" x14ac:dyDescent="0.3">
      <c r="A147" s="34" t="s">
        <v>143</v>
      </c>
      <c r="B147" s="36">
        <v>759983123.17263675</v>
      </c>
    </row>
    <row r="148" spans="1:2" x14ac:dyDescent="0.3">
      <c r="A148" s="34" t="s">
        <v>144</v>
      </c>
      <c r="B148" s="36">
        <v>20340542187.746136</v>
      </c>
    </row>
    <row r="149" spans="1:2" x14ac:dyDescent="0.3">
      <c r="A149" s="34" t="s">
        <v>145</v>
      </c>
      <c r="B149" s="36">
        <v>1473409906.5127904</v>
      </c>
    </row>
    <row r="150" spans="1:2" x14ac:dyDescent="0.3">
      <c r="A150" s="34" t="s">
        <v>146</v>
      </c>
      <c r="B150" s="36">
        <v>2813088051.685183</v>
      </c>
    </row>
    <row r="151" spans="1:2" x14ac:dyDescent="0.3">
      <c r="A151" s="34" t="s">
        <v>147</v>
      </c>
      <c r="B151" s="36">
        <v>9079797336.3222675</v>
      </c>
    </row>
    <row r="152" spans="1:2" x14ac:dyDescent="0.3">
      <c r="A152" s="34" t="s">
        <v>148</v>
      </c>
      <c r="B152" s="36">
        <v>102156518.91812649</v>
      </c>
    </row>
    <row r="153" spans="1:2" x14ac:dyDescent="0.3">
      <c r="A153" s="34" t="s">
        <v>149</v>
      </c>
      <c r="B153" s="36">
        <v>23336860.515226346</v>
      </c>
    </row>
    <row r="154" spans="1:2" x14ac:dyDescent="0.3">
      <c r="A154" s="34" t="s">
        <v>150</v>
      </c>
      <c r="B154" s="36">
        <v>11056320195.7651</v>
      </c>
    </row>
    <row r="155" spans="1:2" x14ac:dyDescent="0.3">
      <c r="A155" s="34" t="s">
        <v>151</v>
      </c>
      <c r="B155" s="36">
        <v>250574813.65784398</v>
      </c>
    </row>
    <row r="156" spans="1:2" x14ac:dyDescent="0.3">
      <c r="A156" s="34" t="s">
        <v>152</v>
      </c>
      <c r="B156" s="36">
        <v>4872233085.0197697</v>
      </c>
    </row>
    <row r="157" spans="1:2" x14ac:dyDescent="0.3">
      <c r="A157" s="34" t="s">
        <v>153</v>
      </c>
      <c r="B157" s="36">
        <v>938468516.30888546</v>
      </c>
    </row>
    <row r="158" spans="1:2" x14ac:dyDescent="0.3">
      <c r="A158" s="34" t="s">
        <v>154</v>
      </c>
      <c r="B158" s="36">
        <v>46342207.457669474</v>
      </c>
    </row>
    <row r="159" spans="1:2" x14ac:dyDescent="0.3">
      <c r="A159" s="34" t="s">
        <v>155</v>
      </c>
      <c r="B159" s="36">
        <v>1820.4036391272923</v>
      </c>
    </row>
    <row r="160" spans="1:2" x14ac:dyDescent="0.3">
      <c r="A160" s="34" t="s">
        <v>156</v>
      </c>
      <c r="B160" s="36">
        <v>566318922.44524956</v>
      </c>
    </row>
    <row r="161" spans="1:2" x14ac:dyDescent="0.3">
      <c r="A161" s="34" t="s">
        <v>157</v>
      </c>
      <c r="B161" s="36">
        <v>1173512751.4554505</v>
      </c>
    </row>
    <row r="162" spans="1:2" x14ac:dyDescent="0.3">
      <c r="A162" s="34" t="s">
        <v>158</v>
      </c>
      <c r="B162" s="36">
        <v>6630488031.0585423</v>
      </c>
    </row>
    <row r="163" spans="1:2" x14ac:dyDescent="0.3">
      <c r="A163" s="34" t="s">
        <v>159</v>
      </c>
      <c r="B163" s="36">
        <v>25438337.526988298</v>
      </c>
    </row>
    <row r="164" spans="1:2" x14ac:dyDescent="0.3">
      <c r="A164" s="34" t="s">
        <v>160</v>
      </c>
      <c r="B164" s="36">
        <v>2187240983.9511099</v>
      </c>
    </row>
    <row r="165" spans="1:2" x14ac:dyDescent="0.3">
      <c r="A165" s="34" t="s">
        <v>161</v>
      </c>
      <c r="B165" s="36">
        <v>3173530604.1764617</v>
      </c>
    </row>
    <row r="166" spans="1:2" x14ac:dyDescent="0.3">
      <c r="A166" s="34" t="s">
        <v>162</v>
      </c>
      <c r="B166" s="36">
        <v>1302346920.6883481</v>
      </c>
    </row>
    <row r="167" spans="1:2" x14ac:dyDescent="0.3">
      <c r="A167" s="34" t="s">
        <v>163</v>
      </c>
      <c r="B167" s="36">
        <v>6165393062.3202343</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72441620.891650453</v>
      </c>
    </row>
    <row r="180" spans="1:2" x14ac:dyDescent="0.3">
      <c r="A180" s="34" t="s">
        <v>176</v>
      </c>
      <c r="B180" s="36">
        <v>567243101.70800185</v>
      </c>
    </row>
    <row r="181" spans="1:2" x14ac:dyDescent="0.3">
      <c r="A181" s="34" t="s">
        <v>177</v>
      </c>
      <c r="B181" s="36">
        <v>0</v>
      </c>
    </row>
    <row r="182" spans="1:2" x14ac:dyDescent="0.3">
      <c r="A182" s="34" t="s">
        <v>178</v>
      </c>
      <c r="B182" s="36">
        <v>21351293.11662462</v>
      </c>
    </row>
    <row r="183" spans="1:2" x14ac:dyDescent="0.3">
      <c r="A183" s="34" t="s">
        <v>179</v>
      </c>
      <c r="B183" s="36">
        <v>0</v>
      </c>
    </row>
    <row r="184" spans="1:2" x14ac:dyDescent="0.3">
      <c r="A184" s="34" t="s">
        <v>180</v>
      </c>
      <c r="B184" s="36">
        <v>936442848.03045893</v>
      </c>
    </row>
    <row r="185" spans="1:2" x14ac:dyDescent="0.3">
      <c r="A185" s="34" t="s">
        <v>181</v>
      </c>
      <c r="B185" s="36">
        <v>54064.35816210026</v>
      </c>
    </row>
    <row r="186" spans="1:2" x14ac:dyDescent="0.3">
      <c r="A186" s="34" t="s">
        <v>182</v>
      </c>
      <c r="B186" s="36">
        <v>15523621.858264469</v>
      </c>
    </row>
    <row r="187" spans="1:2" x14ac:dyDescent="0.3">
      <c r="A187" s="34" t="s">
        <v>183</v>
      </c>
      <c r="B187" s="36">
        <v>1377951159.9351454</v>
      </c>
    </row>
    <row r="188" spans="1:2" x14ac:dyDescent="0.3">
      <c r="A188" s="34" t="s">
        <v>184</v>
      </c>
      <c r="B188" s="36">
        <v>67075414.167088643</v>
      </c>
    </row>
    <row r="189" spans="1:2" x14ac:dyDescent="0.3">
      <c r="A189" s="34" t="s">
        <v>185</v>
      </c>
      <c r="B189" s="36">
        <v>14648979.843078421</v>
      </c>
    </row>
    <row r="190" spans="1:2" x14ac:dyDescent="0.3">
      <c r="A190" s="34" t="s">
        <v>186</v>
      </c>
      <c r="B190" s="36">
        <v>81512354.836716056</v>
      </c>
    </row>
    <row r="191" spans="1:2" x14ac:dyDescent="0.3">
      <c r="A191" s="34" t="s">
        <v>187</v>
      </c>
      <c r="B191" s="36">
        <v>451854530.41994685</v>
      </c>
    </row>
    <row r="192" spans="1:2" x14ac:dyDescent="0.3">
      <c r="A192" s="34" t="s">
        <v>188</v>
      </c>
      <c r="B192" s="36">
        <v>2262321.8178700437</v>
      </c>
    </row>
    <row r="193" spans="1:2" x14ac:dyDescent="0.3">
      <c r="A193" s="34" t="s">
        <v>189</v>
      </c>
      <c r="B193" s="36">
        <v>414.27425510578678</v>
      </c>
    </row>
    <row r="194" spans="1:2" x14ac:dyDescent="0.3">
      <c r="A194" s="34" t="s">
        <v>190</v>
      </c>
      <c r="B194" s="36">
        <v>3568404508.5534096</v>
      </c>
    </row>
    <row r="195" spans="1:2" x14ac:dyDescent="0.3">
      <c r="A195" s="34" t="s">
        <v>191</v>
      </c>
      <c r="B195" s="36">
        <v>2411334518.2726464</v>
      </c>
    </row>
    <row r="196" spans="1:2" x14ac:dyDescent="0.3">
      <c r="A196" s="34" t="s">
        <v>192</v>
      </c>
      <c r="B196" s="36">
        <v>2378734203.8421745</v>
      </c>
    </row>
    <row r="197" spans="1:2" x14ac:dyDescent="0.3">
      <c r="A197" s="34" t="s">
        <v>193</v>
      </c>
      <c r="B197" s="36">
        <v>15384707.255939938</v>
      </c>
    </row>
    <row r="198" spans="1:2" x14ac:dyDescent="0.3">
      <c r="A198" s="34" t="s">
        <v>194</v>
      </c>
      <c r="B198" s="36">
        <v>308722861.34585249</v>
      </c>
    </row>
    <row r="199" spans="1:2" x14ac:dyDescent="0.3">
      <c r="A199" s="34" t="s">
        <v>195</v>
      </c>
      <c r="B199" s="36">
        <v>406829322.26045287</v>
      </c>
    </row>
    <row r="200" spans="1:2" x14ac:dyDescent="0.3">
      <c r="A200" s="34" t="s">
        <v>196</v>
      </c>
      <c r="B200" s="36">
        <v>0</v>
      </c>
    </row>
    <row r="201" spans="1:2" x14ac:dyDescent="0.3">
      <c r="A201" s="34" t="s">
        <v>197</v>
      </c>
      <c r="B201" s="36">
        <v>97316550.211782366</v>
      </c>
    </row>
    <row r="202" spans="1:2" x14ac:dyDescent="0.3">
      <c r="A202" s="34" t="s">
        <v>198</v>
      </c>
      <c r="B202" s="36">
        <v>61050147.268193625</v>
      </c>
    </row>
    <row r="203" spans="1:2" x14ac:dyDescent="0.3">
      <c r="A203" s="34" t="s">
        <v>199</v>
      </c>
      <c r="B203" s="36">
        <v>782435.00523035601</v>
      </c>
    </row>
    <row r="204" spans="1:2" x14ac:dyDescent="0.3">
      <c r="A204" s="34" t="s">
        <v>200</v>
      </c>
      <c r="B204" s="36">
        <v>1471590.5409660235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665F-4B18-4806-93E3-F138D611FD54}">
  <sheetPr codeName="Sheet15"/>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277</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54315645.457234569</v>
      </c>
    </row>
    <row r="6" spans="1:2" x14ac:dyDescent="0.3">
      <c r="A6" s="34" t="s">
        <v>2</v>
      </c>
      <c r="B6" s="36">
        <v>7045295620.4649134</v>
      </c>
    </row>
    <row r="7" spans="1:2" x14ac:dyDescent="0.3">
      <c r="A7" s="34" t="s">
        <v>3</v>
      </c>
      <c r="B7" s="36">
        <v>1547454014.3940327</v>
      </c>
    </row>
    <row r="8" spans="1:2" x14ac:dyDescent="0.3">
      <c r="A8" s="34" t="s">
        <v>4</v>
      </c>
      <c r="B8" s="36">
        <v>14874328.611856738</v>
      </c>
    </row>
    <row r="9" spans="1:2" x14ac:dyDescent="0.3">
      <c r="A9" s="34" t="s">
        <v>5</v>
      </c>
      <c r="B9" s="36">
        <v>125487233.16024713</v>
      </c>
    </row>
    <row r="10" spans="1:2" x14ac:dyDescent="0.3">
      <c r="A10" s="34" t="s">
        <v>6</v>
      </c>
      <c r="B10" s="36">
        <v>246625.12009862243</v>
      </c>
    </row>
    <row r="11" spans="1:2" x14ac:dyDescent="0.3">
      <c r="A11" s="34" t="s">
        <v>7</v>
      </c>
      <c r="B11" s="36">
        <v>0</v>
      </c>
    </row>
    <row r="12" spans="1:2" x14ac:dyDescent="0.3">
      <c r="A12" s="34" t="s">
        <v>8</v>
      </c>
      <c r="B12" s="36">
        <v>6795820.8766322685</v>
      </c>
    </row>
    <row r="13" spans="1:2" x14ac:dyDescent="0.3">
      <c r="A13" s="34" t="s">
        <v>9</v>
      </c>
      <c r="B13" s="36">
        <v>0</v>
      </c>
    </row>
    <row r="14" spans="1:2" x14ac:dyDescent="0.3">
      <c r="A14" s="34" t="s">
        <v>10</v>
      </c>
      <c r="B14" s="36">
        <v>26418046444.681126</v>
      </c>
    </row>
    <row r="15" spans="1:2" x14ac:dyDescent="0.3">
      <c r="A15" s="34" t="s">
        <v>11</v>
      </c>
      <c r="B15" s="36">
        <v>5999737990.5976524</v>
      </c>
    </row>
    <row r="16" spans="1:2" x14ac:dyDescent="0.3">
      <c r="A16" s="34" t="s">
        <v>12</v>
      </c>
      <c r="B16" s="36">
        <v>133667272.16792968</v>
      </c>
    </row>
    <row r="17" spans="1:2" x14ac:dyDescent="0.3">
      <c r="A17" s="34" t="s">
        <v>13</v>
      </c>
      <c r="B17" s="36">
        <v>48529400.106488302</v>
      </c>
    </row>
    <row r="18" spans="1:2" x14ac:dyDescent="0.3">
      <c r="A18" s="34" t="s">
        <v>14</v>
      </c>
      <c r="B18" s="36">
        <v>6759986.9812639561</v>
      </c>
    </row>
    <row r="19" spans="1:2" x14ac:dyDescent="0.3">
      <c r="A19" s="34" t="s">
        <v>15</v>
      </c>
      <c r="B19" s="36">
        <v>190230521.02412483</v>
      </c>
    </row>
    <row r="20" spans="1:2" x14ac:dyDescent="0.3">
      <c r="A20" s="34" t="s">
        <v>16</v>
      </c>
      <c r="B20" s="36">
        <v>10718020.20459876</v>
      </c>
    </row>
    <row r="21" spans="1:2" x14ac:dyDescent="0.3">
      <c r="A21" s="34" t="s">
        <v>17</v>
      </c>
      <c r="B21" s="36">
        <v>0</v>
      </c>
    </row>
    <row r="22" spans="1:2" x14ac:dyDescent="0.3">
      <c r="A22" s="34" t="s">
        <v>18</v>
      </c>
      <c r="B22" s="36">
        <v>1355810301.0451496</v>
      </c>
    </row>
    <row r="23" spans="1:2" x14ac:dyDescent="0.3">
      <c r="A23" s="34" t="s">
        <v>19</v>
      </c>
      <c r="B23" s="36">
        <v>32413741332.42495</v>
      </c>
    </row>
    <row r="24" spans="1:2" x14ac:dyDescent="0.3">
      <c r="A24" s="34" t="s">
        <v>20</v>
      </c>
      <c r="B24" s="36">
        <v>23378737053.613689</v>
      </c>
    </row>
    <row r="25" spans="1:2" x14ac:dyDescent="0.3">
      <c r="A25" s="34" t="s">
        <v>21</v>
      </c>
      <c r="B25" s="36">
        <v>993820196.66800773</v>
      </c>
    </row>
    <row r="26" spans="1:2" x14ac:dyDescent="0.3">
      <c r="A26" s="34" t="s">
        <v>22</v>
      </c>
      <c r="B26" s="36">
        <v>7138714603.4208221</v>
      </c>
    </row>
    <row r="27" spans="1:2" x14ac:dyDescent="0.3">
      <c r="A27" s="34" t="s">
        <v>23</v>
      </c>
      <c r="B27" s="36">
        <v>391875.20045857091</v>
      </c>
    </row>
    <row r="28" spans="1:2" x14ac:dyDescent="0.3">
      <c r="A28" s="34" t="s">
        <v>24</v>
      </c>
      <c r="B28" s="36">
        <v>306669705.5272271</v>
      </c>
    </row>
    <row r="29" spans="1:2" x14ac:dyDescent="0.3">
      <c r="A29" s="34" t="s">
        <v>25</v>
      </c>
      <c r="B29" s="36">
        <v>5600148112.4638767</v>
      </c>
    </row>
    <row r="30" spans="1:2" x14ac:dyDescent="0.3">
      <c r="A30" s="34" t="s">
        <v>26</v>
      </c>
      <c r="B30" s="36">
        <v>430591897.10756302</v>
      </c>
    </row>
    <row r="31" spans="1:2" x14ac:dyDescent="0.3">
      <c r="A31" s="34" t="s">
        <v>27</v>
      </c>
      <c r="B31" s="36">
        <v>2786781986.0899096</v>
      </c>
    </row>
    <row r="32" spans="1:2" x14ac:dyDescent="0.3">
      <c r="A32" s="34" t="s">
        <v>28</v>
      </c>
      <c r="B32" s="36">
        <v>0</v>
      </c>
    </row>
    <row r="33" spans="1:2" x14ac:dyDescent="0.3">
      <c r="A33" s="34" t="s">
        <v>29</v>
      </c>
      <c r="B33" s="36">
        <v>8912.2575600446871</v>
      </c>
    </row>
    <row r="34" spans="1:2" x14ac:dyDescent="0.3">
      <c r="A34" s="34" t="s">
        <v>30</v>
      </c>
      <c r="B34" s="36">
        <v>1028036014.697714</v>
      </c>
    </row>
    <row r="35" spans="1:2" x14ac:dyDescent="0.3">
      <c r="A35" s="34" t="s">
        <v>31</v>
      </c>
      <c r="B35" s="36">
        <v>2531397109.0725751</v>
      </c>
    </row>
    <row r="36" spans="1:2" x14ac:dyDescent="0.3">
      <c r="A36" s="34" t="s">
        <v>32</v>
      </c>
      <c r="B36" s="36">
        <v>10933382179.038076</v>
      </c>
    </row>
    <row r="37" spans="1:2" x14ac:dyDescent="0.3">
      <c r="A37" s="34" t="s">
        <v>33</v>
      </c>
      <c r="B37" s="36">
        <v>0</v>
      </c>
    </row>
    <row r="38" spans="1:2" x14ac:dyDescent="0.3">
      <c r="A38" s="34" t="s">
        <v>34</v>
      </c>
      <c r="B38" s="36">
        <v>2367431602.2001615</v>
      </c>
    </row>
    <row r="39" spans="1:2" x14ac:dyDescent="0.3">
      <c r="A39" s="34" t="s">
        <v>35</v>
      </c>
      <c r="B39" s="36">
        <v>113007483.23319677</v>
      </c>
    </row>
    <row r="40" spans="1:2" x14ac:dyDescent="0.3">
      <c r="A40" s="34" t="s">
        <v>36</v>
      </c>
      <c r="B40" s="36">
        <v>2627902976.6159682</v>
      </c>
    </row>
    <row r="41" spans="1:2" x14ac:dyDescent="0.3">
      <c r="A41" s="34" t="s">
        <v>37</v>
      </c>
      <c r="B41" s="36">
        <v>20086892921.537842</v>
      </c>
    </row>
    <row r="42" spans="1:2" x14ac:dyDescent="0.3">
      <c r="A42" s="34" t="s">
        <v>38</v>
      </c>
      <c r="B42" s="36">
        <v>4370084311.9764423</v>
      </c>
    </row>
    <row r="43" spans="1:2" x14ac:dyDescent="0.3">
      <c r="A43" s="34" t="s">
        <v>39</v>
      </c>
      <c r="B43" s="36">
        <v>9309628212.3403664</v>
      </c>
    </row>
    <row r="44" spans="1:2" x14ac:dyDescent="0.3">
      <c r="A44" s="34" t="s">
        <v>40</v>
      </c>
      <c r="B44" s="36">
        <v>942722600.5462625</v>
      </c>
    </row>
    <row r="45" spans="1:2" x14ac:dyDescent="0.3">
      <c r="A45" s="34" t="s">
        <v>41</v>
      </c>
      <c r="B45" s="36">
        <v>227095948.96560183</v>
      </c>
    </row>
    <row r="46" spans="1:2" x14ac:dyDescent="0.3">
      <c r="A46" s="34" t="s">
        <v>42</v>
      </c>
      <c r="B46" s="36">
        <v>1481778.45329031</v>
      </c>
    </row>
    <row r="47" spans="1:2" x14ac:dyDescent="0.3">
      <c r="A47" s="34" t="s">
        <v>43</v>
      </c>
      <c r="B47" s="36">
        <v>112188214.07082915</v>
      </c>
    </row>
    <row r="48" spans="1:2" x14ac:dyDescent="0.3">
      <c r="A48" s="34" t="s">
        <v>44</v>
      </c>
      <c r="B48" s="36">
        <v>1794889665.0689235</v>
      </c>
    </row>
    <row r="49" spans="1:2" x14ac:dyDescent="0.3">
      <c r="A49" s="34" t="s">
        <v>45</v>
      </c>
      <c r="B49" s="36">
        <v>10241152585.02277</v>
      </c>
    </row>
    <row r="50" spans="1:2" x14ac:dyDescent="0.3">
      <c r="A50" s="34" t="s">
        <v>46</v>
      </c>
      <c r="B50" s="36">
        <v>459603574.7682814</v>
      </c>
    </row>
    <row r="51" spans="1:2" x14ac:dyDescent="0.3">
      <c r="A51" s="34" t="s">
        <v>47</v>
      </c>
      <c r="B51" s="36">
        <v>2971639354.2947388</v>
      </c>
    </row>
    <row r="52" spans="1:2" x14ac:dyDescent="0.3">
      <c r="A52" s="34" t="s">
        <v>48</v>
      </c>
      <c r="B52" s="36">
        <v>2522001337.0667953</v>
      </c>
    </row>
    <row r="53" spans="1:2" x14ac:dyDescent="0.3">
      <c r="A53" s="34" t="s">
        <v>49</v>
      </c>
      <c r="B53" s="36">
        <v>106635952.87978785</v>
      </c>
    </row>
    <row r="54" spans="1:2" x14ac:dyDescent="0.3">
      <c r="A54" s="34" t="s">
        <v>50</v>
      </c>
      <c r="B54" s="36">
        <v>0</v>
      </c>
    </row>
    <row r="55" spans="1:2" x14ac:dyDescent="0.3">
      <c r="A55" s="34" t="s">
        <v>51</v>
      </c>
      <c r="B55" s="36">
        <v>4428424.9137181733</v>
      </c>
    </row>
    <row r="56" spans="1:2" x14ac:dyDescent="0.3">
      <c r="A56" s="34" t="s">
        <v>52</v>
      </c>
      <c r="B56" s="36">
        <v>303606685.77450544</v>
      </c>
    </row>
    <row r="57" spans="1:2" x14ac:dyDescent="0.3">
      <c r="A57" s="34" t="s">
        <v>53</v>
      </c>
      <c r="B57" s="36">
        <v>7829642.3781072758</v>
      </c>
    </row>
    <row r="58" spans="1:2" x14ac:dyDescent="0.3">
      <c r="A58" s="34" t="s">
        <v>54</v>
      </c>
      <c r="B58" s="36">
        <v>782495.12496014812</v>
      </c>
    </row>
    <row r="59" spans="1:2" x14ac:dyDescent="0.3">
      <c r="A59" s="34" t="s">
        <v>55</v>
      </c>
      <c r="B59" s="36">
        <v>0</v>
      </c>
    </row>
    <row r="60" spans="1:2" x14ac:dyDescent="0.3">
      <c r="A60" s="34" t="s">
        <v>56</v>
      </c>
      <c r="B60" s="36">
        <v>10598180068.386652</v>
      </c>
    </row>
    <row r="61" spans="1:2" x14ac:dyDescent="0.3">
      <c r="A61" s="34" t="s">
        <v>57</v>
      </c>
      <c r="B61" s="36">
        <v>4897091260.4321594</v>
      </c>
    </row>
    <row r="62" spans="1:2" x14ac:dyDescent="0.3">
      <c r="A62" s="34" t="s">
        <v>58</v>
      </c>
      <c r="B62" s="36">
        <v>510665169.71782011</v>
      </c>
    </row>
    <row r="63" spans="1:2" x14ac:dyDescent="0.3">
      <c r="A63" s="34" t="s">
        <v>59</v>
      </c>
      <c r="B63" s="36">
        <v>2452846070.942256</v>
      </c>
    </row>
    <row r="64" spans="1:2" x14ac:dyDescent="0.3">
      <c r="A64" s="34" t="s">
        <v>60</v>
      </c>
      <c r="B64" s="36">
        <v>11556820532.257053</v>
      </c>
    </row>
    <row r="65" spans="1:2" x14ac:dyDescent="0.3">
      <c r="A65" s="34" t="s">
        <v>61</v>
      </c>
      <c r="B65" s="36">
        <v>170390736.75898218</v>
      </c>
    </row>
    <row r="66" spans="1:2" x14ac:dyDescent="0.3">
      <c r="A66" s="34" t="s">
        <v>62</v>
      </c>
      <c r="B66" s="36">
        <v>968004691.82556486</v>
      </c>
    </row>
    <row r="67" spans="1:2" x14ac:dyDescent="0.3">
      <c r="A67" s="34" t="s">
        <v>63</v>
      </c>
      <c r="B67" s="36">
        <v>1570040495.4752219</v>
      </c>
    </row>
    <row r="68" spans="1:2" x14ac:dyDescent="0.3">
      <c r="A68" s="34" t="s">
        <v>64</v>
      </c>
      <c r="B68" s="36">
        <v>1589783479.5282049</v>
      </c>
    </row>
    <row r="69" spans="1:2" x14ac:dyDescent="0.3">
      <c r="A69" s="34" t="s">
        <v>65</v>
      </c>
      <c r="B69" s="36">
        <v>1001028803.7167501</v>
      </c>
    </row>
    <row r="70" spans="1:2" x14ac:dyDescent="0.3">
      <c r="A70" s="34" t="s">
        <v>66</v>
      </c>
      <c r="B70" s="36">
        <v>4181663964.5410314</v>
      </c>
    </row>
    <row r="71" spans="1:2" x14ac:dyDescent="0.3">
      <c r="A71" s="34" t="s">
        <v>67</v>
      </c>
      <c r="B71" s="36">
        <v>709931032.95684731</v>
      </c>
    </row>
    <row r="72" spans="1:2" x14ac:dyDescent="0.3">
      <c r="A72" s="34" t="s">
        <v>68</v>
      </c>
      <c r="B72" s="36">
        <v>0</v>
      </c>
    </row>
    <row r="73" spans="1:2" x14ac:dyDescent="0.3">
      <c r="A73" s="34" t="s">
        <v>69</v>
      </c>
      <c r="B73" s="36">
        <v>0</v>
      </c>
    </row>
    <row r="74" spans="1:2" x14ac:dyDescent="0.3">
      <c r="A74" s="34" t="s">
        <v>70</v>
      </c>
      <c r="B74" s="36">
        <v>4122472650.1237774</v>
      </c>
    </row>
    <row r="75" spans="1:2" x14ac:dyDescent="0.3">
      <c r="A75" s="34" t="s">
        <v>71</v>
      </c>
      <c r="B75" s="36">
        <v>0</v>
      </c>
    </row>
    <row r="76" spans="1:2" x14ac:dyDescent="0.3">
      <c r="A76" s="34" t="s">
        <v>72</v>
      </c>
      <c r="B76" s="36">
        <v>1695380187.22474</v>
      </c>
    </row>
    <row r="77" spans="1:2" x14ac:dyDescent="0.3">
      <c r="A77" s="34" t="s">
        <v>73</v>
      </c>
      <c r="B77" s="36">
        <v>125853138.50076921</v>
      </c>
    </row>
    <row r="78" spans="1:2" x14ac:dyDescent="0.3">
      <c r="A78" s="34" t="s">
        <v>74</v>
      </c>
      <c r="B78" s="36">
        <v>1392997821.0281138</v>
      </c>
    </row>
    <row r="79" spans="1:2" x14ac:dyDescent="0.3">
      <c r="A79" s="34" t="s">
        <v>75</v>
      </c>
      <c r="B79" s="36">
        <v>1072641763.0685993</v>
      </c>
    </row>
    <row r="80" spans="1:2" x14ac:dyDescent="0.3">
      <c r="A80" s="34" t="s">
        <v>76</v>
      </c>
      <c r="B80" s="36">
        <v>2021134231.8098741</v>
      </c>
    </row>
    <row r="81" spans="1:2" x14ac:dyDescent="0.3">
      <c r="A81" s="34" t="s">
        <v>77</v>
      </c>
      <c r="B81" s="36">
        <v>30086125.752204511</v>
      </c>
    </row>
    <row r="82" spans="1:2" x14ac:dyDescent="0.3">
      <c r="A82" s="34" t="s">
        <v>78</v>
      </c>
      <c r="B82" s="36">
        <v>1526199785.4608335</v>
      </c>
    </row>
    <row r="83" spans="1:2" x14ac:dyDescent="0.3">
      <c r="A83" s="34" t="s">
        <v>79</v>
      </c>
      <c r="B83" s="36">
        <v>1598523505.6519399</v>
      </c>
    </row>
    <row r="84" spans="1:2" x14ac:dyDescent="0.3">
      <c r="A84" s="34" t="s">
        <v>80</v>
      </c>
      <c r="B84" s="36">
        <v>0</v>
      </c>
    </row>
    <row r="85" spans="1:2" x14ac:dyDescent="0.3">
      <c r="A85" s="34" t="s">
        <v>81</v>
      </c>
      <c r="B85" s="36">
        <v>293209.51628209581</v>
      </c>
    </row>
    <row r="86" spans="1:2" x14ac:dyDescent="0.3">
      <c r="A86" s="34" t="s">
        <v>82</v>
      </c>
      <c r="B86" s="36">
        <v>3329913062.5256176</v>
      </c>
    </row>
    <row r="87" spans="1:2" x14ac:dyDescent="0.3">
      <c r="A87" s="34" t="s">
        <v>83</v>
      </c>
      <c r="B87" s="36">
        <v>45203193.532882273</v>
      </c>
    </row>
    <row r="88" spans="1:2" x14ac:dyDescent="0.3">
      <c r="A88" s="34" t="s">
        <v>84</v>
      </c>
      <c r="B88" s="36">
        <v>0</v>
      </c>
    </row>
    <row r="89" spans="1:2" x14ac:dyDescent="0.3">
      <c r="A89" s="34" t="s">
        <v>85</v>
      </c>
      <c r="B89" s="36">
        <v>1038731647.0620573</v>
      </c>
    </row>
    <row r="90" spans="1:2" x14ac:dyDescent="0.3">
      <c r="A90" s="34" t="s">
        <v>86</v>
      </c>
      <c r="B90" s="36">
        <v>3596.5468857775486</v>
      </c>
    </row>
    <row r="91" spans="1:2" x14ac:dyDescent="0.3">
      <c r="A91" s="34" t="s">
        <v>87</v>
      </c>
      <c r="B91" s="36">
        <v>319101707.62958336</v>
      </c>
    </row>
    <row r="92" spans="1:2" x14ac:dyDescent="0.3">
      <c r="A92" s="34" t="s">
        <v>88</v>
      </c>
      <c r="B92" s="36">
        <v>150077611.36982754</v>
      </c>
    </row>
    <row r="93" spans="1:2" x14ac:dyDescent="0.3">
      <c r="A93" s="34" t="s">
        <v>89</v>
      </c>
      <c r="B93" s="36">
        <v>8506917290.4911203</v>
      </c>
    </row>
    <row r="94" spans="1:2" x14ac:dyDescent="0.3">
      <c r="A94" s="34" t="s">
        <v>90</v>
      </c>
      <c r="B94" s="36">
        <v>0</v>
      </c>
    </row>
    <row r="95" spans="1:2" x14ac:dyDescent="0.3">
      <c r="A95" s="34" t="s">
        <v>91</v>
      </c>
      <c r="B95" s="36">
        <v>0</v>
      </c>
    </row>
    <row r="96" spans="1:2" x14ac:dyDescent="0.3">
      <c r="A96" s="34" t="s">
        <v>92</v>
      </c>
      <c r="B96" s="36">
        <v>1138194290.8575807</v>
      </c>
    </row>
    <row r="97" spans="1:2" x14ac:dyDescent="0.3">
      <c r="A97" s="34" t="s">
        <v>93</v>
      </c>
      <c r="B97" s="36">
        <v>720164914.99030888</v>
      </c>
    </row>
    <row r="98" spans="1:2" x14ac:dyDescent="0.3">
      <c r="A98" s="34" t="s">
        <v>94</v>
      </c>
      <c r="B98" s="36">
        <v>0</v>
      </c>
    </row>
    <row r="99" spans="1:2" x14ac:dyDescent="0.3">
      <c r="A99" s="34" t="s">
        <v>95</v>
      </c>
      <c r="B99" s="36">
        <v>371603989.19177049</v>
      </c>
    </row>
    <row r="100" spans="1:2" x14ac:dyDescent="0.3">
      <c r="A100" s="34" t="s">
        <v>96</v>
      </c>
      <c r="B100" s="36">
        <v>1581110812.649632</v>
      </c>
    </row>
    <row r="101" spans="1:2" x14ac:dyDescent="0.3">
      <c r="A101" s="34" t="s">
        <v>97</v>
      </c>
      <c r="B101" s="36">
        <v>3526413673.6463394</v>
      </c>
    </row>
    <row r="102" spans="1:2" x14ac:dyDescent="0.3">
      <c r="A102" s="34" t="s">
        <v>98</v>
      </c>
      <c r="B102" s="36">
        <v>189307223.22005853</v>
      </c>
    </row>
    <row r="103" spans="1:2" x14ac:dyDescent="0.3">
      <c r="A103" s="34" t="s">
        <v>99</v>
      </c>
      <c r="B103" s="36">
        <v>1014268266.5460287</v>
      </c>
    </row>
    <row r="104" spans="1:2" x14ac:dyDescent="0.3">
      <c r="A104" s="34" t="s">
        <v>100</v>
      </c>
      <c r="B104" s="36">
        <v>0</v>
      </c>
    </row>
    <row r="105" spans="1:2" x14ac:dyDescent="0.3">
      <c r="A105" s="34" t="s">
        <v>101</v>
      </c>
      <c r="B105" s="36">
        <v>111677731.90463319</v>
      </c>
    </row>
    <row r="106" spans="1:2" x14ac:dyDescent="0.3">
      <c r="A106" s="34" t="s">
        <v>102</v>
      </c>
      <c r="B106" s="36">
        <v>22108667.949246224</v>
      </c>
    </row>
    <row r="107" spans="1:2" x14ac:dyDescent="0.3">
      <c r="A107" s="34" t="s">
        <v>103</v>
      </c>
      <c r="B107" s="36">
        <v>35218867.409418307</v>
      </c>
    </row>
    <row r="108" spans="1:2" x14ac:dyDescent="0.3">
      <c r="A108" s="34" t="s">
        <v>104</v>
      </c>
      <c r="B108" s="36">
        <v>160934871.82150191</v>
      </c>
    </row>
    <row r="109" spans="1:2" x14ac:dyDescent="0.3">
      <c r="A109" s="34" t="s">
        <v>105</v>
      </c>
      <c r="B109" s="36">
        <v>152719006.49201742</v>
      </c>
    </row>
    <row r="110" spans="1:2" x14ac:dyDescent="0.3">
      <c r="A110" s="34" t="s">
        <v>106</v>
      </c>
      <c r="B110" s="36">
        <v>5716463962.0497789</v>
      </c>
    </row>
    <row r="111" spans="1:2" x14ac:dyDescent="0.3">
      <c r="A111" s="34" t="s">
        <v>107</v>
      </c>
      <c r="B111" s="36">
        <v>1492933903.8887241</v>
      </c>
    </row>
    <row r="112" spans="1:2" x14ac:dyDescent="0.3">
      <c r="A112" s="34" t="s">
        <v>108</v>
      </c>
      <c r="B112" s="36">
        <v>931663.24384144566</v>
      </c>
    </row>
    <row r="113" spans="1:2" x14ac:dyDescent="0.3">
      <c r="A113" s="34" t="s">
        <v>109</v>
      </c>
      <c r="B113" s="36">
        <v>0</v>
      </c>
    </row>
    <row r="114" spans="1:2" x14ac:dyDescent="0.3">
      <c r="A114" s="34" t="s">
        <v>110</v>
      </c>
      <c r="B114" s="36">
        <v>20644365.834161267</v>
      </c>
    </row>
    <row r="115" spans="1:2" x14ac:dyDescent="0.3">
      <c r="A115" s="34" t="s">
        <v>111</v>
      </c>
      <c r="B115" s="36">
        <v>9068039484.9444256</v>
      </c>
    </row>
    <row r="116" spans="1:2" x14ac:dyDescent="0.3">
      <c r="A116" s="34" t="s">
        <v>112</v>
      </c>
      <c r="B116" s="36">
        <v>1961822484.3768744</v>
      </c>
    </row>
    <row r="117" spans="1:2" x14ac:dyDescent="0.3">
      <c r="A117" s="34" t="s">
        <v>113</v>
      </c>
      <c r="B117" s="36">
        <v>998592.42838378949</v>
      </c>
    </row>
    <row r="118" spans="1:2" x14ac:dyDescent="0.3">
      <c r="A118" s="34" t="s">
        <v>114</v>
      </c>
      <c r="B118" s="36">
        <v>74795848.039793059</v>
      </c>
    </row>
    <row r="119" spans="1:2" x14ac:dyDescent="0.3">
      <c r="A119" s="34" t="s">
        <v>115</v>
      </c>
      <c r="B119" s="36">
        <v>1884852073.8281438</v>
      </c>
    </row>
    <row r="120" spans="1:2" x14ac:dyDescent="0.3">
      <c r="A120" s="34" t="s">
        <v>116</v>
      </c>
      <c r="B120" s="36">
        <v>324469177.20714194</v>
      </c>
    </row>
    <row r="121" spans="1:2" x14ac:dyDescent="0.3">
      <c r="A121" s="34" t="s">
        <v>117</v>
      </c>
      <c r="B121" s="36">
        <v>9463884600.9989662</v>
      </c>
    </row>
    <row r="122" spans="1:2" x14ac:dyDescent="0.3">
      <c r="A122" s="34" t="s">
        <v>118</v>
      </c>
      <c r="B122" s="36">
        <v>3427181200.8978562</v>
      </c>
    </row>
    <row r="123" spans="1:2" x14ac:dyDescent="0.3">
      <c r="A123" s="34" t="s">
        <v>119</v>
      </c>
      <c r="B123" s="36">
        <v>0</v>
      </c>
    </row>
    <row r="124" spans="1:2" x14ac:dyDescent="0.3">
      <c r="A124" s="34" t="s">
        <v>120</v>
      </c>
      <c r="B124" s="36">
        <v>222452288.05625099</v>
      </c>
    </row>
    <row r="125" spans="1:2" x14ac:dyDescent="0.3">
      <c r="A125" s="34" t="s">
        <v>121</v>
      </c>
      <c r="B125" s="36">
        <v>21771930.467852365</v>
      </c>
    </row>
    <row r="126" spans="1:2" x14ac:dyDescent="0.3">
      <c r="A126" s="34" t="s">
        <v>122</v>
      </c>
      <c r="B126" s="36">
        <v>3437882771.255579</v>
      </c>
    </row>
    <row r="127" spans="1:2" x14ac:dyDescent="0.3">
      <c r="A127" s="34" t="s">
        <v>123</v>
      </c>
      <c r="B127" s="36">
        <v>5547954.5806924012</v>
      </c>
    </row>
    <row r="128" spans="1:2" x14ac:dyDescent="0.3">
      <c r="A128" s="34" t="s">
        <v>124</v>
      </c>
      <c r="B128" s="36">
        <v>589302916.6841383</v>
      </c>
    </row>
    <row r="129" spans="1:2" x14ac:dyDescent="0.3">
      <c r="A129" s="34" t="s">
        <v>125</v>
      </c>
      <c r="B129" s="36">
        <v>28001365.352259416</v>
      </c>
    </row>
    <row r="130" spans="1:2" x14ac:dyDescent="0.3">
      <c r="A130" s="34" t="s">
        <v>126</v>
      </c>
      <c r="B130" s="36">
        <v>1508560788.0208318</v>
      </c>
    </row>
    <row r="131" spans="1:2" x14ac:dyDescent="0.3">
      <c r="A131" s="34" t="s">
        <v>127</v>
      </c>
      <c r="B131" s="36">
        <v>19921556.086057499</v>
      </c>
    </row>
    <row r="132" spans="1:2" x14ac:dyDescent="0.3">
      <c r="A132" s="34" t="s">
        <v>128</v>
      </c>
      <c r="B132" s="36">
        <v>0</v>
      </c>
    </row>
    <row r="133" spans="1:2" x14ac:dyDescent="0.3">
      <c r="A133" s="34" t="s">
        <v>129</v>
      </c>
      <c r="B133" s="36">
        <v>0</v>
      </c>
    </row>
    <row r="134" spans="1:2" x14ac:dyDescent="0.3">
      <c r="A134" s="34" t="s">
        <v>130</v>
      </c>
      <c r="B134" s="36">
        <v>10476800.437837513</v>
      </c>
    </row>
    <row r="135" spans="1:2" x14ac:dyDescent="0.3">
      <c r="A135" s="34" t="s">
        <v>131</v>
      </c>
      <c r="B135" s="36">
        <v>2209321983.6936898</v>
      </c>
    </row>
    <row r="136" spans="1:2" x14ac:dyDescent="0.3">
      <c r="A136" s="34" t="s">
        <v>132</v>
      </c>
      <c r="B136" s="36">
        <v>47837353.080542751</v>
      </c>
    </row>
    <row r="137" spans="1:2" x14ac:dyDescent="0.3">
      <c r="A137" s="34" t="s">
        <v>133</v>
      </c>
      <c r="B137" s="36">
        <v>794746229.37070167</v>
      </c>
    </row>
    <row r="138" spans="1:2" x14ac:dyDescent="0.3">
      <c r="A138" s="34" t="s">
        <v>134</v>
      </c>
      <c r="B138" s="36">
        <v>363925325.05544114</v>
      </c>
    </row>
    <row r="139" spans="1:2" x14ac:dyDescent="0.3">
      <c r="A139" s="34" t="s">
        <v>135</v>
      </c>
      <c r="B139" s="36">
        <v>7117564532.6455002</v>
      </c>
    </row>
    <row r="140" spans="1:2" x14ac:dyDescent="0.3">
      <c r="A140" s="34" t="s">
        <v>136</v>
      </c>
      <c r="B140" s="36">
        <v>3088821673.8205056</v>
      </c>
    </row>
    <row r="141" spans="1:2" x14ac:dyDescent="0.3">
      <c r="A141" s="34" t="s">
        <v>137</v>
      </c>
      <c r="B141" s="36">
        <v>2041761342.7616887</v>
      </c>
    </row>
    <row r="142" spans="1:2" x14ac:dyDescent="0.3">
      <c r="A142" s="34" t="s">
        <v>138</v>
      </c>
      <c r="B142" s="36">
        <v>0</v>
      </c>
    </row>
    <row r="143" spans="1:2" x14ac:dyDescent="0.3">
      <c r="A143" s="34" t="s">
        <v>139</v>
      </c>
      <c r="B143" s="36">
        <v>80776298.947559118</v>
      </c>
    </row>
    <row r="144" spans="1:2" x14ac:dyDescent="0.3">
      <c r="A144" s="34" t="s">
        <v>140</v>
      </c>
      <c r="B144" s="36">
        <v>1378897996.1849856</v>
      </c>
    </row>
    <row r="145" spans="1:2" x14ac:dyDescent="0.3">
      <c r="A145" s="34" t="s">
        <v>141</v>
      </c>
      <c r="B145" s="36">
        <v>14952846.786317466</v>
      </c>
    </row>
    <row r="146" spans="1:2" x14ac:dyDescent="0.3">
      <c r="A146" s="34" t="s">
        <v>142</v>
      </c>
      <c r="B146" s="36">
        <v>46644401.613628045</v>
      </c>
    </row>
    <row r="147" spans="1:2" x14ac:dyDescent="0.3">
      <c r="A147" s="34" t="s">
        <v>143</v>
      </c>
      <c r="B147" s="36">
        <v>2385220639.5003581</v>
      </c>
    </row>
    <row r="148" spans="1:2" x14ac:dyDescent="0.3">
      <c r="A148" s="34" t="s">
        <v>144</v>
      </c>
      <c r="B148" s="36">
        <v>6771213183.0488968</v>
      </c>
    </row>
    <row r="149" spans="1:2" x14ac:dyDescent="0.3">
      <c r="A149" s="34" t="s">
        <v>145</v>
      </c>
      <c r="B149" s="36">
        <v>1055866060.2330319</v>
      </c>
    </row>
    <row r="150" spans="1:2" x14ac:dyDescent="0.3">
      <c r="A150" s="34" t="s">
        <v>146</v>
      </c>
      <c r="B150" s="36">
        <v>413636051.10277128</v>
      </c>
    </row>
    <row r="151" spans="1:2" x14ac:dyDescent="0.3">
      <c r="A151" s="34" t="s">
        <v>147</v>
      </c>
      <c r="B151" s="36">
        <v>5982820333.0322094</v>
      </c>
    </row>
    <row r="152" spans="1:2" x14ac:dyDescent="0.3">
      <c r="A152" s="34" t="s">
        <v>148</v>
      </c>
      <c r="B152" s="36">
        <v>3607625564.7299218</v>
      </c>
    </row>
    <row r="153" spans="1:2" x14ac:dyDescent="0.3">
      <c r="A153" s="34" t="s">
        <v>149</v>
      </c>
      <c r="B153" s="36">
        <v>111729724.89963119</v>
      </c>
    </row>
    <row r="154" spans="1:2" x14ac:dyDescent="0.3">
      <c r="A154" s="34" t="s">
        <v>150</v>
      </c>
      <c r="B154" s="36">
        <v>9978679847.9861126</v>
      </c>
    </row>
    <row r="155" spans="1:2" x14ac:dyDescent="0.3">
      <c r="A155" s="34" t="s">
        <v>151</v>
      </c>
      <c r="B155" s="36">
        <v>26400763325.075924</v>
      </c>
    </row>
    <row r="156" spans="1:2" x14ac:dyDescent="0.3">
      <c r="A156" s="34" t="s">
        <v>152</v>
      </c>
      <c r="B156" s="36">
        <v>1558471324.2326012</v>
      </c>
    </row>
    <row r="157" spans="1:2" x14ac:dyDescent="0.3">
      <c r="A157" s="34" t="s">
        <v>153</v>
      </c>
      <c r="B157" s="36">
        <v>2109682381.5738745</v>
      </c>
    </row>
    <row r="158" spans="1:2" x14ac:dyDescent="0.3">
      <c r="A158" s="34" t="s">
        <v>154</v>
      </c>
      <c r="B158" s="36">
        <v>433338871.34753871</v>
      </c>
    </row>
    <row r="159" spans="1:2" x14ac:dyDescent="0.3">
      <c r="A159" s="34" t="s">
        <v>155</v>
      </c>
      <c r="B159" s="36">
        <v>22971247.993675802</v>
      </c>
    </row>
    <row r="160" spans="1:2" x14ac:dyDescent="0.3">
      <c r="A160" s="34" t="s">
        <v>156</v>
      </c>
      <c r="B160" s="36">
        <v>4872193897.6609135</v>
      </c>
    </row>
    <row r="161" spans="1:2" x14ac:dyDescent="0.3">
      <c r="A161" s="34" t="s">
        <v>157</v>
      </c>
      <c r="B161" s="36">
        <v>4717211939.0684738</v>
      </c>
    </row>
    <row r="162" spans="1:2" x14ac:dyDescent="0.3">
      <c r="A162" s="34" t="s">
        <v>158</v>
      </c>
      <c r="B162" s="36">
        <v>449013478.53131771</v>
      </c>
    </row>
    <row r="163" spans="1:2" x14ac:dyDescent="0.3">
      <c r="A163" s="34" t="s">
        <v>159</v>
      </c>
      <c r="B163" s="36">
        <v>108900854.89709388</v>
      </c>
    </row>
    <row r="164" spans="1:2" x14ac:dyDescent="0.3">
      <c r="A164" s="34" t="s">
        <v>160</v>
      </c>
      <c r="B164" s="36">
        <v>11333895049.857908</v>
      </c>
    </row>
    <row r="165" spans="1:2" x14ac:dyDescent="0.3">
      <c r="A165" s="34" t="s">
        <v>161</v>
      </c>
      <c r="B165" s="36">
        <v>150760400.23962623</v>
      </c>
    </row>
    <row r="166" spans="1:2" x14ac:dyDescent="0.3">
      <c r="A166" s="34" t="s">
        <v>162</v>
      </c>
      <c r="B166" s="36">
        <v>1377668383.6668119</v>
      </c>
    </row>
    <row r="167" spans="1:2" x14ac:dyDescent="0.3">
      <c r="A167" s="34" t="s">
        <v>163</v>
      </c>
      <c r="B167" s="36">
        <v>58886811227.328094</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3890107200.5362959</v>
      </c>
    </row>
    <row r="180" spans="1:2" x14ac:dyDescent="0.3">
      <c r="A180" s="34" t="s">
        <v>176</v>
      </c>
      <c r="B180" s="36">
        <v>1197836198.6428909</v>
      </c>
    </row>
    <row r="181" spans="1:2" x14ac:dyDescent="0.3">
      <c r="A181" s="34" t="s">
        <v>177</v>
      </c>
      <c r="B181" s="36">
        <v>7947808895.3040924</v>
      </c>
    </row>
    <row r="182" spans="1:2" x14ac:dyDescent="0.3">
      <c r="A182" s="34" t="s">
        <v>178</v>
      </c>
      <c r="B182" s="36">
        <v>1176168346.431612</v>
      </c>
    </row>
    <row r="183" spans="1:2" x14ac:dyDescent="0.3">
      <c r="A183" s="34" t="s">
        <v>179</v>
      </c>
      <c r="B183" s="36">
        <v>0</v>
      </c>
    </row>
    <row r="184" spans="1:2" x14ac:dyDescent="0.3">
      <c r="A184" s="34" t="s">
        <v>180</v>
      </c>
      <c r="B184" s="36">
        <v>1689305112.6936483</v>
      </c>
    </row>
    <row r="185" spans="1:2" x14ac:dyDescent="0.3">
      <c r="A185" s="34" t="s">
        <v>181</v>
      </c>
      <c r="B185" s="36">
        <v>2396539929.7091942</v>
      </c>
    </row>
    <row r="186" spans="1:2" x14ac:dyDescent="0.3">
      <c r="A186" s="34" t="s">
        <v>182</v>
      </c>
      <c r="B186" s="36">
        <v>462473660.49145651</v>
      </c>
    </row>
    <row r="187" spans="1:2" x14ac:dyDescent="0.3">
      <c r="A187" s="34" t="s">
        <v>183</v>
      </c>
      <c r="B187" s="36">
        <v>2557077121.6043735</v>
      </c>
    </row>
    <row r="188" spans="1:2" x14ac:dyDescent="0.3">
      <c r="A188" s="34" t="s">
        <v>184</v>
      </c>
      <c r="B188" s="36">
        <v>496154077.74786025</v>
      </c>
    </row>
    <row r="189" spans="1:2" x14ac:dyDescent="0.3">
      <c r="A189" s="34" t="s">
        <v>185</v>
      </c>
      <c r="B189" s="36">
        <v>137604372.56226462</v>
      </c>
    </row>
    <row r="190" spans="1:2" x14ac:dyDescent="0.3">
      <c r="A190" s="34" t="s">
        <v>186</v>
      </c>
      <c r="B190" s="36">
        <v>13048558.882558038</v>
      </c>
    </row>
    <row r="191" spans="1:2" x14ac:dyDescent="0.3">
      <c r="A191" s="34" t="s">
        <v>187</v>
      </c>
      <c r="B191" s="36">
        <v>1478922612.4123931</v>
      </c>
    </row>
    <row r="192" spans="1:2" x14ac:dyDescent="0.3">
      <c r="A192" s="34" t="s">
        <v>188</v>
      </c>
      <c r="B192" s="36">
        <v>1760795103.4727645</v>
      </c>
    </row>
    <row r="193" spans="1:2" x14ac:dyDescent="0.3">
      <c r="A193" s="34" t="s">
        <v>189</v>
      </c>
      <c r="B193" s="36">
        <v>211555.06579938831</v>
      </c>
    </row>
    <row r="194" spans="1:2" x14ac:dyDescent="0.3">
      <c r="A194" s="34" t="s">
        <v>190</v>
      </c>
      <c r="B194" s="36">
        <v>3409093380.6585355</v>
      </c>
    </row>
    <row r="195" spans="1:2" x14ac:dyDescent="0.3">
      <c r="A195" s="34" t="s">
        <v>191</v>
      </c>
      <c r="B195" s="36">
        <v>422635057.24222958</v>
      </c>
    </row>
    <row r="196" spans="1:2" x14ac:dyDescent="0.3">
      <c r="A196" s="34" t="s">
        <v>192</v>
      </c>
      <c r="B196" s="36">
        <v>8043472007.5947104</v>
      </c>
    </row>
    <row r="197" spans="1:2" x14ac:dyDescent="0.3">
      <c r="A197" s="34" t="s">
        <v>193</v>
      </c>
      <c r="B197" s="36">
        <v>125765613.31155199</v>
      </c>
    </row>
    <row r="198" spans="1:2" x14ac:dyDescent="0.3">
      <c r="A198" s="34" t="s">
        <v>194</v>
      </c>
      <c r="B198" s="36">
        <v>26796595865.282196</v>
      </c>
    </row>
    <row r="199" spans="1:2" x14ac:dyDescent="0.3">
      <c r="A199" s="34" t="s">
        <v>195</v>
      </c>
      <c r="B199" s="36">
        <v>3061805331.3277802</v>
      </c>
    </row>
    <row r="200" spans="1:2" x14ac:dyDescent="0.3">
      <c r="A200" s="34" t="s">
        <v>196</v>
      </c>
      <c r="B200" s="36">
        <v>0</v>
      </c>
    </row>
    <row r="201" spans="1:2" x14ac:dyDescent="0.3">
      <c r="A201" s="34" t="s">
        <v>197</v>
      </c>
      <c r="B201" s="36">
        <v>542022894.68545544</v>
      </c>
    </row>
    <row r="202" spans="1:2" x14ac:dyDescent="0.3">
      <c r="A202" s="34" t="s">
        <v>198</v>
      </c>
      <c r="B202" s="36">
        <v>338560323.28310317</v>
      </c>
    </row>
    <row r="203" spans="1:2" x14ac:dyDescent="0.3">
      <c r="A203" s="34" t="s">
        <v>199</v>
      </c>
      <c r="B203" s="36">
        <v>5521366.6668852642</v>
      </c>
    </row>
    <row r="204" spans="1:2" x14ac:dyDescent="0.3">
      <c r="A204" s="34" t="s">
        <v>200</v>
      </c>
      <c r="B204" s="36">
        <v>28161991.627110176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4450-49C0-4E50-8A90-B9323AF8E2A9}">
  <sheetPr codeName="Sheet5"/>
  <dimension ref="A1:N209"/>
  <sheetViews>
    <sheetView zoomScaleNormal="100" workbookViewId="0">
      <selection sqref="A1:B2"/>
    </sheetView>
  </sheetViews>
  <sheetFormatPr defaultRowHeight="14.4" x14ac:dyDescent="0.3"/>
  <cols>
    <col min="1" max="1" width="71.33203125" customWidth="1"/>
    <col min="2" max="2" width="55.6640625" customWidth="1"/>
    <col min="3" max="3" width="25.44140625" customWidth="1"/>
    <col min="4" max="4" width="17.6640625" customWidth="1"/>
    <col min="5" max="5" width="22.109375" customWidth="1"/>
    <col min="6" max="6" width="18.5546875" customWidth="1"/>
    <col min="7" max="8" width="12.6640625" customWidth="1"/>
    <col min="9" max="9" width="12.44140625" customWidth="1"/>
    <col min="10" max="10" width="10" bestFit="1" customWidth="1"/>
  </cols>
  <sheetData>
    <row r="1" spans="1:14" ht="24" thickBot="1" x14ac:dyDescent="0.5">
      <c r="A1" s="10" t="s">
        <v>242</v>
      </c>
      <c r="B1" s="38" t="s">
        <v>276</v>
      </c>
    </row>
    <row r="2" spans="1:14" ht="21" thickTop="1" thickBot="1" x14ac:dyDescent="0.45">
      <c r="A2" s="10" t="s">
        <v>243</v>
      </c>
      <c r="B2" t="s">
        <v>280</v>
      </c>
    </row>
    <row r="3" spans="1:14" ht="15" thickTop="1" x14ac:dyDescent="0.3"/>
    <row r="4" spans="1:14" x14ac:dyDescent="0.3">
      <c r="D4" t="s">
        <v>301</v>
      </c>
      <c r="E4" t="s">
        <v>302</v>
      </c>
    </row>
    <row r="5" spans="1:14" x14ac:dyDescent="0.3">
      <c r="A5" t="s">
        <v>269</v>
      </c>
      <c r="B5" t="s">
        <v>270</v>
      </c>
      <c r="C5" s="37">
        <v>592000000000</v>
      </c>
      <c r="D5" s="35">
        <f>VLOOKUP("Plastics, basic", $A$10:$B$209, 2, FALSE)/$C5</f>
        <v>3.6734844381108842E-2</v>
      </c>
      <c r="E5" s="35">
        <f>VLOOKUP("Chemicals nec", $A$10:$B$209, 2, FALSE)/$C5</f>
        <v>3.7470004704111499E-2</v>
      </c>
    </row>
    <row r="6" spans="1:14" x14ac:dyDescent="0.3">
      <c r="A6" t="s">
        <v>271</v>
      </c>
      <c r="B6" t="s">
        <v>272</v>
      </c>
      <c r="C6" s="37">
        <v>390000000000</v>
      </c>
      <c r="D6" s="35">
        <f t="shared" ref="D6:D7" si="0">VLOOKUP("Plastics, basic", $A$10:$B$209, 2, FALSE)/$C6</f>
        <v>5.5761609932349826E-2</v>
      </c>
      <c r="E6" s="35">
        <f t="shared" ref="E6:E7" si="1">VLOOKUP("Chemicals nec", $A$10:$B$209, 2, FALSE)/$C6</f>
        <v>5.687754560213848E-2</v>
      </c>
    </row>
    <row r="7" spans="1:14" x14ac:dyDescent="0.3">
      <c r="A7" t="s">
        <v>273</v>
      </c>
      <c r="B7" t="s">
        <v>274</v>
      </c>
      <c r="C7" s="37">
        <v>116000000000</v>
      </c>
      <c r="D7" s="35">
        <f t="shared" si="0"/>
        <v>0.18747437822083132</v>
      </c>
      <c r="E7" s="35">
        <f t="shared" si="1"/>
        <v>0.19122623090374144</v>
      </c>
    </row>
    <row r="9" spans="1:14" x14ac:dyDescent="0.3">
      <c r="A9" s="8" t="s">
        <v>203</v>
      </c>
      <c r="B9" s="8" t="s">
        <v>244</v>
      </c>
      <c r="C9" s="8" t="s">
        <v>263</v>
      </c>
      <c r="D9" s="8" t="s">
        <v>264</v>
      </c>
      <c r="E9" s="8" t="s">
        <v>265</v>
      </c>
      <c r="F9" s="8" t="s">
        <v>266</v>
      </c>
      <c r="G9" s="8" t="s">
        <v>201</v>
      </c>
      <c r="H9" s="8" t="s">
        <v>202</v>
      </c>
    </row>
    <row r="10" spans="1:14" x14ac:dyDescent="0.3">
      <c r="A10" s="9" t="s">
        <v>163</v>
      </c>
      <c r="B10" s="29">
        <f t="shared" ref="B10:B41" si="2">SUM(C10:F10)</f>
        <v>99021066972.16687</v>
      </c>
      <c r="C10" s="4">
        <f>VLOOKUP(A10, output_exiobase_v3.10.2_EXIO_IOT_2022_pxp_Y_imports_footprint_FR[], 2, FALSE)</f>
        <v>21951982622.317726</v>
      </c>
      <c r="D10" s="4">
        <f>VLOOKUP(A10, output_exiobase_v3.10.2_EXIO_IOT_2022_pxp_Z_imports_footprint_FR[], 2, FALSE)</f>
        <v>12016880060.200825</v>
      </c>
      <c r="E10" s="4">
        <f>VLOOKUP(A10, output_exiobase_v3.10.2_EXIO_IOT_2022_pxp_Y_production_footprint_FR[], 2, FALSE)</f>
        <v>6165393062.3202343</v>
      </c>
      <c r="F10" s="4">
        <f>VLOOKUP(A10, output_exiobase_v3.10.2_EXIO_IOT_2022_pxp_Z_production_footprint_FR[], 2, FALSE)</f>
        <v>58886811227.328094</v>
      </c>
      <c r="G10" s="35">
        <f t="shared" ref="G10:G41" si="3">(C10+D10)/B10</f>
        <v>0.34304682550094734</v>
      </c>
      <c r="H10" s="1">
        <f t="shared" ref="H10:H41" si="4">(E10+F10)/B10</f>
        <v>0.65695317449905277</v>
      </c>
      <c r="I10" s="6"/>
      <c r="J10" s="5"/>
      <c r="N10" s="7"/>
    </row>
    <row r="11" spans="1:14" x14ac:dyDescent="0.3">
      <c r="A11" s="9" t="s">
        <v>32</v>
      </c>
      <c r="B11" s="29">
        <f t="shared" si="2"/>
        <v>69080862980.603271</v>
      </c>
      <c r="C11" s="4">
        <f>VLOOKUP(A11, output_exiobase_v3.10.2_EXIO_IOT_2022_pxp_Y_imports_footprint_FR[], 2, FALSE)</f>
        <v>2867378760.8238087</v>
      </c>
      <c r="D11" s="4">
        <f>VLOOKUP(A11, output_exiobase_v3.10.2_EXIO_IOT_2022_pxp_Z_imports_footprint_FR[], 2, FALSE)</f>
        <v>912538572.08080351</v>
      </c>
      <c r="E11" s="4">
        <f>VLOOKUP(A11, output_exiobase_v3.10.2_EXIO_IOT_2022_pxp_Y_production_footprint_FR[], 2, FALSE)</f>
        <v>54367563468.660583</v>
      </c>
      <c r="F11" s="4">
        <f>VLOOKUP(A11, output_exiobase_v3.10.2_EXIO_IOT_2022_pxp_Z_production_footprint_FR[], 2, FALSE)</f>
        <v>10933382179.038076</v>
      </c>
      <c r="G11" s="35">
        <f t="shared" si="3"/>
        <v>5.4717285943083088E-2</v>
      </c>
      <c r="H11" s="1">
        <f t="shared" si="4"/>
        <v>0.945282714056917</v>
      </c>
      <c r="I11" s="6"/>
      <c r="N11" s="7"/>
    </row>
    <row r="12" spans="1:14" x14ac:dyDescent="0.3">
      <c r="A12" s="9" t="s">
        <v>97</v>
      </c>
      <c r="B12" s="29">
        <f t="shared" si="2"/>
        <v>49602500575.000832</v>
      </c>
      <c r="C12" s="4">
        <f>VLOOKUP(A12, output_exiobase_v3.10.2_EXIO_IOT_2022_pxp_Y_imports_footprint_FR[], 2, FALSE)</f>
        <v>22831374801.885811</v>
      </c>
      <c r="D12" s="4">
        <f>VLOOKUP(A12, output_exiobase_v3.10.2_EXIO_IOT_2022_pxp_Z_imports_footprint_FR[], 2, FALSE)</f>
        <v>1427383800.0165629</v>
      </c>
      <c r="E12" s="4">
        <f>VLOOKUP(A12, output_exiobase_v3.10.2_EXIO_IOT_2022_pxp_Y_production_footprint_FR[], 2, FALSE)</f>
        <v>21817328299.452114</v>
      </c>
      <c r="F12" s="4">
        <f>VLOOKUP(A12, output_exiobase_v3.10.2_EXIO_IOT_2022_pxp_Z_production_footprint_FR[], 2, FALSE)</f>
        <v>3526413673.6463394</v>
      </c>
      <c r="G12" s="35">
        <f t="shared" si="3"/>
        <v>0.4890632190049013</v>
      </c>
      <c r="H12" s="1">
        <f t="shared" si="4"/>
        <v>0.51093678099509865</v>
      </c>
      <c r="I12" s="6"/>
      <c r="N12" s="7"/>
    </row>
    <row r="13" spans="1:14" x14ac:dyDescent="0.3">
      <c r="A13" s="9" t="s">
        <v>60</v>
      </c>
      <c r="B13" s="29">
        <f t="shared" si="2"/>
        <v>47526482833.41951</v>
      </c>
      <c r="C13" s="4">
        <f>VLOOKUP(A13, output_exiobase_v3.10.2_EXIO_IOT_2022_pxp_Y_imports_footprint_FR[], 2, FALSE)</f>
        <v>11604445515.597275</v>
      </c>
      <c r="D13" s="4">
        <f>VLOOKUP(A13, output_exiobase_v3.10.2_EXIO_IOT_2022_pxp_Z_imports_footprint_FR[], 2, FALSE)</f>
        <v>5081568985.6165752</v>
      </c>
      <c r="E13" s="4">
        <f>VLOOKUP(A13, output_exiobase_v3.10.2_EXIO_IOT_2022_pxp_Y_production_footprint_FR[], 2, FALSE)</f>
        <v>19283647799.948612</v>
      </c>
      <c r="F13" s="4">
        <f>VLOOKUP(A13, output_exiobase_v3.10.2_EXIO_IOT_2022_pxp_Z_production_footprint_FR[], 2, FALSE)</f>
        <v>11556820532.257053</v>
      </c>
      <c r="G13" s="35">
        <f t="shared" si="3"/>
        <v>0.35108877212097495</v>
      </c>
      <c r="H13" s="1">
        <f t="shared" si="4"/>
        <v>0.64891122787902522</v>
      </c>
      <c r="I13" s="6"/>
      <c r="N13" s="7"/>
    </row>
    <row r="14" spans="1:14" x14ac:dyDescent="0.3">
      <c r="A14" s="9" t="s">
        <v>37</v>
      </c>
      <c r="B14" s="29">
        <f t="shared" si="2"/>
        <v>45827253137.650177</v>
      </c>
      <c r="C14" s="4">
        <f>VLOOKUP(A14, output_exiobase_v3.10.2_EXIO_IOT_2022_pxp_Y_imports_footprint_FR[], 2, FALSE)</f>
        <v>2320593835.3268986</v>
      </c>
      <c r="D14" s="4">
        <f>VLOOKUP(A14, output_exiobase_v3.10.2_EXIO_IOT_2022_pxp_Z_imports_footprint_FR[], 2, FALSE)</f>
        <v>3648667840.9647279</v>
      </c>
      <c r="E14" s="4">
        <f>VLOOKUP(A14, output_exiobase_v3.10.2_EXIO_IOT_2022_pxp_Y_production_footprint_FR[], 2, FALSE)</f>
        <v>19771098539.820705</v>
      </c>
      <c r="F14" s="4">
        <f>VLOOKUP(A14, output_exiobase_v3.10.2_EXIO_IOT_2022_pxp_Z_production_footprint_FR[], 2, FALSE)</f>
        <v>20086892921.537842</v>
      </c>
      <c r="G14" s="35">
        <f t="shared" si="3"/>
        <v>0.13025571614257359</v>
      </c>
      <c r="H14" s="1">
        <f t="shared" si="4"/>
        <v>0.86974428385742641</v>
      </c>
      <c r="I14" s="6"/>
      <c r="N14" s="7"/>
    </row>
    <row r="15" spans="1:14" x14ac:dyDescent="0.3">
      <c r="A15" s="9" t="s">
        <v>10</v>
      </c>
      <c r="B15" s="29">
        <f t="shared" si="2"/>
        <v>41083825213.540825</v>
      </c>
      <c r="C15" s="4">
        <f>VLOOKUP(A15, output_exiobase_v3.10.2_EXIO_IOT_2022_pxp_Y_imports_footprint_FR[], 2, FALSE)</f>
        <v>12092.279433146272</v>
      </c>
      <c r="D15" s="4">
        <f>VLOOKUP(A15, output_exiobase_v3.10.2_EXIO_IOT_2022_pxp_Z_imports_footprint_FR[], 2, FALSE)</f>
        <v>13665794389.687773</v>
      </c>
      <c r="E15" s="4">
        <f>VLOOKUP(A15, output_exiobase_v3.10.2_EXIO_IOT_2022_pxp_Y_production_footprint_FR[], 2, FALSE)</f>
        <v>999972286.89249289</v>
      </c>
      <c r="F15" s="4">
        <f>VLOOKUP(A15, output_exiobase_v3.10.2_EXIO_IOT_2022_pxp_Z_production_footprint_FR[], 2, FALSE)</f>
        <v>26418046444.681126</v>
      </c>
      <c r="G15" s="35">
        <f t="shared" si="3"/>
        <v>0.33263228073181195</v>
      </c>
      <c r="H15" s="1">
        <f t="shared" si="4"/>
        <v>0.66736771926818805</v>
      </c>
      <c r="I15" s="6"/>
      <c r="N15" s="7"/>
    </row>
    <row r="16" spans="1:14" x14ac:dyDescent="0.3">
      <c r="A16" s="9" t="s">
        <v>2</v>
      </c>
      <c r="B16" s="29">
        <f t="shared" si="2"/>
        <v>40971155911.989731</v>
      </c>
      <c r="C16" s="4">
        <f>VLOOKUP(A16, output_exiobase_v3.10.2_EXIO_IOT_2022_pxp_Y_imports_footprint_FR[], 2, FALSE)</f>
        <v>10591606639.642776</v>
      </c>
      <c r="D16" s="4">
        <f>VLOOKUP(A16, output_exiobase_v3.10.2_EXIO_IOT_2022_pxp_Z_imports_footprint_FR[], 2, FALSE)</f>
        <v>5130429342.5137463</v>
      </c>
      <c r="E16" s="4">
        <f>VLOOKUP(A16, output_exiobase_v3.10.2_EXIO_IOT_2022_pxp_Y_production_footprint_FR[], 2, FALSE)</f>
        <v>18203824309.368294</v>
      </c>
      <c r="F16" s="4">
        <f>VLOOKUP(A16, output_exiobase_v3.10.2_EXIO_IOT_2022_pxp_Z_production_footprint_FR[], 2, FALSE)</f>
        <v>7045295620.4649134</v>
      </c>
      <c r="G16" s="35">
        <f t="shared" si="3"/>
        <v>0.38373425479937834</v>
      </c>
      <c r="H16" s="1">
        <f t="shared" si="4"/>
        <v>0.61626574520062161</v>
      </c>
      <c r="I16" s="6"/>
      <c r="N16" s="7"/>
    </row>
    <row r="17" spans="1:14" x14ac:dyDescent="0.3">
      <c r="A17" s="9" t="s">
        <v>19</v>
      </c>
      <c r="B17" s="29">
        <f t="shared" si="2"/>
        <v>34712062861.443916</v>
      </c>
      <c r="C17" s="4">
        <f>VLOOKUP(A17, output_exiobase_v3.10.2_EXIO_IOT_2022_pxp_Y_imports_footprint_FR[], 2, FALSE)</f>
        <v>17016516.950666454</v>
      </c>
      <c r="D17" s="4">
        <f>VLOOKUP(A17, output_exiobase_v3.10.2_EXIO_IOT_2022_pxp_Z_imports_footprint_FR[], 2, FALSE)</f>
        <v>251699755.15829843</v>
      </c>
      <c r="E17" s="4">
        <f>VLOOKUP(A17, output_exiobase_v3.10.2_EXIO_IOT_2022_pxp_Y_production_footprint_FR[], 2, FALSE)</f>
        <v>2029605256.910002</v>
      </c>
      <c r="F17" s="4">
        <f>VLOOKUP(A17, output_exiobase_v3.10.2_EXIO_IOT_2022_pxp_Z_production_footprint_FR[], 2, FALSE)</f>
        <v>32413741332.42495</v>
      </c>
      <c r="G17" s="35">
        <f t="shared" si="3"/>
        <v>7.7412936586790651E-3</v>
      </c>
      <c r="H17" s="1">
        <f t="shared" si="4"/>
        <v>0.99225870634132096</v>
      </c>
      <c r="I17" s="6"/>
      <c r="N17" s="7"/>
    </row>
    <row r="18" spans="1:14" ht="13.95" customHeight="1" x14ac:dyDescent="0.3">
      <c r="A18" s="9" t="s">
        <v>160</v>
      </c>
      <c r="B18" s="29">
        <f t="shared" si="2"/>
        <v>31464767942.594376</v>
      </c>
      <c r="C18" s="4">
        <f>VLOOKUP(A18, output_exiobase_v3.10.2_EXIO_IOT_2022_pxp_Y_imports_footprint_FR[], 2, FALSE)</f>
        <v>4105224433.6645541</v>
      </c>
      <c r="D18" s="4">
        <f>VLOOKUP(A18, output_exiobase_v3.10.2_EXIO_IOT_2022_pxp_Z_imports_footprint_FR[], 2, FALSE)</f>
        <v>13838407475.120806</v>
      </c>
      <c r="E18" s="4">
        <f>VLOOKUP(A18, output_exiobase_v3.10.2_EXIO_IOT_2022_pxp_Y_production_footprint_FR[], 2, FALSE)</f>
        <v>2187240983.9511099</v>
      </c>
      <c r="F18" s="4">
        <f>VLOOKUP(A18, output_exiobase_v3.10.2_EXIO_IOT_2022_pxp_Z_production_footprint_FR[], 2, FALSE)</f>
        <v>11333895049.857908</v>
      </c>
      <c r="G18" s="35">
        <f t="shared" si="3"/>
        <v>0.57027695044573223</v>
      </c>
      <c r="H18" s="1">
        <f t="shared" si="4"/>
        <v>0.42972304955426771</v>
      </c>
      <c r="I18" s="6"/>
      <c r="N18" s="7"/>
    </row>
    <row r="19" spans="1:14" x14ac:dyDescent="0.3">
      <c r="A19" s="9" t="s">
        <v>20</v>
      </c>
      <c r="B19" s="29">
        <f t="shared" si="2"/>
        <v>30645115070.621365</v>
      </c>
      <c r="C19" s="4">
        <f>VLOOKUP(A19, output_exiobase_v3.10.2_EXIO_IOT_2022_pxp_Y_imports_footprint_FR[], 2, FALSE)</f>
        <v>33249008.15738998</v>
      </c>
      <c r="D19" s="4">
        <f>VLOOKUP(A19, output_exiobase_v3.10.2_EXIO_IOT_2022_pxp_Z_imports_footprint_FR[], 2, FALSE)</f>
        <v>7158643691.0309401</v>
      </c>
      <c r="E19" s="4">
        <f>VLOOKUP(A19, output_exiobase_v3.10.2_EXIO_IOT_2022_pxp_Y_production_footprint_FR[], 2, FALSE)</f>
        <v>74485317.819344699</v>
      </c>
      <c r="F19" s="4">
        <f>VLOOKUP(A19, output_exiobase_v3.10.2_EXIO_IOT_2022_pxp_Z_production_footprint_FR[], 2, FALSE)</f>
        <v>23378737053.613689</v>
      </c>
      <c r="G19" s="35">
        <f t="shared" si="3"/>
        <v>0.23468316834884398</v>
      </c>
      <c r="H19" s="1">
        <f t="shared" si="4"/>
        <v>0.76531683165115594</v>
      </c>
      <c r="I19" s="6"/>
      <c r="N19" s="7"/>
    </row>
    <row r="20" spans="1:14" x14ac:dyDescent="0.3">
      <c r="A20" s="9" t="s">
        <v>144</v>
      </c>
      <c r="B20" s="29">
        <f t="shared" si="2"/>
        <v>29453475250.443459</v>
      </c>
      <c r="C20" s="4">
        <f>VLOOKUP(A20, output_exiobase_v3.10.2_EXIO_IOT_2022_pxp_Y_imports_footprint_FR[], 2, FALSE)</f>
        <v>1358233402.879324</v>
      </c>
      <c r="D20" s="4">
        <f>VLOOKUP(A20, output_exiobase_v3.10.2_EXIO_IOT_2022_pxp_Z_imports_footprint_FR[], 2, FALSE)</f>
        <v>983486476.76910377</v>
      </c>
      <c r="E20" s="4">
        <f>VLOOKUP(A20, output_exiobase_v3.10.2_EXIO_IOT_2022_pxp_Y_production_footprint_FR[], 2, FALSE)</f>
        <v>20340542187.746136</v>
      </c>
      <c r="F20" s="4">
        <f>VLOOKUP(A20, output_exiobase_v3.10.2_EXIO_IOT_2022_pxp_Z_production_footprint_FR[], 2, FALSE)</f>
        <v>6771213183.0488968</v>
      </c>
      <c r="G20" s="35">
        <f t="shared" si="3"/>
        <v>7.9505724188291521E-2</v>
      </c>
      <c r="H20" s="1">
        <f t="shared" si="4"/>
        <v>0.92049427581170851</v>
      </c>
      <c r="I20" s="6"/>
      <c r="N20" s="7"/>
    </row>
    <row r="21" spans="1:14" x14ac:dyDescent="0.3">
      <c r="A21" s="9" t="s">
        <v>194</v>
      </c>
      <c r="B21" s="29">
        <f t="shared" si="2"/>
        <v>29102462656.050583</v>
      </c>
      <c r="C21" s="4">
        <f>VLOOKUP(A21, output_exiobase_v3.10.2_EXIO_IOT_2022_pxp_Y_imports_footprint_FR[], 2, FALSE)</f>
        <v>8.6695094898601598E-4</v>
      </c>
      <c r="D21" s="4">
        <f>VLOOKUP(A21, output_exiobase_v3.10.2_EXIO_IOT_2022_pxp_Z_imports_footprint_FR[], 2, FALSE)</f>
        <v>1997143929.4216692</v>
      </c>
      <c r="E21" s="4">
        <f>VLOOKUP(A21, output_exiobase_v3.10.2_EXIO_IOT_2022_pxp_Y_production_footprint_FR[], 2, FALSE)</f>
        <v>308722861.34585249</v>
      </c>
      <c r="F21" s="4">
        <f>VLOOKUP(A21, output_exiobase_v3.10.2_EXIO_IOT_2022_pxp_Z_production_footprint_FR[], 2, FALSE)</f>
        <v>26796595865.282196</v>
      </c>
      <c r="G21" s="35">
        <f t="shared" si="3"/>
        <v>6.8624568065799668E-2</v>
      </c>
      <c r="H21" s="1">
        <f t="shared" si="4"/>
        <v>0.93137543193420036</v>
      </c>
      <c r="I21" s="6"/>
      <c r="N21" s="7"/>
    </row>
    <row r="22" spans="1:14" x14ac:dyDescent="0.3">
      <c r="A22" s="9" t="s">
        <v>117</v>
      </c>
      <c r="B22" s="29">
        <f t="shared" si="2"/>
        <v>28591556040.708206</v>
      </c>
      <c r="C22" s="4">
        <f>VLOOKUP(A22, output_exiobase_v3.10.2_EXIO_IOT_2022_pxp_Y_imports_footprint_FR[], 2, FALSE)</f>
        <v>4283443250.5107431</v>
      </c>
      <c r="D22" s="4">
        <f>VLOOKUP(A22, output_exiobase_v3.10.2_EXIO_IOT_2022_pxp_Z_imports_footprint_FR[], 2, FALSE)</f>
        <v>5013899018.6108837</v>
      </c>
      <c r="E22" s="4">
        <f>VLOOKUP(A22, output_exiobase_v3.10.2_EXIO_IOT_2022_pxp_Y_production_footprint_FR[], 2, FALSE)</f>
        <v>9830329170.5876122</v>
      </c>
      <c r="F22" s="4">
        <f>VLOOKUP(A22, output_exiobase_v3.10.2_EXIO_IOT_2022_pxp_Z_production_footprint_FR[], 2, FALSE)</f>
        <v>9463884600.9989662</v>
      </c>
      <c r="G22" s="35">
        <f t="shared" si="3"/>
        <v>0.32517790412960451</v>
      </c>
      <c r="H22" s="1">
        <f t="shared" si="4"/>
        <v>0.67482209587039554</v>
      </c>
      <c r="I22" s="6"/>
      <c r="N22" s="7"/>
    </row>
    <row r="23" spans="1:14" x14ac:dyDescent="0.3">
      <c r="A23" s="9" t="s">
        <v>56</v>
      </c>
      <c r="B23" s="29">
        <f t="shared" si="2"/>
        <v>27804065713.303154</v>
      </c>
      <c r="C23" s="4">
        <f>VLOOKUP(A23, output_exiobase_v3.10.2_EXIO_IOT_2022_pxp_Y_imports_footprint_FR[], 2, FALSE)</f>
        <v>1847784775.5055611</v>
      </c>
      <c r="D23" s="4">
        <f>VLOOKUP(A23, output_exiobase_v3.10.2_EXIO_IOT_2022_pxp_Z_imports_footprint_FR[], 2, FALSE)</f>
        <v>12638648337.632776</v>
      </c>
      <c r="E23" s="4">
        <f>VLOOKUP(A23, output_exiobase_v3.10.2_EXIO_IOT_2022_pxp_Y_production_footprint_FR[], 2, FALSE)</f>
        <v>2719452531.7781672</v>
      </c>
      <c r="F23" s="4">
        <f>VLOOKUP(A23, output_exiobase_v3.10.2_EXIO_IOT_2022_pxp_Z_production_footprint_FR[], 2, FALSE)</f>
        <v>10598180068.386652</v>
      </c>
      <c r="G23" s="35">
        <f t="shared" si="3"/>
        <v>0.52101851802943866</v>
      </c>
      <c r="H23" s="1">
        <f t="shared" si="4"/>
        <v>0.47898148197056145</v>
      </c>
      <c r="I23" s="6"/>
      <c r="N23" s="7"/>
    </row>
    <row r="24" spans="1:14" x14ac:dyDescent="0.3">
      <c r="A24" s="9" t="s">
        <v>89</v>
      </c>
      <c r="B24" s="29">
        <f t="shared" si="2"/>
        <v>27157030575.156338</v>
      </c>
      <c r="C24" s="4">
        <f>VLOOKUP(A24, output_exiobase_v3.10.2_EXIO_IOT_2022_pxp_Y_imports_footprint_FR[], 2, FALSE)</f>
        <v>4388190270.113512</v>
      </c>
      <c r="D24" s="4">
        <f>VLOOKUP(A24, output_exiobase_v3.10.2_EXIO_IOT_2022_pxp_Z_imports_footprint_FR[], 2, FALSE)</f>
        <v>5648150772.6589518</v>
      </c>
      <c r="E24" s="4">
        <f>VLOOKUP(A24, output_exiobase_v3.10.2_EXIO_IOT_2022_pxp_Y_production_footprint_FR[], 2, FALSE)</f>
        <v>8613772241.8927536</v>
      </c>
      <c r="F24" s="4">
        <f>VLOOKUP(A24, output_exiobase_v3.10.2_EXIO_IOT_2022_pxp_Z_production_footprint_FR[], 2, FALSE)</f>
        <v>8506917290.4911203</v>
      </c>
      <c r="G24" s="35">
        <f t="shared" si="3"/>
        <v>0.36956695302150822</v>
      </c>
      <c r="H24" s="1">
        <f t="shared" si="4"/>
        <v>0.63043304697849178</v>
      </c>
      <c r="I24" s="6"/>
      <c r="N24" s="7"/>
    </row>
    <row r="25" spans="1:14" x14ac:dyDescent="0.3">
      <c r="A25" s="9" t="s">
        <v>151</v>
      </c>
      <c r="B25" s="29">
        <f t="shared" si="2"/>
        <v>26651338138.733768</v>
      </c>
      <c r="C25" s="4">
        <f>VLOOKUP(A25, output_exiobase_v3.10.2_EXIO_IOT_2022_pxp_Y_imports_footprint_FR[], 2, FALSE)</f>
        <v>0</v>
      </c>
      <c r="D25" s="4">
        <f>VLOOKUP(A25, output_exiobase_v3.10.2_EXIO_IOT_2022_pxp_Z_imports_footprint_FR[], 2, FALSE)</f>
        <v>0</v>
      </c>
      <c r="E25" s="4">
        <f>VLOOKUP(A25, output_exiobase_v3.10.2_EXIO_IOT_2022_pxp_Y_production_footprint_FR[], 2, FALSE)</f>
        <v>250574813.65784398</v>
      </c>
      <c r="F25" s="4">
        <f>VLOOKUP(A25, output_exiobase_v3.10.2_EXIO_IOT_2022_pxp_Z_production_footprint_FR[], 2, FALSE)</f>
        <v>26400763325.075924</v>
      </c>
      <c r="G25" s="35">
        <f t="shared" si="3"/>
        <v>0</v>
      </c>
      <c r="H25" s="1">
        <f t="shared" si="4"/>
        <v>1</v>
      </c>
      <c r="N25" s="7"/>
    </row>
    <row r="26" spans="1:14" x14ac:dyDescent="0.3">
      <c r="A26" s="9" t="s">
        <v>45</v>
      </c>
      <c r="B26" s="29">
        <f t="shared" si="2"/>
        <v>24257788404.973114</v>
      </c>
      <c r="C26" s="4">
        <f>VLOOKUP(A26, output_exiobase_v3.10.2_EXIO_IOT_2022_pxp_Y_imports_footprint_FR[], 2, FALSE)</f>
        <v>2650600858.7978063</v>
      </c>
      <c r="D26" s="4">
        <f>VLOOKUP(A26, output_exiobase_v3.10.2_EXIO_IOT_2022_pxp_Z_imports_footprint_FR[], 2, FALSE)</f>
        <v>7989440468.2316046</v>
      </c>
      <c r="E26" s="4">
        <f>VLOOKUP(A26, output_exiobase_v3.10.2_EXIO_IOT_2022_pxp_Y_production_footprint_FR[], 2, FALSE)</f>
        <v>3376594492.9209313</v>
      </c>
      <c r="F26" s="4">
        <f>VLOOKUP(A26, output_exiobase_v3.10.2_EXIO_IOT_2022_pxp_Z_production_footprint_FR[], 2, FALSE)</f>
        <v>10241152585.02277</v>
      </c>
      <c r="G26" s="35">
        <f t="shared" si="3"/>
        <v>0.43862371743864687</v>
      </c>
      <c r="H26" s="1">
        <f t="shared" si="4"/>
        <v>0.56137628256135308</v>
      </c>
      <c r="N26" s="7"/>
    </row>
    <row r="27" spans="1:14" x14ac:dyDescent="0.3">
      <c r="A27" s="9" t="s">
        <v>150</v>
      </c>
      <c r="B27" s="29">
        <f t="shared" si="2"/>
        <v>22890906203.006363</v>
      </c>
      <c r="C27" s="4">
        <f>VLOOKUP(A27, output_exiobase_v3.10.2_EXIO_IOT_2022_pxp_Y_imports_footprint_FR[], 2, FALSE)</f>
        <v>73300640.588931128</v>
      </c>
      <c r="D27" s="4">
        <f>VLOOKUP(A27, output_exiobase_v3.10.2_EXIO_IOT_2022_pxp_Z_imports_footprint_FR[], 2, FALSE)</f>
        <v>1782605518.6662214</v>
      </c>
      <c r="E27" s="4">
        <f>VLOOKUP(A27, output_exiobase_v3.10.2_EXIO_IOT_2022_pxp_Y_production_footprint_FR[], 2, FALSE)</f>
        <v>11056320195.7651</v>
      </c>
      <c r="F27" s="4">
        <f>VLOOKUP(A27, output_exiobase_v3.10.2_EXIO_IOT_2022_pxp_Z_production_footprint_FR[], 2, FALSE)</f>
        <v>9978679847.9861126</v>
      </c>
      <c r="G27" s="35">
        <f t="shared" si="3"/>
        <v>8.1076133150701044E-2</v>
      </c>
      <c r="H27" s="1">
        <f t="shared" si="4"/>
        <v>0.91892386684929905</v>
      </c>
      <c r="N27" s="7"/>
    </row>
    <row r="28" spans="1:14" x14ac:dyDescent="0.3">
      <c r="A28" s="9" t="s">
        <v>25</v>
      </c>
      <c r="B28" s="29">
        <f t="shared" si="2"/>
        <v>22182242784.834007</v>
      </c>
      <c r="C28" s="4">
        <f>VLOOKUP(A28, output_exiobase_v3.10.2_EXIO_IOT_2022_pxp_Y_imports_footprint_FR[], 2, FALSE)</f>
        <v>4599851729.659626</v>
      </c>
      <c r="D28" s="4">
        <f>VLOOKUP(A28, output_exiobase_v3.10.2_EXIO_IOT_2022_pxp_Z_imports_footprint_FR[], 2, FALSE)</f>
        <v>9593013267.0601826</v>
      </c>
      <c r="E28" s="4">
        <f>VLOOKUP(A28, output_exiobase_v3.10.2_EXIO_IOT_2022_pxp_Y_production_footprint_FR[], 2, FALSE)</f>
        <v>2389229675.650322</v>
      </c>
      <c r="F28" s="4">
        <f>VLOOKUP(A28, output_exiobase_v3.10.2_EXIO_IOT_2022_pxp_Z_production_footprint_FR[], 2, FALSE)</f>
        <v>5600148112.4638767</v>
      </c>
      <c r="G28" s="35">
        <f t="shared" si="3"/>
        <v>0.63983002685478974</v>
      </c>
      <c r="H28" s="1">
        <f t="shared" si="4"/>
        <v>0.36016997314521026</v>
      </c>
      <c r="K28" s="6"/>
      <c r="N28" s="7"/>
    </row>
    <row r="29" spans="1:14" x14ac:dyDescent="0.3">
      <c r="A29" s="9" t="s">
        <v>135</v>
      </c>
      <c r="B29" s="29">
        <f t="shared" si="2"/>
        <v>21747027873.616432</v>
      </c>
      <c r="C29" s="4">
        <f>VLOOKUP(A29, output_exiobase_v3.10.2_EXIO_IOT_2022_pxp_Y_imports_footprint_FR[], 2, FALSE)</f>
        <v>3541797275.5390215</v>
      </c>
      <c r="D29" s="4">
        <f>VLOOKUP(A29, output_exiobase_v3.10.2_EXIO_IOT_2022_pxp_Z_imports_footprint_FR[], 2, FALSE)</f>
        <v>1523844713.1400065</v>
      </c>
      <c r="E29" s="4">
        <f>VLOOKUP(A29, output_exiobase_v3.10.2_EXIO_IOT_2022_pxp_Y_production_footprint_FR[], 2, FALSE)</f>
        <v>9563821352.2919044</v>
      </c>
      <c r="F29" s="4">
        <f>VLOOKUP(A29, output_exiobase_v3.10.2_EXIO_IOT_2022_pxp_Z_production_footprint_FR[], 2, FALSE)</f>
        <v>7117564532.6455002</v>
      </c>
      <c r="G29" s="35">
        <f t="shared" si="3"/>
        <v>0.23293491037571537</v>
      </c>
      <c r="H29" s="1">
        <f t="shared" si="4"/>
        <v>0.76706508962428466</v>
      </c>
      <c r="K29" s="6"/>
      <c r="N29" s="7"/>
    </row>
    <row r="30" spans="1:14" x14ac:dyDescent="0.3">
      <c r="A30" s="9" t="s">
        <v>36</v>
      </c>
      <c r="B30" s="29">
        <f t="shared" si="2"/>
        <v>20332963530.726093</v>
      </c>
      <c r="C30" s="4">
        <f>VLOOKUP(A30, output_exiobase_v3.10.2_EXIO_IOT_2022_pxp_Y_imports_footprint_FR[], 2, FALSE)</f>
        <v>1658230.2589096711</v>
      </c>
      <c r="D30" s="4">
        <f>VLOOKUP(A30, output_exiobase_v3.10.2_EXIO_IOT_2022_pxp_Z_imports_footprint_FR[], 2, FALSE)</f>
        <v>17702148317.882015</v>
      </c>
      <c r="E30" s="4">
        <f>VLOOKUP(A30, output_exiobase_v3.10.2_EXIO_IOT_2022_pxp_Y_production_footprint_FR[], 2, FALSE)</f>
        <v>1254005.9692001541</v>
      </c>
      <c r="F30" s="4">
        <f>VLOOKUP(A30, output_exiobase_v3.10.2_EXIO_IOT_2022_pxp_Z_production_footprint_FR[], 2, FALSE)</f>
        <v>2627902976.6159682</v>
      </c>
      <c r="G30" s="35">
        <f t="shared" si="3"/>
        <v>0.87069484590319923</v>
      </c>
      <c r="H30" s="1">
        <f t="shared" si="4"/>
        <v>0.1293051540968008</v>
      </c>
      <c r="K30" s="6"/>
      <c r="N30" s="7"/>
    </row>
    <row r="31" spans="1:14" x14ac:dyDescent="0.3">
      <c r="A31" s="9" t="s">
        <v>70</v>
      </c>
      <c r="B31" s="29">
        <f t="shared" si="2"/>
        <v>19662661798.915604</v>
      </c>
      <c r="C31" s="4">
        <f>VLOOKUP(A31, output_exiobase_v3.10.2_EXIO_IOT_2022_pxp_Y_imports_footprint_FR[], 2, FALSE)</f>
        <v>5035955316.1774197</v>
      </c>
      <c r="D31" s="4">
        <f>VLOOKUP(A31, output_exiobase_v3.10.2_EXIO_IOT_2022_pxp_Z_imports_footprint_FR[], 2, FALSE)</f>
        <v>5372167382.2735929</v>
      </c>
      <c r="E31" s="4">
        <f>VLOOKUP(A31, output_exiobase_v3.10.2_EXIO_IOT_2022_pxp_Y_production_footprint_FR[], 2, FALSE)</f>
        <v>5132066450.3408175</v>
      </c>
      <c r="F31" s="4">
        <f>VLOOKUP(A31, output_exiobase_v3.10.2_EXIO_IOT_2022_pxp_Z_production_footprint_FR[], 2, FALSE)</f>
        <v>4122472650.1237774</v>
      </c>
      <c r="G31" s="35">
        <f t="shared" si="3"/>
        <v>0.5293343701321771</v>
      </c>
      <c r="H31" s="1">
        <f t="shared" si="4"/>
        <v>0.47066562986782307</v>
      </c>
      <c r="N31" s="7"/>
    </row>
    <row r="32" spans="1:14" x14ac:dyDescent="0.3">
      <c r="A32" s="9" t="s">
        <v>112</v>
      </c>
      <c r="B32" s="29">
        <f t="shared" si="2"/>
        <v>18809046851.56332</v>
      </c>
      <c r="C32" s="4">
        <f>VLOOKUP(A32, output_exiobase_v3.10.2_EXIO_IOT_2022_pxp_Y_imports_footprint_FR[], 2, FALSE)</f>
        <v>2152774546.0872998</v>
      </c>
      <c r="D32" s="4">
        <f>VLOOKUP(A32, output_exiobase_v3.10.2_EXIO_IOT_2022_pxp_Z_imports_footprint_FR[], 2, FALSE)</f>
        <v>4952624024.8513803</v>
      </c>
      <c r="E32" s="4">
        <f>VLOOKUP(A32, output_exiobase_v3.10.2_EXIO_IOT_2022_pxp_Y_production_footprint_FR[], 2, FALSE)</f>
        <v>9741825796.2477665</v>
      </c>
      <c r="F32" s="4">
        <f>VLOOKUP(A32, output_exiobase_v3.10.2_EXIO_IOT_2022_pxp_Z_production_footprint_FR[], 2, FALSE)</f>
        <v>1961822484.3768744</v>
      </c>
      <c r="G32" s="35">
        <f t="shared" si="3"/>
        <v>0.37776494614601447</v>
      </c>
      <c r="H32" s="1">
        <f t="shared" si="4"/>
        <v>0.62223505385398559</v>
      </c>
      <c r="N32" s="7"/>
    </row>
    <row r="33" spans="1:14" x14ac:dyDescent="0.3">
      <c r="A33" s="9" t="s">
        <v>75</v>
      </c>
      <c r="B33" s="29">
        <f t="shared" si="2"/>
        <v>18234674857.866291</v>
      </c>
      <c r="C33" s="4">
        <f>VLOOKUP(A33, output_exiobase_v3.10.2_EXIO_IOT_2022_pxp_Y_imports_footprint_FR[], 2, FALSE)</f>
        <v>9190675591.2945499</v>
      </c>
      <c r="D33" s="4">
        <f>VLOOKUP(A33, output_exiobase_v3.10.2_EXIO_IOT_2022_pxp_Z_imports_footprint_FR[], 2, FALSE)</f>
        <v>1525036085.8658874</v>
      </c>
      <c r="E33" s="4">
        <f>VLOOKUP(A33, output_exiobase_v3.10.2_EXIO_IOT_2022_pxp_Y_production_footprint_FR[], 2, FALSE)</f>
        <v>6446321417.6372557</v>
      </c>
      <c r="F33" s="4">
        <f>VLOOKUP(A33, output_exiobase_v3.10.2_EXIO_IOT_2022_pxp_Z_production_footprint_FR[], 2, FALSE)</f>
        <v>1072641763.0685993</v>
      </c>
      <c r="G33" s="35">
        <f t="shared" si="3"/>
        <v>0.58765575809199389</v>
      </c>
      <c r="H33" s="1">
        <f t="shared" si="4"/>
        <v>0.41234424190800611</v>
      </c>
      <c r="N33" s="7"/>
    </row>
    <row r="34" spans="1:14" x14ac:dyDescent="0.3">
      <c r="A34" s="9" t="s">
        <v>111</v>
      </c>
      <c r="B34" s="29">
        <f t="shared" si="2"/>
        <v>18208721239.387955</v>
      </c>
      <c r="C34" s="4">
        <f>VLOOKUP(A34, output_exiobase_v3.10.2_EXIO_IOT_2022_pxp_Y_imports_footprint_FR[], 2, FALSE)</f>
        <v>1127961610.2365248</v>
      </c>
      <c r="D34" s="4">
        <f>VLOOKUP(A34, output_exiobase_v3.10.2_EXIO_IOT_2022_pxp_Z_imports_footprint_FR[], 2, FALSE)</f>
        <v>3974567410.506938</v>
      </c>
      <c r="E34" s="4">
        <f>VLOOKUP(A34, output_exiobase_v3.10.2_EXIO_IOT_2022_pxp_Y_production_footprint_FR[], 2, FALSE)</f>
        <v>4038152733.7000685</v>
      </c>
      <c r="F34" s="4">
        <f>VLOOKUP(A34, output_exiobase_v3.10.2_EXIO_IOT_2022_pxp_Z_production_footprint_FR[], 2, FALSE)</f>
        <v>9068039484.9444256</v>
      </c>
      <c r="G34" s="35">
        <f t="shared" si="3"/>
        <v>0.28022445693253817</v>
      </c>
      <c r="H34" s="1">
        <f t="shared" si="4"/>
        <v>0.71977554306746194</v>
      </c>
      <c r="N34" s="7"/>
    </row>
    <row r="35" spans="1:14" x14ac:dyDescent="0.3">
      <c r="A35" s="9" t="s">
        <v>11</v>
      </c>
      <c r="B35" s="29">
        <f t="shared" si="2"/>
        <v>16009507318.684689</v>
      </c>
      <c r="C35" s="4">
        <f>VLOOKUP(A35, output_exiobase_v3.10.2_EXIO_IOT_2022_pxp_Y_imports_footprint_FR[], 2, FALSE)</f>
        <v>1262925580.5136228</v>
      </c>
      <c r="D35" s="4">
        <f>VLOOKUP(A35, output_exiobase_v3.10.2_EXIO_IOT_2022_pxp_Z_imports_footprint_FR[], 2, FALSE)</f>
        <v>1081821537.6429775</v>
      </c>
      <c r="E35" s="4">
        <f>VLOOKUP(A35, output_exiobase_v3.10.2_EXIO_IOT_2022_pxp_Y_production_footprint_FR[], 2, FALSE)</f>
        <v>7665022209.9304352</v>
      </c>
      <c r="F35" s="4">
        <f>VLOOKUP(A35, output_exiobase_v3.10.2_EXIO_IOT_2022_pxp_Z_production_footprint_FR[], 2, FALSE)</f>
        <v>5999737990.5976524</v>
      </c>
      <c r="G35" s="35">
        <f t="shared" si="3"/>
        <v>0.1464596674639729</v>
      </c>
      <c r="H35" s="1">
        <f t="shared" si="4"/>
        <v>0.85354033253602701</v>
      </c>
      <c r="N35" s="7"/>
    </row>
    <row r="36" spans="1:14" x14ac:dyDescent="0.3">
      <c r="A36" s="9" t="s">
        <v>147</v>
      </c>
      <c r="B36" s="29">
        <f t="shared" si="2"/>
        <v>15969776832.27899</v>
      </c>
      <c r="C36" s="4">
        <f>VLOOKUP(A36, output_exiobase_v3.10.2_EXIO_IOT_2022_pxp_Y_imports_footprint_FR[], 2, FALSE)</f>
        <v>907159162.92451382</v>
      </c>
      <c r="D36" s="4">
        <f>VLOOKUP(A36, output_exiobase_v3.10.2_EXIO_IOT_2022_pxp_Z_imports_footprint_FR[], 2, FALSE)</f>
        <v>0</v>
      </c>
      <c r="E36" s="4">
        <f>VLOOKUP(A36, output_exiobase_v3.10.2_EXIO_IOT_2022_pxp_Y_production_footprint_FR[], 2, FALSE)</f>
        <v>9079797336.3222675</v>
      </c>
      <c r="F36" s="4">
        <f>VLOOKUP(A36, output_exiobase_v3.10.2_EXIO_IOT_2022_pxp_Z_production_footprint_FR[], 2, FALSE)</f>
        <v>5982820333.0322094</v>
      </c>
      <c r="G36" s="35">
        <f t="shared" si="3"/>
        <v>5.6804748898614157E-2</v>
      </c>
      <c r="H36" s="1">
        <f t="shared" si="4"/>
        <v>0.94319525110138591</v>
      </c>
      <c r="N36" s="7"/>
    </row>
    <row r="37" spans="1:14" x14ac:dyDescent="0.3">
      <c r="A37" s="9" t="s">
        <v>96</v>
      </c>
      <c r="B37" s="29">
        <f t="shared" si="2"/>
        <v>14493943123.083134</v>
      </c>
      <c r="C37" s="4">
        <f>VLOOKUP(A37, output_exiobase_v3.10.2_EXIO_IOT_2022_pxp_Y_imports_footprint_FR[], 2, FALSE)</f>
        <v>4697101160.4700413</v>
      </c>
      <c r="D37" s="4">
        <f>VLOOKUP(A37, output_exiobase_v3.10.2_EXIO_IOT_2022_pxp_Z_imports_footprint_FR[], 2, FALSE)</f>
        <v>633081669.7554853</v>
      </c>
      <c r="E37" s="4">
        <f>VLOOKUP(A37, output_exiobase_v3.10.2_EXIO_IOT_2022_pxp_Y_production_footprint_FR[], 2, FALSE)</f>
        <v>7582649480.2079763</v>
      </c>
      <c r="F37" s="4">
        <f>VLOOKUP(A37, output_exiobase_v3.10.2_EXIO_IOT_2022_pxp_Z_production_footprint_FR[], 2, FALSE)</f>
        <v>1581110812.649632</v>
      </c>
      <c r="G37" s="35">
        <f t="shared" si="3"/>
        <v>0.36775243182351447</v>
      </c>
      <c r="H37" s="1">
        <f t="shared" si="4"/>
        <v>0.63224756817648564</v>
      </c>
      <c r="N37" s="7"/>
    </row>
    <row r="38" spans="1:14" x14ac:dyDescent="0.3">
      <c r="A38" s="9" t="s">
        <v>39</v>
      </c>
      <c r="B38" s="29">
        <f t="shared" si="2"/>
        <v>14454472075.502073</v>
      </c>
      <c r="C38" s="4">
        <f>VLOOKUP(A38, output_exiobase_v3.10.2_EXIO_IOT_2022_pxp_Y_imports_footprint_FR[], 2, FALSE)</f>
        <v>0</v>
      </c>
      <c r="D38" s="4">
        <f>VLOOKUP(A38, output_exiobase_v3.10.2_EXIO_IOT_2022_pxp_Z_imports_footprint_FR[], 2, FALSE)</f>
        <v>0</v>
      </c>
      <c r="E38" s="4">
        <f>VLOOKUP(A38, output_exiobase_v3.10.2_EXIO_IOT_2022_pxp_Y_production_footprint_FR[], 2, FALSE)</f>
        <v>5144843863.1617069</v>
      </c>
      <c r="F38" s="4">
        <f>VLOOKUP(A38, output_exiobase_v3.10.2_EXIO_IOT_2022_pxp_Z_production_footprint_FR[], 2, FALSE)</f>
        <v>9309628212.3403664</v>
      </c>
      <c r="G38" s="35">
        <f t="shared" si="3"/>
        <v>0</v>
      </c>
      <c r="H38" s="1">
        <f t="shared" si="4"/>
        <v>1</v>
      </c>
      <c r="N38" s="7"/>
    </row>
    <row r="39" spans="1:14" x14ac:dyDescent="0.3">
      <c r="A39" s="9" t="s">
        <v>67</v>
      </c>
      <c r="B39" s="29">
        <f t="shared" si="2"/>
        <v>13119728424.571835</v>
      </c>
      <c r="C39" s="4">
        <f>VLOOKUP(A39, output_exiobase_v3.10.2_EXIO_IOT_2022_pxp_Y_imports_footprint_FR[], 2, FALSE)</f>
        <v>8225316145.1128979</v>
      </c>
      <c r="D39" s="4">
        <f>VLOOKUP(A39, output_exiobase_v3.10.2_EXIO_IOT_2022_pxp_Z_imports_footprint_FR[], 2, FALSE)</f>
        <v>3817868222.2156029</v>
      </c>
      <c r="E39" s="4">
        <f>VLOOKUP(A39, output_exiobase_v3.10.2_EXIO_IOT_2022_pxp_Y_production_footprint_FR[], 2, FALSE)</f>
        <v>366613024.28648508</v>
      </c>
      <c r="F39" s="4">
        <f>VLOOKUP(A39, output_exiobase_v3.10.2_EXIO_IOT_2022_pxp_Z_production_footprint_FR[], 2, FALSE)</f>
        <v>709931032.95684731</v>
      </c>
      <c r="G39" s="35">
        <f t="shared" si="3"/>
        <v>0.91794463860798503</v>
      </c>
      <c r="H39" s="1">
        <f t="shared" si="4"/>
        <v>8.2055361392014914E-2</v>
      </c>
      <c r="N39" s="7"/>
    </row>
    <row r="40" spans="1:14" x14ac:dyDescent="0.3">
      <c r="A40" s="9" t="s">
        <v>190</v>
      </c>
      <c r="B40" s="29">
        <f t="shared" si="2"/>
        <v>13010413442.859108</v>
      </c>
      <c r="C40" s="4">
        <f>VLOOKUP(A40, output_exiobase_v3.10.2_EXIO_IOT_2022_pxp_Y_imports_footprint_FR[], 2, FALSE)</f>
        <v>5103514823.889596</v>
      </c>
      <c r="D40" s="4">
        <f>VLOOKUP(A40, output_exiobase_v3.10.2_EXIO_IOT_2022_pxp_Z_imports_footprint_FR[], 2, FALSE)</f>
        <v>929400729.75756764</v>
      </c>
      <c r="E40" s="4">
        <f>VLOOKUP(A40, output_exiobase_v3.10.2_EXIO_IOT_2022_pxp_Y_production_footprint_FR[], 2, FALSE)</f>
        <v>3568404508.5534096</v>
      </c>
      <c r="F40" s="4">
        <f>VLOOKUP(A40, output_exiobase_v3.10.2_EXIO_IOT_2022_pxp_Z_production_footprint_FR[], 2, FALSE)</f>
        <v>3409093380.6585355</v>
      </c>
      <c r="G40" s="35">
        <f t="shared" si="3"/>
        <v>0.46369898851741626</v>
      </c>
      <c r="H40" s="1">
        <f t="shared" si="4"/>
        <v>0.5363010114825838</v>
      </c>
      <c r="N40" s="7"/>
    </row>
    <row r="41" spans="1:14" x14ac:dyDescent="0.3">
      <c r="A41" s="9" t="s">
        <v>31</v>
      </c>
      <c r="B41" s="29">
        <f t="shared" si="2"/>
        <v>10808483726.934671</v>
      </c>
      <c r="C41" s="4">
        <f>VLOOKUP(A41, output_exiobase_v3.10.2_EXIO_IOT_2022_pxp_Y_imports_footprint_FR[], 2, FALSE)</f>
        <v>1641899803.5723214</v>
      </c>
      <c r="D41" s="4">
        <f>VLOOKUP(A41, output_exiobase_v3.10.2_EXIO_IOT_2022_pxp_Z_imports_footprint_FR[], 2, FALSE)</f>
        <v>918622501.34888721</v>
      </c>
      <c r="E41" s="4">
        <f>VLOOKUP(A41, output_exiobase_v3.10.2_EXIO_IOT_2022_pxp_Y_production_footprint_FR[], 2, FALSE)</f>
        <v>5716564312.9408875</v>
      </c>
      <c r="F41" s="4">
        <f>VLOOKUP(A41, output_exiobase_v3.10.2_EXIO_IOT_2022_pxp_Z_production_footprint_FR[], 2, FALSE)</f>
        <v>2531397109.0725751</v>
      </c>
      <c r="G41" s="35">
        <f t="shared" si="3"/>
        <v>0.23689930702679446</v>
      </c>
      <c r="H41" s="1">
        <f t="shared" si="4"/>
        <v>0.76310069297320549</v>
      </c>
      <c r="N41" s="7"/>
    </row>
    <row r="42" spans="1:14" x14ac:dyDescent="0.3">
      <c r="A42" s="9" t="s">
        <v>192</v>
      </c>
      <c r="B42" s="29">
        <f t="shared" ref="B42:B73" si="5">SUM(C42:F42)</f>
        <v>10602676762.423908</v>
      </c>
      <c r="C42" s="4">
        <f>VLOOKUP(A42, output_exiobase_v3.10.2_EXIO_IOT_2022_pxp_Y_imports_footprint_FR[], 2, FALSE)</f>
        <v>121924333.9304269</v>
      </c>
      <c r="D42" s="4">
        <f>VLOOKUP(A42, output_exiobase_v3.10.2_EXIO_IOT_2022_pxp_Z_imports_footprint_FR[], 2, FALSE)</f>
        <v>58546217.056595676</v>
      </c>
      <c r="E42" s="4">
        <f>VLOOKUP(A42, output_exiobase_v3.10.2_EXIO_IOT_2022_pxp_Y_production_footprint_FR[], 2, FALSE)</f>
        <v>2378734203.8421745</v>
      </c>
      <c r="F42" s="4">
        <f>VLOOKUP(A42, output_exiobase_v3.10.2_EXIO_IOT_2022_pxp_Z_production_footprint_FR[], 2, FALSE)</f>
        <v>8043472007.5947104</v>
      </c>
      <c r="G42" s="35">
        <f t="shared" ref="G42:G73" si="6">(C42+D42)/B42</f>
        <v>1.7021225397214193E-2</v>
      </c>
      <c r="H42" s="1">
        <f t="shared" ref="H42:H73" si="7">(E42+F42)/B42</f>
        <v>0.98297877460278582</v>
      </c>
      <c r="N42" s="7"/>
    </row>
    <row r="43" spans="1:14" x14ac:dyDescent="0.3">
      <c r="A43" s="9" t="s">
        <v>191</v>
      </c>
      <c r="B43" s="29">
        <f t="shared" si="5"/>
        <v>10304097155.348009</v>
      </c>
      <c r="C43" s="4">
        <f>VLOOKUP(A43, output_exiobase_v3.10.2_EXIO_IOT_2022_pxp_Y_imports_footprint_FR[], 2, FALSE)</f>
        <v>6512521070.1186113</v>
      </c>
      <c r="D43" s="4">
        <f>VLOOKUP(A43, output_exiobase_v3.10.2_EXIO_IOT_2022_pxp_Z_imports_footprint_FR[], 2, FALSE)</f>
        <v>957606509.71452236</v>
      </c>
      <c r="E43" s="4">
        <f>VLOOKUP(A43, output_exiobase_v3.10.2_EXIO_IOT_2022_pxp_Y_production_footprint_FR[], 2, FALSE)</f>
        <v>2411334518.2726464</v>
      </c>
      <c r="F43" s="4">
        <f>VLOOKUP(A43, output_exiobase_v3.10.2_EXIO_IOT_2022_pxp_Z_production_footprint_FR[], 2, FALSE)</f>
        <v>422635057.24222958</v>
      </c>
      <c r="G43" s="35">
        <f t="shared" si="6"/>
        <v>0.72496672607128954</v>
      </c>
      <c r="H43" s="1">
        <f t="shared" si="7"/>
        <v>0.27503327392871052</v>
      </c>
      <c r="N43" s="7"/>
    </row>
    <row r="44" spans="1:14" x14ac:dyDescent="0.3">
      <c r="A44" s="9" t="s">
        <v>183</v>
      </c>
      <c r="B44" s="29">
        <f t="shared" si="5"/>
        <v>9971351181.5754547</v>
      </c>
      <c r="C44" s="4">
        <f>VLOOKUP(A44, output_exiobase_v3.10.2_EXIO_IOT_2022_pxp_Y_imports_footprint_FR[], 2, FALSE)</f>
        <v>3304991844.8762884</v>
      </c>
      <c r="D44" s="4">
        <f>VLOOKUP(A44, output_exiobase_v3.10.2_EXIO_IOT_2022_pxp_Z_imports_footprint_FR[], 2, FALSE)</f>
        <v>2731331055.1596475</v>
      </c>
      <c r="E44" s="4">
        <f>VLOOKUP(A44, output_exiobase_v3.10.2_EXIO_IOT_2022_pxp_Y_production_footprint_FR[], 2, FALSE)</f>
        <v>1377951159.9351454</v>
      </c>
      <c r="F44" s="4">
        <f>VLOOKUP(A44, output_exiobase_v3.10.2_EXIO_IOT_2022_pxp_Z_production_footprint_FR[], 2, FALSE)</f>
        <v>2557077121.6043735</v>
      </c>
      <c r="G44" s="35">
        <f t="shared" si="6"/>
        <v>0.60536659376610269</v>
      </c>
      <c r="H44" s="1">
        <f t="shared" si="7"/>
        <v>0.39463340623389737</v>
      </c>
      <c r="N44" s="7"/>
    </row>
    <row r="45" spans="1:14" x14ac:dyDescent="0.3">
      <c r="A45" s="9" t="s">
        <v>40</v>
      </c>
      <c r="B45" s="29">
        <f t="shared" si="5"/>
        <v>9845098905.335598</v>
      </c>
      <c r="C45" s="4">
        <f>VLOOKUP(A45, output_exiobase_v3.10.2_EXIO_IOT_2022_pxp_Y_imports_footprint_FR[], 2, FALSE)</f>
        <v>392000499.53233325</v>
      </c>
      <c r="D45" s="4">
        <f>VLOOKUP(A45, output_exiobase_v3.10.2_EXIO_IOT_2022_pxp_Z_imports_footprint_FR[], 2, FALSE)</f>
        <v>103537121.73958071</v>
      </c>
      <c r="E45" s="4">
        <f>VLOOKUP(A45, output_exiobase_v3.10.2_EXIO_IOT_2022_pxp_Y_production_footprint_FR[], 2, FALSE)</f>
        <v>8406838683.5174217</v>
      </c>
      <c r="F45" s="4">
        <f>VLOOKUP(A45, output_exiobase_v3.10.2_EXIO_IOT_2022_pxp_Z_production_footprint_FR[], 2, FALSE)</f>
        <v>942722600.5462625</v>
      </c>
      <c r="G45" s="35">
        <f t="shared" si="6"/>
        <v>5.033343250653937E-2</v>
      </c>
      <c r="H45" s="1">
        <f t="shared" si="7"/>
        <v>0.94966656749346068</v>
      </c>
      <c r="N45" s="7"/>
    </row>
    <row r="46" spans="1:14" x14ac:dyDescent="0.3">
      <c r="A46" s="9" t="s">
        <v>122</v>
      </c>
      <c r="B46" s="29">
        <f t="shared" si="5"/>
        <v>9441892574.5053749</v>
      </c>
      <c r="C46" s="4">
        <f>VLOOKUP(A46, output_exiobase_v3.10.2_EXIO_IOT_2022_pxp_Y_imports_footprint_FR[], 2, FALSE)</f>
        <v>1887984914.9422865</v>
      </c>
      <c r="D46" s="4">
        <f>VLOOKUP(A46, output_exiobase_v3.10.2_EXIO_IOT_2022_pxp_Z_imports_footprint_FR[], 2, FALSE)</f>
        <v>3123303824.9111099</v>
      </c>
      <c r="E46" s="4">
        <f>VLOOKUP(A46, output_exiobase_v3.10.2_EXIO_IOT_2022_pxp_Y_production_footprint_FR[], 2, FALSE)</f>
        <v>992721063.39639938</v>
      </c>
      <c r="F46" s="4">
        <f>VLOOKUP(A46, output_exiobase_v3.10.2_EXIO_IOT_2022_pxp_Z_production_footprint_FR[], 2, FALSE)</f>
        <v>3437882771.255579</v>
      </c>
      <c r="G46" s="35">
        <f t="shared" si="6"/>
        <v>0.53075045075016847</v>
      </c>
      <c r="H46" s="1">
        <f t="shared" si="7"/>
        <v>0.46924954924983153</v>
      </c>
      <c r="N46" s="7"/>
    </row>
    <row r="47" spans="1:14" x14ac:dyDescent="0.3">
      <c r="A47" s="9" t="s">
        <v>74</v>
      </c>
      <c r="B47" s="29">
        <f t="shared" si="5"/>
        <v>8863217162.8761196</v>
      </c>
      <c r="C47" s="4">
        <f>VLOOKUP(A47, output_exiobase_v3.10.2_EXIO_IOT_2022_pxp_Y_imports_footprint_FR[], 2, FALSE)</f>
        <v>2616393737.6354613</v>
      </c>
      <c r="D47" s="4">
        <f>VLOOKUP(A47, output_exiobase_v3.10.2_EXIO_IOT_2022_pxp_Z_imports_footprint_FR[], 2, FALSE)</f>
        <v>831882795.82206416</v>
      </c>
      <c r="E47" s="4">
        <f>VLOOKUP(A47, output_exiobase_v3.10.2_EXIO_IOT_2022_pxp_Y_production_footprint_FR[], 2, FALSE)</f>
        <v>4021942808.3904796</v>
      </c>
      <c r="F47" s="4">
        <f>VLOOKUP(A47, output_exiobase_v3.10.2_EXIO_IOT_2022_pxp_Z_production_footprint_FR[], 2, FALSE)</f>
        <v>1392997821.0281138</v>
      </c>
      <c r="G47" s="35">
        <f t="shared" si="6"/>
        <v>0.38905472697890631</v>
      </c>
      <c r="H47" s="1">
        <f t="shared" si="7"/>
        <v>0.61094527302109358</v>
      </c>
      <c r="N47" s="7"/>
    </row>
    <row r="48" spans="1:14" x14ac:dyDescent="0.3">
      <c r="A48" s="9" t="s">
        <v>22</v>
      </c>
      <c r="B48" s="29">
        <f t="shared" si="5"/>
        <v>8618949658.9112453</v>
      </c>
      <c r="C48" s="4">
        <f>VLOOKUP(A48, output_exiobase_v3.10.2_EXIO_IOT_2022_pxp_Y_imports_footprint_FR[], 2, FALSE)</f>
        <v>19688034.398869622</v>
      </c>
      <c r="D48" s="4">
        <f>VLOOKUP(A48, output_exiobase_v3.10.2_EXIO_IOT_2022_pxp_Z_imports_footprint_FR[], 2, FALSE)</f>
        <v>676604719.32129622</v>
      </c>
      <c r="E48" s="4">
        <f>VLOOKUP(A48, output_exiobase_v3.10.2_EXIO_IOT_2022_pxp_Y_production_footprint_FR[], 2, FALSE)</f>
        <v>783942301.77025747</v>
      </c>
      <c r="F48" s="4">
        <f>VLOOKUP(A48, output_exiobase_v3.10.2_EXIO_IOT_2022_pxp_Z_production_footprint_FR[], 2, FALSE)</f>
        <v>7138714603.4208221</v>
      </c>
      <c r="G48" s="35">
        <f t="shared" si="6"/>
        <v>8.0786265296289281E-2</v>
      </c>
      <c r="H48" s="1">
        <f t="shared" si="7"/>
        <v>0.91921373470371082</v>
      </c>
      <c r="N48" s="5"/>
    </row>
    <row r="49" spans="1:8" x14ac:dyDescent="0.3">
      <c r="A49" s="9" t="s">
        <v>73</v>
      </c>
      <c r="B49" s="29">
        <f t="shared" si="5"/>
        <v>8417316707.7436123</v>
      </c>
      <c r="C49" s="4">
        <f>VLOOKUP(A49, output_exiobase_v3.10.2_EXIO_IOT_2022_pxp_Y_imports_footprint_FR[], 2, FALSE)</f>
        <v>641909834.48595226</v>
      </c>
      <c r="D49" s="4">
        <f>VLOOKUP(A49, output_exiobase_v3.10.2_EXIO_IOT_2022_pxp_Z_imports_footprint_FR[], 2, FALSE)</f>
        <v>31740595.992409065</v>
      </c>
      <c r="E49" s="4">
        <f>VLOOKUP(A49, output_exiobase_v3.10.2_EXIO_IOT_2022_pxp_Y_production_footprint_FR[], 2, FALSE)</f>
        <v>7617813138.7644815</v>
      </c>
      <c r="F49" s="4">
        <f>VLOOKUP(A49, output_exiobase_v3.10.2_EXIO_IOT_2022_pxp_Z_production_footprint_FR[], 2, FALSE)</f>
        <v>125853138.50076921</v>
      </c>
      <c r="G49" s="35">
        <f t="shared" si="6"/>
        <v>8.0031493867710662E-2</v>
      </c>
      <c r="H49" s="1">
        <f t="shared" si="7"/>
        <v>0.91996850613228942</v>
      </c>
    </row>
    <row r="50" spans="1:8" x14ac:dyDescent="0.3">
      <c r="A50" s="9" t="s">
        <v>106</v>
      </c>
      <c r="B50" s="29">
        <f t="shared" si="5"/>
        <v>8354903026.5904608</v>
      </c>
      <c r="C50" s="4">
        <f>VLOOKUP(A50, output_exiobase_v3.10.2_EXIO_IOT_2022_pxp_Y_imports_footprint_FR[], 2, FALSE)</f>
        <v>619070870.22541237</v>
      </c>
      <c r="D50" s="4">
        <f>VLOOKUP(A50, output_exiobase_v3.10.2_EXIO_IOT_2022_pxp_Z_imports_footprint_FR[], 2, FALSE)</f>
        <v>1388233845.6837754</v>
      </c>
      <c r="E50" s="4">
        <f>VLOOKUP(A50, output_exiobase_v3.10.2_EXIO_IOT_2022_pxp_Y_production_footprint_FR[], 2, FALSE)</f>
        <v>631134348.63149405</v>
      </c>
      <c r="F50" s="4">
        <f>VLOOKUP(A50, output_exiobase_v3.10.2_EXIO_IOT_2022_pxp_Z_production_footprint_FR[], 2, FALSE)</f>
        <v>5716463962.0497789</v>
      </c>
      <c r="G50" s="35">
        <f t="shared" si="6"/>
        <v>0.24025469948851647</v>
      </c>
      <c r="H50" s="1">
        <f t="shared" si="7"/>
        <v>0.75974530051148348</v>
      </c>
    </row>
    <row r="51" spans="1:8" x14ac:dyDescent="0.3">
      <c r="A51" s="9" t="s">
        <v>158</v>
      </c>
      <c r="B51" s="29">
        <f t="shared" si="5"/>
        <v>8252528666.5861311</v>
      </c>
      <c r="C51" s="4">
        <f>VLOOKUP(A51, output_exiobase_v3.10.2_EXIO_IOT_2022_pxp_Y_imports_footprint_FR[], 2, FALSE)</f>
        <v>990424703.70951998</v>
      </c>
      <c r="D51" s="4">
        <f>VLOOKUP(A51, output_exiobase_v3.10.2_EXIO_IOT_2022_pxp_Z_imports_footprint_FR[], 2, FALSE)</f>
        <v>182602453.28675148</v>
      </c>
      <c r="E51" s="4">
        <f>VLOOKUP(A51, output_exiobase_v3.10.2_EXIO_IOT_2022_pxp_Y_production_footprint_FR[], 2, FALSE)</f>
        <v>6630488031.0585423</v>
      </c>
      <c r="F51" s="4">
        <f>VLOOKUP(A51, output_exiobase_v3.10.2_EXIO_IOT_2022_pxp_Z_production_footprint_FR[], 2, FALSE)</f>
        <v>449013478.53131771</v>
      </c>
      <c r="G51" s="35">
        <f t="shared" si="6"/>
        <v>0.14214154283956265</v>
      </c>
      <c r="H51" s="1">
        <f t="shared" si="7"/>
        <v>0.8578584571604374</v>
      </c>
    </row>
    <row r="52" spans="1:8" x14ac:dyDescent="0.3">
      <c r="A52" s="9" t="s">
        <v>157</v>
      </c>
      <c r="B52" s="29">
        <f t="shared" si="5"/>
        <v>8166942533.6196451</v>
      </c>
      <c r="C52" s="4">
        <f>VLOOKUP(A52, output_exiobase_v3.10.2_EXIO_IOT_2022_pxp_Y_imports_footprint_FR[], 2, FALSE)</f>
        <v>223440727.51064375</v>
      </c>
      <c r="D52" s="4">
        <f>VLOOKUP(A52, output_exiobase_v3.10.2_EXIO_IOT_2022_pxp_Z_imports_footprint_FR[], 2, FALSE)</f>
        <v>2052777115.5850768</v>
      </c>
      <c r="E52" s="4">
        <f>VLOOKUP(A52, output_exiobase_v3.10.2_EXIO_IOT_2022_pxp_Y_production_footprint_FR[], 2, FALSE)</f>
        <v>1173512751.4554505</v>
      </c>
      <c r="F52" s="4">
        <f>VLOOKUP(A52, output_exiobase_v3.10.2_EXIO_IOT_2022_pxp_Z_production_footprint_FR[], 2, FALSE)</f>
        <v>4717211939.0684738</v>
      </c>
      <c r="G52" s="35">
        <f t="shared" si="6"/>
        <v>0.27871113745756765</v>
      </c>
      <c r="H52" s="1">
        <f t="shared" si="7"/>
        <v>0.7212888625424323</v>
      </c>
    </row>
    <row r="53" spans="1:8" x14ac:dyDescent="0.3">
      <c r="A53" s="9" t="s">
        <v>152</v>
      </c>
      <c r="B53" s="29">
        <f t="shared" si="5"/>
        <v>8123454832.2951622</v>
      </c>
      <c r="C53" s="4">
        <f>VLOOKUP(A53, output_exiobase_v3.10.2_EXIO_IOT_2022_pxp_Y_imports_footprint_FR[], 2, FALSE)</f>
        <v>1110149848.0506811</v>
      </c>
      <c r="D53" s="4">
        <f>VLOOKUP(A53, output_exiobase_v3.10.2_EXIO_IOT_2022_pxp_Z_imports_footprint_FR[], 2, FALSE)</f>
        <v>582600574.99211061</v>
      </c>
      <c r="E53" s="4">
        <f>VLOOKUP(A53, output_exiobase_v3.10.2_EXIO_IOT_2022_pxp_Y_production_footprint_FR[], 2, FALSE)</f>
        <v>4872233085.0197697</v>
      </c>
      <c r="F53" s="4">
        <f>VLOOKUP(A53, output_exiobase_v3.10.2_EXIO_IOT_2022_pxp_Z_production_footprint_FR[], 2, FALSE)</f>
        <v>1558471324.2326012</v>
      </c>
      <c r="G53" s="35">
        <f t="shared" si="6"/>
        <v>0.20837814181143544</v>
      </c>
      <c r="H53" s="1">
        <f t="shared" si="7"/>
        <v>0.79162185818856456</v>
      </c>
    </row>
    <row r="54" spans="1:8" x14ac:dyDescent="0.3">
      <c r="A54" s="9" t="s">
        <v>85</v>
      </c>
      <c r="B54" s="29">
        <f t="shared" si="5"/>
        <v>8014774096.0285196</v>
      </c>
      <c r="C54" s="4">
        <f>VLOOKUP(A54, output_exiobase_v3.10.2_EXIO_IOT_2022_pxp_Y_imports_footprint_FR[], 2, FALSE)</f>
        <v>5608837201.5718498</v>
      </c>
      <c r="D54" s="4">
        <f>VLOOKUP(A54, output_exiobase_v3.10.2_EXIO_IOT_2022_pxp_Z_imports_footprint_FR[], 2, FALSE)</f>
        <v>685789252.33751428</v>
      </c>
      <c r="E54" s="4">
        <f>VLOOKUP(A54, output_exiobase_v3.10.2_EXIO_IOT_2022_pxp_Y_production_footprint_FR[], 2, FALSE)</f>
        <v>681415995.05709851</v>
      </c>
      <c r="F54" s="4">
        <f>VLOOKUP(A54, output_exiobase_v3.10.2_EXIO_IOT_2022_pxp_Z_production_footprint_FR[], 2, FALSE)</f>
        <v>1038731647.0620573</v>
      </c>
      <c r="G54" s="35">
        <f t="shared" si="6"/>
        <v>0.78537790067326751</v>
      </c>
      <c r="H54" s="1">
        <f t="shared" si="7"/>
        <v>0.21462209932673254</v>
      </c>
    </row>
    <row r="55" spans="1:8" x14ac:dyDescent="0.3">
      <c r="A55" s="9" t="s">
        <v>177</v>
      </c>
      <c r="B55" s="29">
        <f t="shared" si="5"/>
        <v>7947808895.3040924</v>
      </c>
      <c r="C55" s="4">
        <f>VLOOKUP(A55, output_exiobase_v3.10.2_EXIO_IOT_2022_pxp_Y_imports_footprint_FR[], 2, FALSE)</f>
        <v>0</v>
      </c>
      <c r="D55" s="4">
        <f>VLOOKUP(A55, output_exiobase_v3.10.2_EXIO_IOT_2022_pxp_Z_imports_footprint_FR[], 2, FALSE)</f>
        <v>0</v>
      </c>
      <c r="E55" s="4">
        <f>VLOOKUP(A55, output_exiobase_v3.10.2_EXIO_IOT_2022_pxp_Y_production_footprint_FR[], 2, FALSE)</f>
        <v>0</v>
      </c>
      <c r="F55" s="4">
        <f>VLOOKUP(A55, output_exiobase_v3.10.2_EXIO_IOT_2022_pxp_Z_production_footprint_FR[], 2, FALSE)</f>
        <v>7947808895.3040924</v>
      </c>
      <c r="G55" s="35">
        <f t="shared" si="6"/>
        <v>0</v>
      </c>
      <c r="H55" s="1">
        <f t="shared" si="7"/>
        <v>1</v>
      </c>
    </row>
    <row r="56" spans="1:8" x14ac:dyDescent="0.3">
      <c r="A56" s="9" t="s">
        <v>82</v>
      </c>
      <c r="B56" s="29">
        <f t="shared" si="5"/>
        <v>7705044469.6052952</v>
      </c>
      <c r="C56" s="4">
        <f>VLOOKUP(A56, output_exiobase_v3.10.2_EXIO_IOT_2022_pxp_Y_imports_footprint_FR[], 2, FALSE)</f>
        <v>9.8804476034043275E-4</v>
      </c>
      <c r="D56" s="4">
        <f>VLOOKUP(A56, output_exiobase_v3.10.2_EXIO_IOT_2022_pxp_Z_imports_footprint_FR[], 2, FALSE)</f>
        <v>4152633894.189085</v>
      </c>
      <c r="E56" s="4">
        <f>VLOOKUP(A56, output_exiobase_v3.10.2_EXIO_IOT_2022_pxp_Y_production_footprint_FR[], 2, FALSE)</f>
        <v>222497512.88960469</v>
      </c>
      <c r="F56" s="4">
        <f>VLOOKUP(A56, output_exiobase_v3.10.2_EXIO_IOT_2022_pxp_Z_production_footprint_FR[], 2, FALSE)</f>
        <v>3329913062.5256176</v>
      </c>
      <c r="G56" s="35">
        <f t="shared" si="6"/>
        <v>0.53895002301041872</v>
      </c>
      <c r="H56" s="1">
        <f t="shared" si="7"/>
        <v>0.46104997698958133</v>
      </c>
    </row>
    <row r="57" spans="1:8" x14ac:dyDescent="0.3">
      <c r="A57" s="9" t="s">
        <v>41</v>
      </c>
      <c r="B57" s="29">
        <f t="shared" si="5"/>
        <v>7650478077.5669384</v>
      </c>
      <c r="C57" s="4">
        <f>VLOOKUP(A57, output_exiobase_v3.10.2_EXIO_IOT_2022_pxp_Y_imports_footprint_FR[], 2, FALSE)</f>
        <v>2242991349.9213343</v>
      </c>
      <c r="D57" s="4">
        <f>VLOOKUP(A57, output_exiobase_v3.10.2_EXIO_IOT_2022_pxp_Z_imports_footprint_FR[], 2, FALSE)</f>
        <v>5143815376.3924656</v>
      </c>
      <c r="E57" s="4">
        <f>VLOOKUP(A57, output_exiobase_v3.10.2_EXIO_IOT_2022_pxp_Y_production_footprint_FR[], 2, FALSE)</f>
        <v>36575402.287536159</v>
      </c>
      <c r="F57" s="4">
        <f>VLOOKUP(A57, output_exiobase_v3.10.2_EXIO_IOT_2022_pxp_Z_production_footprint_FR[], 2, FALSE)</f>
        <v>227095948.96560183</v>
      </c>
      <c r="G57" s="35">
        <f t="shared" si="6"/>
        <v>0.9655353105283333</v>
      </c>
      <c r="H57" s="1">
        <f t="shared" si="7"/>
        <v>3.4464689471666678E-2</v>
      </c>
    </row>
    <row r="58" spans="1:8" x14ac:dyDescent="0.3">
      <c r="A58" s="9" t="s">
        <v>57</v>
      </c>
      <c r="B58" s="29">
        <f t="shared" si="5"/>
        <v>7213295901.7016325</v>
      </c>
      <c r="C58" s="4">
        <f>VLOOKUP(A58, output_exiobase_v3.10.2_EXIO_IOT_2022_pxp_Y_imports_footprint_FR[], 2, FALSE)</f>
        <v>83521381.368467852</v>
      </c>
      <c r="D58" s="4">
        <f>VLOOKUP(A58, output_exiobase_v3.10.2_EXIO_IOT_2022_pxp_Z_imports_footprint_FR[], 2, FALSE)</f>
        <v>984517841.96202207</v>
      </c>
      <c r="E58" s="4">
        <f>VLOOKUP(A58, output_exiobase_v3.10.2_EXIO_IOT_2022_pxp_Y_production_footprint_FR[], 2, FALSE)</f>
        <v>1248165417.938983</v>
      </c>
      <c r="F58" s="4">
        <f>VLOOKUP(A58, output_exiobase_v3.10.2_EXIO_IOT_2022_pxp_Z_production_footprint_FR[], 2, FALSE)</f>
        <v>4897091260.4321594</v>
      </c>
      <c r="G58" s="35">
        <f t="shared" si="6"/>
        <v>0.14806535568276591</v>
      </c>
      <c r="H58" s="1">
        <f t="shared" si="7"/>
        <v>0.85193464431723409</v>
      </c>
    </row>
    <row r="59" spans="1:8" x14ac:dyDescent="0.3">
      <c r="A59" s="9" t="s">
        <v>44</v>
      </c>
      <c r="B59" s="29">
        <f t="shared" si="5"/>
        <v>7166160921.51087</v>
      </c>
      <c r="C59" s="4">
        <f>VLOOKUP(A59, output_exiobase_v3.10.2_EXIO_IOT_2022_pxp_Y_imports_footprint_FR[], 2, FALSE)</f>
        <v>1187538229.897557</v>
      </c>
      <c r="D59" s="4">
        <f>VLOOKUP(A59, output_exiobase_v3.10.2_EXIO_IOT_2022_pxp_Z_imports_footprint_FR[], 2, FALSE)</f>
        <v>3586517732.2365499</v>
      </c>
      <c r="E59" s="4">
        <f>VLOOKUP(A59, output_exiobase_v3.10.2_EXIO_IOT_2022_pxp_Y_production_footprint_FR[], 2, FALSE)</f>
        <v>597215294.30783951</v>
      </c>
      <c r="F59" s="4">
        <f>VLOOKUP(A59, output_exiobase_v3.10.2_EXIO_IOT_2022_pxp_Z_production_footprint_FR[], 2, FALSE)</f>
        <v>1794889665.0689235</v>
      </c>
      <c r="G59" s="35">
        <f t="shared" si="6"/>
        <v>0.66619435628408596</v>
      </c>
      <c r="H59" s="1">
        <f t="shared" si="7"/>
        <v>0.33380564371591392</v>
      </c>
    </row>
    <row r="60" spans="1:8" x14ac:dyDescent="0.3">
      <c r="A60" s="9" t="s">
        <v>38</v>
      </c>
      <c r="B60" s="29">
        <f t="shared" si="5"/>
        <v>6727812782.2114105</v>
      </c>
      <c r="C60" s="4">
        <f>VLOOKUP(A60, output_exiobase_v3.10.2_EXIO_IOT_2022_pxp_Y_imports_footprint_FR[], 2, FALSE)</f>
        <v>0</v>
      </c>
      <c r="D60" s="4">
        <f>VLOOKUP(A60, output_exiobase_v3.10.2_EXIO_IOT_2022_pxp_Z_imports_footprint_FR[], 2, FALSE)</f>
        <v>0</v>
      </c>
      <c r="E60" s="4">
        <f>VLOOKUP(A60, output_exiobase_v3.10.2_EXIO_IOT_2022_pxp_Y_production_footprint_FR[], 2, FALSE)</f>
        <v>2357728470.2349677</v>
      </c>
      <c r="F60" s="4">
        <f>VLOOKUP(A60, output_exiobase_v3.10.2_EXIO_IOT_2022_pxp_Z_production_footprint_FR[], 2, FALSE)</f>
        <v>4370084311.9764423</v>
      </c>
      <c r="G60" s="35">
        <f t="shared" si="6"/>
        <v>0</v>
      </c>
      <c r="H60" s="1">
        <f t="shared" si="7"/>
        <v>1</v>
      </c>
    </row>
    <row r="61" spans="1:8" x14ac:dyDescent="0.3">
      <c r="A61" s="9" t="s">
        <v>195</v>
      </c>
      <c r="B61" s="29">
        <f t="shared" si="5"/>
        <v>6551109177.5438261</v>
      </c>
      <c r="C61" s="4">
        <f>VLOOKUP(A61, output_exiobase_v3.10.2_EXIO_IOT_2022_pxp_Y_imports_footprint_FR[], 2, FALSE)</f>
        <v>601711724.85948479</v>
      </c>
      <c r="D61" s="4">
        <f>VLOOKUP(A61, output_exiobase_v3.10.2_EXIO_IOT_2022_pxp_Z_imports_footprint_FR[], 2, FALSE)</f>
        <v>2480762799.0961084</v>
      </c>
      <c r="E61" s="4">
        <f>VLOOKUP(A61, output_exiobase_v3.10.2_EXIO_IOT_2022_pxp_Y_production_footprint_FR[], 2, FALSE)</f>
        <v>406829322.26045287</v>
      </c>
      <c r="F61" s="4">
        <f>VLOOKUP(A61, output_exiobase_v3.10.2_EXIO_IOT_2022_pxp_Z_production_footprint_FR[], 2, FALSE)</f>
        <v>3061805331.3277802</v>
      </c>
      <c r="G61" s="35">
        <f t="shared" si="6"/>
        <v>0.47052711844916767</v>
      </c>
      <c r="H61" s="1">
        <f t="shared" si="7"/>
        <v>0.52947288155083239</v>
      </c>
    </row>
    <row r="62" spans="1:8" x14ac:dyDescent="0.3">
      <c r="A62" s="9" t="s">
        <v>3</v>
      </c>
      <c r="B62" s="29">
        <f t="shared" si="5"/>
        <v>6073705387.8811836</v>
      </c>
      <c r="C62" s="4">
        <f>VLOOKUP(A62, output_exiobase_v3.10.2_EXIO_IOT_2022_pxp_Y_imports_footprint_FR[], 2, FALSE)</f>
        <v>3111617.3042882378</v>
      </c>
      <c r="D62" s="4">
        <f>VLOOKUP(A62, output_exiobase_v3.10.2_EXIO_IOT_2022_pxp_Z_imports_footprint_FR[], 2, FALSE)</f>
        <v>4456871543.5347538</v>
      </c>
      <c r="E62" s="4">
        <f>VLOOKUP(A62, output_exiobase_v3.10.2_EXIO_IOT_2022_pxp_Y_production_footprint_FR[], 2, FALSE)</f>
        <v>66268212.648109496</v>
      </c>
      <c r="F62" s="4">
        <f>VLOOKUP(A62, output_exiobase_v3.10.2_EXIO_IOT_2022_pxp_Z_production_footprint_FR[], 2, FALSE)</f>
        <v>1547454014.3940327</v>
      </c>
      <c r="G62" s="35">
        <f t="shared" si="6"/>
        <v>0.73431009178318241</v>
      </c>
      <c r="H62" s="1">
        <f t="shared" si="7"/>
        <v>0.26568990821681759</v>
      </c>
    </row>
    <row r="63" spans="1:8" x14ac:dyDescent="0.3">
      <c r="A63" s="9" t="s">
        <v>156</v>
      </c>
      <c r="B63" s="29">
        <f t="shared" si="5"/>
        <v>5697514492.5438862</v>
      </c>
      <c r="C63" s="4">
        <f>VLOOKUP(A63, output_exiobase_v3.10.2_EXIO_IOT_2022_pxp_Y_imports_footprint_FR[], 2, FALSE)</f>
        <v>9391561.7150921337</v>
      </c>
      <c r="D63" s="4">
        <f>VLOOKUP(A63, output_exiobase_v3.10.2_EXIO_IOT_2022_pxp_Z_imports_footprint_FR[], 2, FALSE)</f>
        <v>249610110.72263128</v>
      </c>
      <c r="E63" s="4">
        <f>VLOOKUP(A63, output_exiobase_v3.10.2_EXIO_IOT_2022_pxp_Y_production_footprint_FR[], 2, FALSE)</f>
        <v>566318922.44524956</v>
      </c>
      <c r="F63" s="4">
        <f>VLOOKUP(A63, output_exiobase_v3.10.2_EXIO_IOT_2022_pxp_Z_production_footprint_FR[], 2, FALSE)</f>
        <v>4872193897.6609135</v>
      </c>
      <c r="G63" s="35">
        <f t="shared" si="6"/>
        <v>4.5458712351968342E-2</v>
      </c>
      <c r="H63" s="1">
        <f t="shared" si="7"/>
        <v>0.9545412876480317</v>
      </c>
    </row>
    <row r="64" spans="1:8" x14ac:dyDescent="0.3">
      <c r="A64" s="9" t="s">
        <v>27</v>
      </c>
      <c r="B64" s="29">
        <f t="shared" si="5"/>
        <v>5448917273.1779919</v>
      </c>
      <c r="C64" s="4">
        <f>VLOOKUP(A64, output_exiobase_v3.10.2_EXIO_IOT_2022_pxp_Y_imports_footprint_FR[], 2, FALSE)</f>
        <v>102703.37191419739</v>
      </c>
      <c r="D64" s="4">
        <f>VLOOKUP(A64, output_exiobase_v3.10.2_EXIO_IOT_2022_pxp_Z_imports_footprint_FR[], 2, FALSE)</f>
        <v>2661203547.6554461</v>
      </c>
      <c r="E64" s="4">
        <f>VLOOKUP(A64, output_exiobase_v3.10.2_EXIO_IOT_2022_pxp_Y_production_footprint_FR[], 2, FALSE)</f>
        <v>829036.06072235352</v>
      </c>
      <c r="F64" s="4">
        <f>VLOOKUP(A64, output_exiobase_v3.10.2_EXIO_IOT_2022_pxp_Z_production_footprint_FR[], 2, FALSE)</f>
        <v>2786781986.0899096</v>
      </c>
      <c r="G64" s="35">
        <f t="shared" si="6"/>
        <v>0.48841010380676914</v>
      </c>
      <c r="H64" s="1">
        <f t="shared" si="7"/>
        <v>0.51158989619323092</v>
      </c>
    </row>
    <row r="65" spans="1:8" x14ac:dyDescent="0.3">
      <c r="A65" s="9" t="s">
        <v>59</v>
      </c>
      <c r="B65" s="29">
        <f t="shared" si="5"/>
        <v>5409225996.441515</v>
      </c>
      <c r="C65" s="4">
        <f>VLOOKUP(A65, output_exiobase_v3.10.2_EXIO_IOT_2022_pxp_Y_imports_footprint_FR[], 2, FALSE)</f>
        <v>1202138978.7408409</v>
      </c>
      <c r="D65" s="4">
        <f>VLOOKUP(A65, output_exiobase_v3.10.2_EXIO_IOT_2022_pxp_Z_imports_footprint_FR[], 2, FALSE)</f>
        <v>1494143878.9663231</v>
      </c>
      <c r="E65" s="4">
        <f>VLOOKUP(A65, output_exiobase_v3.10.2_EXIO_IOT_2022_pxp_Y_production_footprint_FR[], 2, FALSE)</f>
        <v>260097067.7920945</v>
      </c>
      <c r="F65" s="4">
        <f>VLOOKUP(A65, output_exiobase_v3.10.2_EXIO_IOT_2022_pxp_Z_production_footprint_FR[], 2, FALSE)</f>
        <v>2452846070.942256</v>
      </c>
      <c r="G65" s="35">
        <f t="shared" si="6"/>
        <v>0.49846001248254856</v>
      </c>
      <c r="H65" s="1">
        <f t="shared" si="7"/>
        <v>0.50153998751745132</v>
      </c>
    </row>
    <row r="66" spans="1:8" x14ac:dyDescent="0.3">
      <c r="A66" s="9" t="s">
        <v>58</v>
      </c>
      <c r="B66" s="29">
        <f t="shared" si="5"/>
        <v>5374518001.1447992</v>
      </c>
      <c r="C66" s="4">
        <f>VLOOKUP(A66, output_exiobase_v3.10.2_EXIO_IOT_2022_pxp_Y_imports_footprint_FR[], 2, FALSE)</f>
        <v>2180453357.7912021</v>
      </c>
      <c r="D66" s="4">
        <f>VLOOKUP(A66, output_exiobase_v3.10.2_EXIO_IOT_2022_pxp_Z_imports_footprint_FR[], 2, FALSE)</f>
        <v>438288430.35672039</v>
      </c>
      <c r="E66" s="4">
        <f>VLOOKUP(A66, output_exiobase_v3.10.2_EXIO_IOT_2022_pxp_Y_production_footprint_FR[], 2, FALSE)</f>
        <v>2245111043.2790561</v>
      </c>
      <c r="F66" s="4">
        <f>VLOOKUP(A66, output_exiobase_v3.10.2_EXIO_IOT_2022_pxp_Z_production_footprint_FR[], 2, FALSE)</f>
        <v>510665169.71782011</v>
      </c>
      <c r="G66" s="35">
        <f t="shared" si="6"/>
        <v>0.48725146842751615</v>
      </c>
      <c r="H66" s="1">
        <f t="shared" si="7"/>
        <v>0.51274853157248368</v>
      </c>
    </row>
    <row r="67" spans="1:8" x14ac:dyDescent="0.3">
      <c r="A67" s="9" t="s">
        <v>78</v>
      </c>
      <c r="B67" s="29">
        <f t="shared" si="5"/>
        <v>5317505801.3657169</v>
      </c>
      <c r="C67" s="4">
        <f>VLOOKUP(A67, output_exiobase_v3.10.2_EXIO_IOT_2022_pxp_Y_imports_footprint_FR[], 2, FALSE)</f>
        <v>174457908.77759603</v>
      </c>
      <c r="D67" s="4">
        <f>VLOOKUP(A67, output_exiobase_v3.10.2_EXIO_IOT_2022_pxp_Z_imports_footprint_FR[], 2, FALSE)</f>
        <v>270458232.87257576</v>
      </c>
      <c r="E67" s="4">
        <f>VLOOKUP(A67, output_exiobase_v3.10.2_EXIO_IOT_2022_pxp_Y_production_footprint_FR[], 2, FALSE)</f>
        <v>3346389874.2547112</v>
      </c>
      <c r="F67" s="4">
        <f>VLOOKUP(A67, output_exiobase_v3.10.2_EXIO_IOT_2022_pxp_Z_production_footprint_FR[], 2, FALSE)</f>
        <v>1526199785.4608335</v>
      </c>
      <c r="G67" s="35">
        <f t="shared" si="6"/>
        <v>8.3670081100034183E-2</v>
      </c>
      <c r="H67" s="1">
        <f t="shared" si="7"/>
        <v>0.91632991889996573</v>
      </c>
    </row>
    <row r="68" spans="1:8" x14ac:dyDescent="0.3">
      <c r="A68" s="9" t="s">
        <v>101</v>
      </c>
      <c r="B68" s="29">
        <f t="shared" si="5"/>
        <v>5291537274.9764194</v>
      </c>
      <c r="C68" s="4">
        <f>VLOOKUP(A68, output_exiobase_v3.10.2_EXIO_IOT_2022_pxp_Y_imports_footprint_FR[], 2, FALSE)</f>
        <v>4244780618.9335546</v>
      </c>
      <c r="D68" s="4">
        <f>VLOOKUP(A68, output_exiobase_v3.10.2_EXIO_IOT_2022_pxp_Z_imports_footprint_FR[], 2, FALSE)</f>
        <v>507961113.03157586</v>
      </c>
      <c r="E68" s="4">
        <f>VLOOKUP(A68, output_exiobase_v3.10.2_EXIO_IOT_2022_pxp_Y_production_footprint_FR[], 2, FALSE)</f>
        <v>427117811.106655</v>
      </c>
      <c r="F68" s="4">
        <f>VLOOKUP(A68, output_exiobase_v3.10.2_EXIO_IOT_2022_pxp_Z_production_footprint_FR[], 2, FALSE)</f>
        <v>111677731.90463319</v>
      </c>
      <c r="G68" s="35">
        <f t="shared" si="6"/>
        <v>0.89817788007291521</v>
      </c>
      <c r="H68" s="1">
        <f t="shared" si="7"/>
        <v>0.10182211992708474</v>
      </c>
    </row>
    <row r="69" spans="1:8" x14ac:dyDescent="0.3">
      <c r="A69" s="9" t="s">
        <v>118</v>
      </c>
      <c r="B69" s="29">
        <f t="shared" si="5"/>
        <v>5281221743.4251022</v>
      </c>
      <c r="C69" s="4">
        <f>VLOOKUP(A69, output_exiobase_v3.10.2_EXIO_IOT_2022_pxp_Y_imports_footprint_FR[], 2, FALSE)</f>
        <v>1739437.7615809976</v>
      </c>
      <c r="D69" s="4">
        <f>VLOOKUP(A69, output_exiobase_v3.10.2_EXIO_IOT_2022_pxp_Z_imports_footprint_FR[], 2, FALSE)</f>
        <v>20842863.111882772</v>
      </c>
      <c r="E69" s="4">
        <f>VLOOKUP(A69, output_exiobase_v3.10.2_EXIO_IOT_2022_pxp_Y_production_footprint_FR[], 2, FALSE)</f>
        <v>1831458241.6537819</v>
      </c>
      <c r="F69" s="4">
        <f>VLOOKUP(A69, output_exiobase_v3.10.2_EXIO_IOT_2022_pxp_Z_production_footprint_FR[], 2, FALSE)</f>
        <v>3427181200.8978562</v>
      </c>
      <c r="G69" s="35">
        <f t="shared" si="6"/>
        <v>4.2759615048502328E-3</v>
      </c>
      <c r="H69" s="1">
        <f t="shared" si="7"/>
        <v>0.99572403849514957</v>
      </c>
    </row>
    <row r="70" spans="1:8" x14ac:dyDescent="0.3">
      <c r="A70" s="9" t="s">
        <v>34</v>
      </c>
      <c r="B70" s="29">
        <f t="shared" si="5"/>
        <v>5231028158.7749796</v>
      </c>
      <c r="C70" s="4">
        <f>VLOOKUP(A70, output_exiobase_v3.10.2_EXIO_IOT_2022_pxp_Y_imports_footprint_FR[], 2, FALSE)</f>
        <v>1.6685513488473164E-3</v>
      </c>
      <c r="D70" s="4">
        <f>VLOOKUP(A70, output_exiobase_v3.10.2_EXIO_IOT_2022_pxp_Z_imports_footprint_FR[], 2, FALSE)</f>
        <v>2786390379.8811131</v>
      </c>
      <c r="E70" s="4">
        <f>VLOOKUP(A70, output_exiobase_v3.10.2_EXIO_IOT_2022_pxp_Y_production_footprint_FR[], 2, FALSE)</f>
        <v>77206176.692036659</v>
      </c>
      <c r="F70" s="4">
        <f>VLOOKUP(A70, output_exiobase_v3.10.2_EXIO_IOT_2022_pxp_Z_production_footprint_FR[], 2, FALSE)</f>
        <v>2367431602.2001615</v>
      </c>
      <c r="G70" s="35">
        <f t="shared" si="6"/>
        <v>0.53266591104248773</v>
      </c>
      <c r="H70" s="1">
        <f t="shared" si="7"/>
        <v>0.46733408895751227</v>
      </c>
    </row>
    <row r="71" spans="1:8" x14ac:dyDescent="0.3">
      <c r="A71" s="9" t="s">
        <v>72</v>
      </c>
      <c r="B71" s="29">
        <f t="shared" si="5"/>
        <v>4991226722.9420862</v>
      </c>
      <c r="C71" s="4">
        <f>VLOOKUP(A71, output_exiobase_v3.10.2_EXIO_IOT_2022_pxp_Y_imports_footprint_FR[], 2, FALSE)</f>
        <v>5.7593623688128692E-4</v>
      </c>
      <c r="D71" s="4">
        <f>VLOOKUP(A71, output_exiobase_v3.10.2_EXIO_IOT_2022_pxp_Z_imports_footprint_FR[], 2, FALSE)</f>
        <v>3234134202.8207827</v>
      </c>
      <c r="E71" s="4">
        <f>VLOOKUP(A71, output_exiobase_v3.10.2_EXIO_IOT_2022_pxp_Y_production_footprint_FR[], 2, FALSE)</f>
        <v>61712332.89598731</v>
      </c>
      <c r="F71" s="4">
        <f>VLOOKUP(A71, output_exiobase_v3.10.2_EXIO_IOT_2022_pxp_Z_production_footprint_FR[], 2, FALSE)</f>
        <v>1695380187.22474</v>
      </c>
      <c r="G71" s="35">
        <f t="shared" si="6"/>
        <v>0.64796379374146995</v>
      </c>
      <c r="H71" s="1">
        <f t="shared" si="7"/>
        <v>0.35203620625853005</v>
      </c>
    </row>
    <row r="72" spans="1:8" x14ac:dyDescent="0.3">
      <c r="A72" s="9" t="s">
        <v>137</v>
      </c>
      <c r="B72" s="29">
        <f t="shared" si="5"/>
        <v>4568159035.2299786</v>
      </c>
      <c r="C72" s="4">
        <f>VLOOKUP(A72, output_exiobase_v3.10.2_EXIO_IOT_2022_pxp_Y_imports_footprint_FR[], 2, FALSE)</f>
        <v>74176287.397123218</v>
      </c>
      <c r="D72" s="4">
        <f>VLOOKUP(A72, output_exiobase_v3.10.2_EXIO_IOT_2022_pxp_Z_imports_footprint_FR[], 2, FALSE)</f>
        <v>5330281.5348827662</v>
      </c>
      <c r="E72" s="4">
        <f>VLOOKUP(A72, output_exiobase_v3.10.2_EXIO_IOT_2022_pxp_Y_production_footprint_FR[], 2, FALSE)</f>
        <v>2446891123.5362835</v>
      </c>
      <c r="F72" s="4">
        <f>VLOOKUP(A72, output_exiobase_v3.10.2_EXIO_IOT_2022_pxp_Z_production_footprint_FR[], 2, FALSE)</f>
        <v>2041761342.7616887</v>
      </c>
      <c r="G72" s="35">
        <f t="shared" si="6"/>
        <v>1.7404509851527819E-2</v>
      </c>
      <c r="H72" s="1">
        <f t="shared" si="7"/>
        <v>0.98259549014847203</v>
      </c>
    </row>
    <row r="73" spans="1:8" x14ac:dyDescent="0.3">
      <c r="A73" s="9" t="s">
        <v>115</v>
      </c>
      <c r="B73" s="29">
        <f t="shared" si="5"/>
        <v>4493912899.5781803</v>
      </c>
      <c r="C73" s="4">
        <f>VLOOKUP(A73, output_exiobase_v3.10.2_EXIO_IOT_2022_pxp_Y_imports_footprint_FR[], 2, FALSE)</f>
        <v>763796108.63662386</v>
      </c>
      <c r="D73" s="4">
        <f>VLOOKUP(A73, output_exiobase_v3.10.2_EXIO_IOT_2022_pxp_Z_imports_footprint_FR[], 2, FALSE)</f>
        <v>1613639416.1181219</v>
      </c>
      <c r="E73" s="4">
        <f>VLOOKUP(A73, output_exiobase_v3.10.2_EXIO_IOT_2022_pxp_Y_production_footprint_FR[], 2, FALSE)</f>
        <v>231625300.99529061</v>
      </c>
      <c r="F73" s="4">
        <f>VLOOKUP(A73, output_exiobase_v3.10.2_EXIO_IOT_2022_pxp_Z_production_footprint_FR[], 2, FALSE)</f>
        <v>1884852073.8281438</v>
      </c>
      <c r="G73" s="35">
        <f t="shared" si="6"/>
        <v>0.52903462480946228</v>
      </c>
      <c r="H73" s="1">
        <f t="shared" si="7"/>
        <v>0.47096537519053761</v>
      </c>
    </row>
    <row r="74" spans="1:8" x14ac:dyDescent="0.3">
      <c r="A74" s="9" t="s">
        <v>47</v>
      </c>
      <c r="B74" s="29">
        <f t="shared" ref="B74:B105" si="8">SUM(C74:F74)</f>
        <v>4255738602.5754209</v>
      </c>
      <c r="C74" s="4">
        <f>VLOOKUP(A74, output_exiobase_v3.10.2_EXIO_IOT_2022_pxp_Y_imports_footprint_FR[], 2, FALSE)</f>
        <v>83574458.668727547</v>
      </c>
      <c r="D74" s="4">
        <f>VLOOKUP(A74, output_exiobase_v3.10.2_EXIO_IOT_2022_pxp_Z_imports_footprint_FR[], 2, FALSE)</f>
        <v>250147870.45297033</v>
      </c>
      <c r="E74" s="4">
        <f>VLOOKUP(A74, output_exiobase_v3.10.2_EXIO_IOT_2022_pxp_Y_production_footprint_FR[], 2, FALSE)</f>
        <v>950376919.1589843</v>
      </c>
      <c r="F74" s="4">
        <f>VLOOKUP(A74, output_exiobase_v3.10.2_EXIO_IOT_2022_pxp_Z_production_footprint_FR[], 2, FALSE)</f>
        <v>2971639354.2947388</v>
      </c>
      <c r="G74" s="35">
        <f t="shared" ref="G74:G105" si="9">(C74+D74)/B74</f>
        <v>7.8417017652292156E-2</v>
      </c>
      <c r="H74" s="1">
        <f t="shared" ref="H74:H105" si="10">(E74+F74)/B74</f>
        <v>0.92158298234770786</v>
      </c>
    </row>
    <row r="75" spans="1:8" x14ac:dyDescent="0.3">
      <c r="A75" s="9" t="s">
        <v>175</v>
      </c>
      <c r="B75" s="29">
        <f t="shared" si="8"/>
        <v>4237628728.3594036</v>
      </c>
      <c r="C75" s="4">
        <f>VLOOKUP(A75, output_exiobase_v3.10.2_EXIO_IOT_2022_pxp_Y_imports_footprint_FR[], 2, FALSE)</f>
        <v>1502974.6334899359</v>
      </c>
      <c r="D75" s="4">
        <f>VLOOKUP(A75, output_exiobase_v3.10.2_EXIO_IOT_2022_pxp_Z_imports_footprint_FR[], 2, FALSE)</f>
        <v>273576932.29796726</v>
      </c>
      <c r="E75" s="4">
        <f>VLOOKUP(A75, output_exiobase_v3.10.2_EXIO_IOT_2022_pxp_Y_production_footprint_FR[], 2, FALSE)</f>
        <v>72441620.891650453</v>
      </c>
      <c r="F75" s="4">
        <f>VLOOKUP(A75, output_exiobase_v3.10.2_EXIO_IOT_2022_pxp_Z_production_footprint_FR[], 2, FALSE)</f>
        <v>3890107200.5362959</v>
      </c>
      <c r="G75" s="35">
        <f t="shared" si="9"/>
        <v>6.4913640284375324E-2</v>
      </c>
      <c r="H75" s="1">
        <f t="shared" si="10"/>
        <v>0.9350863597156247</v>
      </c>
    </row>
    <row r="76" spans="1:8" x14ac:dyDescent="0.3">
      <c r="A76" s="9" t="s">
        <v>148</v>
      </c>
      <c r="B76" s="29">
        <f t="shared" si="8"/>
        <v>4237424400.3478718</v>
      </c>
      <c r="C76" s="4">
        <f>VLOOKUP(A76, output_exiobase_v3.10.2_EXIO_IOT_2022_pxp_Y_imports_footprint_FR[], 2, FALSE)</f>
        <v>18608042.665311527</v>
      </c>
      <c r="D76" s="4">
        <f>VLOOKUP(A76, output_exiobase_v3.10.2_EXIO_IOT_2022_pxp_Z_imports_footprint_FR[], 2, FALSE)</f>
        <v>509034274.03451204</v>
      </c>
      <c r="E76" s="4">
        <f>VLOOKUP(A76, output_exiobase_v3.10.2_EXIO_IOT_2022_pxp_Y_production_footprint_FR[], 2, FALSE)</f>
        <v>102156518.91812649</v>
      </c>
      <c r="F76" s="4">
        <f>VLOOKUP(A76, output_exiobase_v3.10.2_EXIO_IOT_2022_pxp_Z_production_footprint_FR[], 2, FALSE)</f>
        <v>3607625564.7299218</v>
      </c>
      <c r="G76" s="35">
        <f t="shared" si="9"/>
        <v>0.12451958238039756</v>
      </c>
      <c r="H76" s="1">
        <f t="shared" si="10"/>
        <v>0.87548041761960249</v>
      </c>
    </row>
    <row r="77" spans="1:8" x14ac:dyDescent="0.3">
      <c r="A77" s="9" t="s">
        <v>146</v>
      </c>
      <c r="B77" s="29">
        <f t="shared" si="8"/>
        <v>4217405228.1652641</v>
      </c>
      <c r="C77" s="4">
        <f>VLOOKUP(A77, output_exiobase_v3.10.2_EXIO_IOT_2022_pxp_Y_imports_footprint_FR[], 2, FALSE)</f>
        <v>922437874.22447526</v>
      </c>
      <c r="D77" s="4">
        <f>VLOOKUP(A77, output_exiobase_v3.10.2_EXIO_IOT_2022_pxp_Z_imports_footprint_FR[], 2, FALSE)</f>
        <v>68243251.15283446</v>
      </c>
      <c r="E77" s="4">
        <f>VLOOKUP(A77, output_exiobase_v3.10.2_EXIO_IOT_2022_pxp_Y_production_footprint_FR[], 2, FALSE)</f>
        <v>2813088051.685183</v>
      </c>
      <c r="F77" s="4">
        <f>VLOOKUP(A77, output_exiobase_v3.10.2_EXIO_IOT_2022_pxp_Z_production_footprint_FR[], 2, FALSE)</f>
        <v>413636051.10277128</v>
      </c>
      <c r="G77" s="35">
        <f t="shared" si="9"/>
        <v>0.23490299645886639</v>
      </c>
      <c r="H77" s="1">
        <f t="shared" si="10"/>
        <v>0.76509700354113352</v>
      </c>
    </row>
    <row r="78" spans="1:8" x14ac:dyDescent="0.3">
      <c r="A78" s="9" t="s">
        <v>66</v>
      </c>
      <c r="B78" s="29">
        <f t="shared" si="8"/>
        <v>4181722102.2015638</v>
      </c>
      <c r="C78" s="4">
        <f>VLOOKUP(A78, output_exiobase_v3.10.2_EXIO_IOT_2022_pxp_Y_imports_footprint_FR[], 2, FALSE)</f>
        <v>0</v>
      </c>
      <c r="D78" s="4">
        <f>VLOOKUP(A78, output_exiobase_v3.10.2_EXIO_IOT_2022_pxp_Z_imports_footprint_FR[], 2, FALSE)</f>
        <v>0</v>
      </c>
      <c r="E78" s="4">
        <f>VLOOKUP(A78, output_exiobase_v3.10.2_EXIO_IOT_2022_pxp_Y_production_footprint_FR[], 2, FALSE)</f>
        <v>58137.660532669332</v>
      </c>
      <c r="F78" s="4">
        <f>VLOOKUP(A78, output_exiobase_v3.10.2_EXIO_IOT_2022_pxp_Z_production_footprint_FR[], 2, FALSE)</f>
        <v>4181663964.5410314</v>
      </c>
      <c r="G78" s="35">
        <f t="shared" si="9"/>
        <v>0</v>
      </c>
      <c r="H78" s="1">
        <f t="shared" si="10"/>
        <v>1</v>
      </c>
    </row>
    <row r="79" spans="1:8" x14ac:dyDescent="0.3">
      <c r="A79" s="9" t="s">
        <v>21</v>
      </c>
      <c r="B79" s="29">
        <f t="shared" si="8"/>
        <v>4127887968.0844464</v>
      </c>
      <c r="C79" s="4">
        <f>VLOOKUP(A79, output_exiobase_v3.10.2_EXIO_IOT_2022_pxp_Y_imports_footprint_FR[], 2, FALSE)</f>
        <v>1047610976.9420292</v>
      </c>
      <c r="D79" s="4">
        <f>VLOOKUP(A79, output_exiobase_v3.10.2_EXIO_IOT_2022_pxp_Z_imports_footprint_FR[], 2, FALSE)</f>
        <v>1533796726.4876592</v>
      </c>
      <c r="E79" s="4">
        <f>VLOOKUP(A79, output_exiobase_v3.10.2_EXIO_IOT_2022_pxp_Y_production_footprint_FR[], 2, FALSE)</f>
        <v>552660067.98675013</v>
      </c>
      <c r="F79" s="4">
        <f>VLOOKUP(A79, output_exiobase_v3.10.2_EXIO_IOT_2022_pxp_Z_production_footprint_FR[], 2, FALSE)</f>
        <v>993820196.66800773</v>
      </c>
      <c r="G79" s="35">
        <f t="shared" si="9"/>
        <v>0.62535798533979958</v>
      </c>
      <c r="H79" s="1">
        <f t="shared" si="10"/>
        <v>0.37464201466020036</v>
      </c>
    </row>
    <row r="80" spans="1:8" x14ac:dyDescent="0.3">
      <c r="A80" s="9" t="s">
        <v>136</v>
      </c>
      <c r="B80" s="29">
        <f t="shared" si="8"/>
        <v>4115261167.5196986</v>
      </c>
      <c r="C80" s="4">
        <f>VLOOKUP(A80, output_exiobase_v3.10.2_EXIO_IOT_2022_pxp_Y_imports_footprint_FR[], 2, FALSE)</f>
        <v>392146096.23828489</v>
      </c>
      <c r="D80" s="4">
        <f>VLOOKUP(A80, output_exiobase_v3.10.2_EXIO_IOT_2022_pxp_Z_imports_footprint_FR[], 2, FALSE)</f>
        <v>529611645.66248512</v>
      </c>
      <c r="E80" s="4">
        <f>VLOOKUP(A80, output_exiobase_v3.10.2_EXIO_IOT_2022_pxp_Y_production_footprint_FR[], 2, FALSE)</f>
        <v>104681751.79842317</v>
      </c>
      <c r="F80" s="4">
        <f>VLOOKUP(A80, output_exiobase_v3.10.2_EXIO_IOT_2022_pxp_Z_production_footprint_FR[], 2, FALSE)</f>
        <v>3088821673.8205056</v>
      </c>
      <c r="G80" s="35">
        <f t="shared" si="9"/>
        <v>0.22398523553641697</v>
      </c>
      <c r="H80" s="1">
        <f t="shared" si="10"/>
        <v>0.77601476446358308</v>
      </c>
    </row>
    <row r="81" spans="1:8" x14ac:dyDescent="0.3">
      <c r="A81" s="9" t="s">
        <v>92</v>
      </c>
      <c r="B81" s="29">
        <f t="shared" si="8"/>
        <v>4095482570.3619285</v>
      </c>
      <c r="C81" s="4">
        <f>VLOOKUP(A81, output_exiobase_v3.10.2_EXIO_IOT_2022_pxp_Y_imports_footprint_FR[], 2, FALSE)</f>
        <v>751278348.98267984</v>
      </c>
      <c r="D81" s="4">
        <f>VLOOKUP(A81, output_exiobase_v3.10.2_EXIO_IOT_2022_pxp_Z_imports_footprint_FR[], 2, FALSE)</f>
        <v>16152454.285238616</v>
      </c>
      <c r="E81" s="4">
        <f>VLOOKUP(A81, output_exiobase_v3.10.2_EXIO_IOT_2022_pxp_Y_production_footprint_FR[], 2, FALSE)</f>
        <v>2189857476.2364292</v>
      </c>
      <c r="F81" s="4">
        <f>VLOOKUP(A81, output_exiobase_v3.10.2_EXIO_IOT_2022_pxp_Z_production_footprint_FR[], 2, FALSE)</f>
        <v>1138194290.8575807</v>
      </c>
      <c r="G81" s="35">
        <f t="shared" si="9"/>
        <v>0.1873847074387863</v>
      </c>
      <c r="H81" s="1">
        <f t="shared" si="10"/>
        <v>0.81261529256121368</v>
      </c>
    </row>
    <row r="82" spans="1:8" x14ac:dyDescent="0.3">
      <c r="A82" s="9" t="s">
        <v>48</v>
      </c>
      <c r="B82" s="29">
        <f t="shared" si="8"/>
        <v>4028946400.7652874</v>
      </c>
      <c r="C82" s="4">
        <f>VLOOKUP(A82, output_exiobase_v3.10.2_EXIO_IOT_2022_pxp_Y_imports_footprint_FR[], 2, FALSE)</f>
        <v>170462422.94633126</v>
      </c>
      <c r="D82" s="4">
        <f>VLOOKUP(A82, output_exiobase_v3.10.2_EXIO_IOT_2022_pxp_Z_imports_footprint_FR[], 2, FALSE)</f>
        <v>519275476.02598125</v>
      </c>
      <c r="E82" s="4">
        <f>VLOOKUP(A82, output_exiobase_v3.10.2_EXIO_IOT_2022_pxp_Y_production_footprint_FR[], 2, FALSE)</f>
        <v>817207164.72617948</v>
      </c>
      <c r="F82" s="4">
        <f>VLOOKUP(A82, output_exiobase_v3.10.2_EXIO_IOT_2022_pxp_Z_production_footprint_FR[], 2, FALSE)</f>
        <v>2522001337.0667953</v>
      </c>
      <c r="G82" s="35">
        <f t="shared" si="9"/>
        <v>0.17119560062682854</v>
      </c>
      <c r="H82" s="1">
        <f t="shared" si="10"/>
        <v>0.82880439937317141</v>
      </c>
    </row>
    <row r="83" spans="1:8" x14ac:dyDescent="0.3">
      <c r="A83" s="9" t="s">
        <v>120</v>
      </c>
      <c r="B83" s="29">
        <f t="shared" si="8"/>
        <v>3858004663.6228647</v>
      </c>
      <c r="C83" s="4">
        <f>VLOOKUP(A83, output_exiobase_v3.10.2_EXIO_IOT_2022_pxp_Y_imports_footprint_FR[], 2, FALSE)</f>
        <v>233395361.56274116</v>
      </c>
      <c r="D83" s="4">
        <f>VLOOKUP(A83, output_exiobase_v3.10.2_EXIO_IOT_2022_pxp_Z_imports_footprint_FR[], 2, FALSE)</f>
        <v>3310851634.8531981</v>
      </c>
      <c r="E83" s="4">
        <f>VLOOKUP(A83, output_exiobase_v3.10.2_EXIO_IOT_2022_pxp_Y_production_footprint_FR[], 2, FALSE)</f>
        <v>91305379.150674164</v>
      </c>
      <c r="F83" s="4">
        <f>VLOOKUP(A83, output_exiobase_v3.10.2_EXIO_IOT_2022_pxp_Z_production_footprint_FR[], 2, FALSE)</f>
        <v>222452288.05625099</v>
      </c>
      <c r="G83" s="35">
        <f t="shared" si="9"/>
        <v>0.91867359047920616</v>
      </c>
      <c r="H83" s="1">
        <f t="shared" si="10"/>
        <v>8.132640952079373E-2</v>
      </c>
    </row>
    <row r="84" spans="1:8" x14ac:dyDescent="0.3">
      <c r="A84" s="9" t="s">
        <v>161</v>
      </c>
      <c r="B84" s="29">
        <f t="shared" si="8"/>
        <v>3684860737.4535713</v>
      </c>
      <c r="C84" s="4">
        <f>VLOOKUP(A84, output_exiobase_v3.10.2_EXIO_IOT_2022_pxp_Y_imports_footprint_FR[], 2, FALSE)</f>
        <v>311704238.33234572</v>
      </c>
      <c r="D84" s="4">
        <f>VLOOKUP(A84, output_exiobase_v3.10.2_EXIO_IOT_2022_pxp_Z_imports_footprint_FR[], 2, FALSE)</f>
        <v>48865494.70513767</v>
      </c>
      <c r="E84" s="4">
        <f>VLOOKUP(A84, output_exiobase_v3.10.2_EXIO_IOT_2022_pxp_Y_production_footprint_FR[], 2, FALSE)</f>
        <v>3173530604.1764617</v>
      </c>
      <c r="F84" s="4">
        <f>VLOOKUP(A84, output_exiobase_v3.10.2_EXIO_IOT_2022_pxp_Z_production_footprint_FR[], 2, FALSE)</f>
        <v>150760400.23962623</v>
      </c>
      <c r="G84" s="35">
        <f t="shared" si="9"/>
        <v>9.7851658102730818E-2</v>
      </c>
      <c r="H84" s="1">
        <f t="shared" si="10"/>
        <v>0.90214834189726922</v>
      </c>
    </row>
    <row r="85" spans="1:8" x14ac:dyDescent="0.3">
      <c r="A85" s="9" t="s">
        <v>153</v>
      </c>
      <c r="B85" s="29">
        <f t="shared" si="8"/>
        <v>3668896506.9577217</v>
      </c>
      <c r="C85" s="4">
        <f>VLOOKUP(A85, output_exiobase_v3.10.2_EXIO_IOT_2022_pxp_Y_imports_footprint_FR[], 2, FALSE)</f>
        <v>227297933.86066985</v>
      </c>
      <c r="D85" s="4">
        <f>VLOOKUP(A85, output_exiobase_v3.10.2_EXIO_IOT_2022_pxp_Z_imports_footprint_FR[], 2, FALSE)</f>
        <v>393447675.21429175</v>
      </c>
      <c r="E85" s="4">
        <f>VLOOKUP(A85, output_exiobase_v3.10.2_EXIO_IOT_2022_pxp_Y_production_footprint_FR[], 2, FALSE)</f>
        <v>938468516.30888546</v>
      </c>
      <c r="F85" s="4">
        <f>VLOOKUP(A85, output_exiobase_v3.10.2_EXIO_IOT_2022_pxp_Z_production_footprint_FR[], 2, FALSE)</f>
        <v>2109682381.5738745</v>
      </c>
      <c r="G85" s="35">
        <f t="shared" si="9"/>
        <v>0.16919136527775455</v>
      </c>
      <c r="H85" s="1">
        <f t="shared" si="10"/>
        <v>0.83080863472224542</v>
      </c>
    </row>
    <row r="86" spans="1:8" x14ac:dyDescent="0.3">
      <c r="A86" s="9" t="s">
        <v>143</v>
      </c>
      <c r="B86" s="29">
        <f t="shared" si="8"/>
        <v>3411722262.4826603</v>
      </c>
      <c r="C86" s="4">
        <f>VLOOKUP(A86, output_exiobase_v3.10.2_EXIO_IOT_2022_pxp_Y_imports_footprint_FR[], 2, FALSE)</f>
        <v>44006677.342214368</v>
      </c>
      <c r="D86" s="4">
        <f>VLOOKUP(A86, output_exiobase_v3.10.2_EXIO_IOT_2022_pxp_Z_imports_footprint_FR[], 2, FALSE)</f>
        <v>222511822.46745121</v>
      </c>
      <c r="E86" s="4">
        <f>VLOOKUP(A86, output_exiobase_v3.10.2_EXIO_IOT_2022_pxp_Y_production_footprint_FR[], 2, FALSE)</f>
        <v>759983123.17263675</v>
      </c>
      <c r="F86" s="4">
        <f>VLOOKUP(A86, output_exiobase_v3.10.2_EXIO_IOT_2022_pxp_Z_production_footprint_FR[], 2, FALSE)</f>
        <v>2385220639.5003581</v>
      </c>
      <c r="G86" s="35">
        <f t="shared" si="9"/>
        <v>7.8118463141171393E-2</v>
      </c>
      <c r="H86" s="1">
        <f t="shared" si="10"/>
        <v>0.92188153685882857</v>
      </c>
    </row>
    <row r="87" spans="1:8" x14ac:dyDescent="0.3">
      <c r="A87" s="9" t="s">
        <v>108</v>
      </c>
      <c r="B87" s="29">
        <f t="shared" si="8"/>
        <v>3063008278.7331896</v>
      </c>
      <c r="C87" s="4">
        <f>VLOOKUP(A87, output_exiobase_v3.10.2_EXIO_IOT_2022_pxp_Y_imports_footprint_FR[], 2, FALSE)</f>
        <v>1595574953.9745612</v>
      </c>
      <c r="D87" s="4">
        <f>VLOOKUP(A87, output_exiobase_v3.10.2_EXIO_IOT_2022_pxp_Z_imports_footprint_FR[], 2, FALSE)</f>
        <v>1466139671.2455759</v>
      </c>
      <c r="E87" s="4">
        <f>VLOOKUP(A87, output_exiobase_v3.10.2_EXIO_IOT_2022_pxp_Y_production_footprint_FR[], 2, FALSE)</f>
        <v>361990.26921105199</v>
      </c>
      <c r="F87" s="4">
        <f>VLOOKUP(A87, output_exiobase_v3.10.2_EXIO_IOT_2022_pxp_Z_production_footprint_FR[], 2, FALSE)</f>
        <v>931663.24384144566</v>
      </c>
      <c r="G87" s="35">
        <f t="shared" si="9"/>
        <v>0.99957765262273879</v>
      </c>
      <c r="H87" s="1">
        <f t="shared" si="10"/>
        <v>4.2234737726126276E-4</v>
      </c>
    </row>
    <row r="88" spans="1:8" x14ac:dyDescent="0.3">
      <c r="A88" s="9" t="s">
        <v>76</v>
      </c>
      <c r="B88" s="29">
        <f t="shared" si="8"/>
        <v>3039179259.6270185</v>
      </c>
      <c r="C88" s="4">
        <f>VLOOKUP(A88, output_exiobase_v3.10.2_EXIO_IOT_2022_pxp_Y_imports_footprint_FR[], 2, FALSE)</f>
        <v>932628.74196996377</v>
      </c>
      <c r="D88" s="4">
        <f>VLOOKUP(A88, output_exiobase_v3.10.2_EXIO_IOT_2022_pxp_Z_imports_footprint_FR[], 2, FALSE)</f>
        <v>11083425.801557092</v>
      </c>
      <c r="E88" s="4">
        <f>VLOOKUP(A88, output_exiobase_v3.10.2_EXIO_IOT_2022_pxp_Y_production_footprint_FR[], 2, FALSE)</f>
        <v>1006028973.2736174</v>
      </c>
      <c r="F88" s="4">
        <f>VLOOKUP(A88, output_exiobase_v3.10.2_EXIO_IOT_2022_pxp_Z_production_footprint_FR[], 2, FALSE)</f>
        <v>2021134231.8098741</v>
      </c>
      <c r="G88" s="35">
        <f t="shared" si="9"/>
        <v>3.9537169469239268E-3</v>
      </c>
      <c r="H88" s="1">
        <f t="shared" si="10"/>
        <v>0.99604628305307608</v>
      </c>
    </row>
    <row r="89" spans="1:8" x14ac:dyDescent="0.3">
      <c r="A89" s="9" t="s">
        <v>188</v>
      </c>
      <c r="B89" s="29">
        <f t="shared" si="8"/>
        <v>2950729948.0015359</v>
      </c>
      <c r="C89" s="4">
        <f>VLOOKUP(A89, output_exiobase_v3.10.2_EXIO_IOT_2022_pxp_Y_imports_footprint_FR[], 2, FALSE)</f>
        <v>0</v>
      </c>
      <c r="D89" s="4">
        <f>VLOOKUP(A89, output_exiobase_v3.10.2_EXIO_IOT_2022_pxp_Z_imports_footprint_FR[], 2, FALSE)</f>
        <v>1187672522.7109013</v>
      </c>
      <c r="E89" s="4">
        <f>VLOOKUP(A89, output_exiobase_v3.10.2_EXIO_IOT_2022_pxp_Y_production_footprint_FR[], 2, FALSE)</f>
        <v>2262321.8178700437</v>
      </c>
      <c r="F89" s="4">
        <f>VLOOKUP(A89, output_exiobase_v3.10.2_EXIO_IOT_2022_pxp_Z_production_footprint_FR[], 2, FALSE)</f>
        <v>1760795103.4727645</v>
      </c>
      <c r="G89" s="35">
        <f t="shared" si="9"/>
        <v>0.40250126024419336</v>
      </c>
      <c r="H89" s="1">
        <f t="shared" si="10"/>
        <v>0.5974987397558067</v>
      </c>
    </row>
    <row r="90" spans="1:8" x14ac:dyDescent="0.3">
      <c r="A90" s="9" t="s">
        <v>145</v>
      </c>
      <c r="B90" s="29">
        <f t="shared" si="8"/>
        <v>2908094708.6897287</v>
      </c>
      <c r="C90" s="4">
        <f>VLOOKUP(A90, output_exiobase_v3.10.2_EXIO_IOT_2022_pxp_Y_imports_footprint_FR[], 2, FALSE)</f>
        <v>227838464.29476103</v>
      </c>
      <c r="D90" s="4">
        <f>VLOOKUP(A90, output_exiobase_v3.10.2_EXIO_IOT_2022_pxp_Z_imports_footprint_FR[], 2, FALSE)</f>
        <v>150980277.64914539</v>
      </c>
      <c r="E90" s="4">
        <f>VLOOKUP(A90, output_exiobase_v3.10.2_EXIO_IOT_2022_pxp_Y_production_footprint_FR[], 2, FALSE)</f>
        <v>1473409906.5127904</v>
      </c>
      <c r="F90" s="4">
        <f>VLOOKUP(A90, output_exiobase_v3.10.2_EXIO_IOT_2022_pxp_Z_production_footprint_FR[], 2, FALSE)</f>
        <v>1055866060.2330319</v>
      </c>
      <c r="G90" s="35">
        <f t="shared" si="9"/>
        <v>0.13026355049990343</v>
      </c>
      <c r="H90" s="1">
        <f t="shared" si="10"/>
        <v>0.86973644950009665</v>
      </c>
    </row>
    <row r="91" spans="1:8" x14ac:dyDescent="0.3">
      <c r="A91" s="9" t="s">
        <v>162</v>
      </c>
      <c r="B91" s="29">
        <f t="shared" si="8"/>
        <v>2895619671.8126707</v>
      </c>
      <c r="C91" s="4">
        <f>VLOOKUP(A91, output_exiobase_v3.10.2_EXIO_IOT_2022_pxp_Y_imports_footprint_FR[], 2, FALSE)</f>
        <v>30875267.43404945</v>
      </c>
      <c r="D91" s="4">
        <f>VLOOKUP(A91, output_exiobase_v3.10.2_EXIO_IOT_2022_pxp_Z_imports_footprint_FR[], 2, FALSE)</f>
        <v>184729100.02346119</v>
      </c>
      <c r="E91" s="4">
        <f>VLOOKUP(A91, output_exiobase_v3.10.2_EXIO_IOT_2022_pxp_Y_production_footprint_FR[], 2, FALSE)</f>
        <v>1302346920.6883481</v>
      </c>
      <c r="F91" s="4">
        <f>VLOOKUP(A91, output_exiobase_v3.10.2_EXIO_IOT_2022_pxp_Z_production_footprint_FR[], 2, FALSE)</f>
        <v>1377668383.6668119</v>
      </c>
      <c r="G91" s="35">
        <f t="shared" si="9"/>
        <v>7.4458800496593314E-2</v>
      </c>
      <c r="H91" s="1">
        <f t="shared" si="10"/>
        <v>0.92554119950340663</v>
      </c>
    </row>
    <row r="92" spans="1:8" x14ac:dyDescent="0.3">
      <c r="A92" s="9" t="s">
        <v>131</v>
      </c>
      <c r="B92" s="29">
        <f t="shared" si="8"/>
        <v>2844432451.1568356</v>
      </c>
      <c r="C92" s="4">
        <f>VLOOKUP(A92, output_exiobase_v3.10.2_EXIO_IOT_2022_pxp_Y_imports_footprint_FR[], 2, FALSE)</f>
        <v>2261399.4964834219</v>
      </c>
      <c r="D92" s="4">
        <f>VLOOKUP(A92, output_exiobase_v3.10.2_EXIO_IOT_2022_pxp_Z_imports_footprint_FR[], 2, FALSE)</f>
        <v>9455937.6750700548</v>
      </c>
      <c r="E92" s="4">
        <f>VLOOKUP(A92, output_exiobase_v3.10.2_EXIO_IOT_2022_pxp_Y_production_footprint_FR[], 2, FALSE)</f>
        <v>623393130.29159248</v>
      </c>
      <c r="F92" s="4">
        <f>VLOOKUP(A92, output_exiobase_v3.10.2_EXIO_IOT_2022_pxp_Z_production_footprint_FR[], 2, FALSE)</f>
        <v>2209321983.6936898</v>
      </c>
      <c r="G92" s="35">
        <f t="shared" si="9"/>
        <v>4.1193937183454706E-3</v>
      </c>
      <c r="H92" s="1">
        <f t="shared" si="10"/>
        <v>0.99588060628165465</v>
      </c>
    </row>
    <row r="93" spans="1:8" x14ac:dyDescent="0.3">
      <c r="A93" s="9" t="s">
        <v>180</v>
      </c>
      <c r="B93" s="29">
        <f t="shared" si="8"/>
        <v>2819223360.2743568</v>
      </c>
      <c r="C93" s="4">
        <f>VLOOKUP(A93, output_exiobase_v3.10.2_EXIO_IOT_2022_pxp_Y_imports_footprint_FR[], 2, FALSE)</f>
        <v>63819526.867415205</v>
      </c>
      <c r="D93" s="4">
        <f>VLOOKUP(A93, output_exiobase_v3.10.2_EXIO_IOT_2022_pxp_Z_imports_footprint_FR[], 2, FALSE)</f>
        <v>129655872.68283436</v>
      </c>
      <c r="E93" s="4">
        <f>VLOOKUP(A93, output_exiobase_v3.10.2_EXIO_IOT_2022_pxp_Y_production_footprint_FR[], 2, FALSE)</f>
        <v>936442848.03045893</v>
      </c>
      <c r="F93" s="4">
        <f>VLOOKUP(A93, output_exiobase_v3.10.2_EXIO_IOT_2022_pxp_Z_production_footprint_FR[], 2, FALSE)</f>
        <v>1689305112.6936483</v>
      </c>
      <c r="G93" s="35">
        <f t="shared" si="9"/>
        <v>6.8627197928517888E-2</v>
      </c>
      <c r="H93" s="1">
        <f t="shared" si="10"/>
        <v>0.9313728020714821</v>
      </c>
    </row>
    <row r="94" spans="1:8" x14ac:dyDescent="0.3">
      <c r="A94" s="9" t="s">
        <v>87</v>
      </c>
      <c r="B94" s="29">
        <f t="shared" si="8"/>
        <v>2800168779.8443336</v>
      </c>
      <c r="C94" s="4">
        <f>VLOOKUP(A94, output_exiobase_v3.10.2_EXIO_IOT_2022_pxp_Y_imports_footprint_FR[], 2, FALSE)</f>
        <v>1348567332.5283201</v>
      </c>
      <c r="D94" s="4">
        <f>VLOOKUP(A94, output_exiobase_v3.10.2_EXIO_IOT_2022_pxp_Z_imports_footprint_FR[], 2, FALSE)</f>
        <v>768855209.80893469</v>
      </c>
      <c r="E94" s="4">
        <f>VLOOKUP(A94, output_exiobase_v3.10.2_EXIO_IOT_2022_pxp_Y_production_footprint_FR[], 2, FALSE)</f>
        <v>363644529.87749565</v>
      </c>
      <c r="F94" s="4">
        <f>VLOOKUP(A94, output_exiobase_v3.10.2_EXIO_IOT_2022_pxp_Z_production_footprint_FR[], 2, FALSE)</f>
        <v>319101707.62958336</v>
      </c>
      <c r="G94" s="35">
        <f t="shared" si="9"/>
        <v>0.75617675533650008</v>
      </c>
      <c r="H94" s="1">
        <f t="shared" si="10"/>
        <v>0.24382324466349992</v>
      </c>
    </row>
    <row r="95" spans="1:8" x14ac:dyDescent="0.3">
      <c r="A95" s="9" t="s">
        <v>79</v>
      </c>
      <c r="B95" s="29">
        <f t="shared" si="8"/>
        <v>2783108089.0899467</v>
      </c>
      <c r="C95" s="4">
        <f>VLOOKUP(A95, output_exiobase_v3.10.2_EXIO_IOT_2022_pxp_Y_imports_footprint_FR[], 2, FALSE)</f>
        <v>1567511.3569290072</v>
      </c>
      <c r="D95" s="4">
        <f>VLOOKUP(A95, output_exiobase_v3.10.2_EXIO_IOT_2022_pxp_Z_imports_footprint_FR[], 2, FALSE)</f>
        <v>18556078.946788542</v>
      </c>
      <c r="E95" s="4">
        <f>VLOOKUP(A95, output_exiobase_v3.10.2_EXIO_IOT_2022_pxp_Y_production_footprint_FR[], 2, FALSE)</f>
        <v>1164460993.1342895</v>
      </c>
      <c r="F95" s="4">
        <f>VLOOKUP(A95, output_exiobase_v3.10.2_EXIO_IOT_2022_pxp_Z_production_footprint_FR[], 2, FALSE)</f>
        <v>1598523505.6519399</v>
      </c>
      <c r="G95" s="35">
        <f t="shared" si="9"/>
        <v>7.2306175899541853E-3</v>
      </c>
      <c r="H95" s="1">
        <f t="shared" si="10"/>
        <v>0.99276938241004575</v>
      </c>
    </row>
    <row r="96" spans="1:8" x14ac:dyDescent="0.3">
      <c r="A96" s="9" t="s">
        <v>93</v>
      </c>
      <c r="B96" s="29">
        <f t="shared" si="8"/>
        <v>2560878239.7646852</v>
      </c>
      <c r="C96" s="4">
        <f>VLOOKUP(A96, output_exiobase_v3.10.2_EXIO_IOT_2022_pxp_Y_imports_footprint_FR[], 2, FALSE)</f>
        <v>1026490163.2230183</v>
      </c>
      <c r="D96" s="4">
        <f>VLOOKUP(A96, output_exiobase_v3.10.2_EXIO_IOT_2022_pxp_Z_imports_footprint_FR[], 2, FALSE)</f>
        <v>40159367.243891753</v>
      </c>
      <c r="E96" s="4">
        <f>VLOOKUP(A96, output_exiobase_v3.10.2_EXIO_IOT_2022_pxp_Y_production_footprint_FR[], 2, FALSE)</f>
        <v>774063794.30746627</v>
      </c>
      <c r="F96" s="4">
        <f>VLOOKUP(A96, output_exiobase_v3.10.2_EXIO_IOT_2022_pxp_Z_production_footprint_FR[], 2, FALSE)</f>
        <v>720164914.99030888</v>
      </c>
      <c r="G96" s="35">
        <f t="shared" si="9"/>
        <v>0.41651708148565575</v>
      </c>
      <c r="H96" s="1">
        <f t="shared" si="10"/>
        <v>0.58348291851434431</v>
      </c>
    </row>
    <row r="97" spans="1:9" x14ac:dyDescent="0.3">
      <c r="A97" s="9" t="s">
        <v>107</v>
      </c>
      <c r="B97" s="29">
        <f t="shared" si="8"/>
        <v>2556272772.4268913</v>
      </c>
      <c r="C97" s="4">
        <f>VLOOKUP(A97, output_exiobase_v3.10.2_EXIO_IOT_2022_pxp_Y_imports_footprint_FR[], 2, FALSE)</f>
        <v>698446.5986915275</v>
      </c>
      <c r="D97" s="4">
        <f>VLOOKUP(A97, output_exiobase_v3.10.2_EXIO_IOT_2022_pxp_Z_imports_footprint_FR[], 2, FALSE)</f>
        <v>8254722.9945525154</v>
      </c>
      <c r="E97" s="4">
        <f>VLOOKUP(A97, output_exiobase_v3.10.2_EXIO_IOT_2022_pxp_Y_production_footprint_FR[], 2, FALSE)</f>
        <v>1054385698.9449232</v>
      </c>
      <c r="F97" s="4">
        <f>VLOOKUP(A97, output_exiobase_v3.10.2_EXIO_IOT_2022_pxp_Z_production_footprint_FR[], 2, FALSE)</f>
        <v>1492933903.8887241</v>
      </c>
      <c r="G97" s="35">
        <f t="shared" si="9"/>
        <v>3.5024312310552143E-3</v>
      </c>
      <c r="H97" s="1">
        <f t="shared" si="10"/>
        <v>0.9964975687689448</v>
      </c>
    </row>
    <row r="98" spans="1:9" x14ac:dyDescent="0.3">
      <c r="A98" s="9" t="s">
        <v>105</v>
      </c>
      <c r="B98" s="29">
        <f t="shared" si="8"/>
        <v>2498476142.4365191</v>
      </c>
      <c r="C98" s="4">
        <f>VLOOKUP(A98, output_exiobase_v3.10.2_EXIO_IOT_2022_pxp_Y_imports_footprint_FR[], 2, FALSE)</f>
        <v>1833251526.2183745</v>
      </c>
      <c r="D98" s="4">
        <f>VLOOKUP(A98, output_exiobase_v3.10.2_EXIO_IOT_2022_pxp_Z_imports_footprint_FR[], 2, FALSE)</f>
        <v>431142171.16756141</v>
      </c>
      <c r="E98" s="4">
        <f>VLOOKUP(A98, output_exiobase_v3.10.2_EXIO_IOT_2022_pxp_Y_production_footprint_FR[], 2, FALSE)</f>
        <v>81363438.558566332</v>
      </c>
      <c r="F98" s="4">
        <f>VLOOKUP(A98, output_exiobase_v3.10.2_EXIO_IOT_2022_pxp_Z_production_footprint_FR[], 2, FALSE)</f>
        <v>152719006.49201742</v>
      </c>
      <c r="G98" s="35">
        <f t="shared" si="9"/>
        <v>0.90630991384120019</v>
      </c>
      <c r="H98" s="1">
        <f t="shared" si="10"/>
        <v>9.3690086158800007E-2</v>
      </c>
    </row>
    <row r="99" spans="1:9" x14ac:dyDescent="0.3">
      <c r="A99" s="9" t="s">
        <v>141</v>
      </c>
      <c r="B99" s="29">
        <f t="shared" si="8"/>
        <v>2490024872.4196396</v>
      </c>
      <c r="C99" s="4">
        <f>VLOOKUP(A99, output_exiobase_v3.10.2_EXIO_IOT_2022_pxp_Y_imports_footprint_FR[], 2, FALSE)</f>
        <v>1189547280.0851421</v>
      </c>
      <c r="D99" s="4">
        <f>VLOOKUP(A99, output_exiobase_v3.10.2_EXIO_IOT_2022_pxp_Z_imports_footprint_FR[], 2, FALSE)</f>
        <v>1261092727.9835789</v>
      </c>
      <c r="E99" s="4">
        <f>VLOOKUP(A99, output_exiobase_v3.10.2_EXIO_IOT_2022_pxp_Y_production_footprint_FR[], 2, FALSE)</f>
        <v>24432017.564601533</v>
      </c>
      <c r="F99" s="4">
        <f>VLOOKUP(A99, output_exiobase_v3.10.2_EXIO_IOT_2022_pxp_Z_production_footprint_FR[], 2, FALSE)</f>
        <v>14952846.786317466</v>
      </c>
      <c r="G99" s="35">
        <f t="shared" si="9"/>
        <v>0.98418294339660661</v>
      </c>
      <c r="H99" s="1">
        <f t="shared" si="10"/>
        <v>1.5817056603393453E-2</v>
      </c>
    </row>
    <row r="100" spans="1:9" x14ac:dyDescent="0.3">
      <c r="A100" s="9" t="s">
        <v>64</v>
      </c>
      <c r="B100" s="29">
        <f t="shared" si="8"/>
        <v>2435562611.6945972</v>
      </c>
      <c r="C100" s="4">
        <f>VLOOKUP(A100, output_exiobase_v3.10.2_EXIO_IOT_2022_pxp_Y_imports_footprint_FR[], 2, FALSE)</f>
        <v>1550750.0852564662</v>
      </c>
      <c r="D100" s="4">
        <f>VLOOKUP(A100, output_exiobase_v3.10.2_EXIO_IOT_2022_pxp_Z_imports_footprint_FR[], 2, FALSE)</f>
        <v>18679786.027981874</v>
      </c>
      <c r="E100" s="4">
        <f>VLOOKUP(A100, output_exiobase_v3.10.2_EXIO_IOT_2022_pxp_Y_production_footprint_FR[], 2, FALSE)</f>
        <v>825548596.05315375</v>
      </c>
      <c r="F100" s="4">
        <f>VLOOKUP(A100, output_exiobase_v3.10.2_EXIO_IOT_2022_pxp_Z_production_footprint_FR[], 2, FALSE)</f>
        <v>1589783479.5282049</v>
      </c>
      <c r="G100" s="35">
        <f t="shared" si="9"/>
        <v>8.3063091936538182E-3</v>
      </c>
      <c r="H100" s="1">
        <f t="shared" si="10"/>
        <v>0.99169369080634617</v>
      </c>
    </row>
    <row r="101" spans="1:9" x14ac:dyDescent="0.3">
      <c r="A101" s="9" t="s">
        <v>181</v>
      </c>
      <c r="B101" s="29">
        <f t="shared" si="8"/>
        <v>2398477092.4848008</v>
      </c>
      <c r="C101" s="4">
        <f>VLOOKUP(A101, output_exiobase_v3.10.2_EXIO_IOT_2022_pxp_Y_imports_footprint_FR[], 2, FALSE)</f>
        <v>2.6975293883305263E-3</v>
      </c>
      <c r="D101" s="4">
        <f>VLOOKUP(A101, output_exiobase_v3.10.2_EXIO_IOT_2022_pxp_Z_imports_footprint_FR[], 2, FALSE)</f>
        <v>1883098.4147469008</v>
      </c>
      <c r="E101" s="4">
        <f>VLOOKUP(A101, output_exiobase_v3.10.2_EXIO_IOT_2022_pxp_Y_production_footprint_FR[], 2, FALSE)</f>
        <v>54064.35816210026</v>
      </c>
      <c r="F101" s="4">
        <f>VLOOKUP(A101, output_exiobase_v3.10.2_EXIO_IOT_2022_pxp_Z_production_footprint_FR[], 2, FALSE)</f>
        <v>2396539929.7091942</v>
      </c>
      <c r="G101" s="35">
        <f t="shared" si="9"/>
        <v>7.8512253602287157E-4</v>
      </c>
      <c r="H101" s="1">
        <f t="shared" si="10"/>
        <v>0.99921487746397697</v>
      </c>
    </row>
    <row r="102" spans="1:9" x14ac:dyDescent="0.3">
      <c r="A102" s="9" t="s">
        <v>182</v>
      </c>
      <c r="B102" s="29">
        <f t="shared" si="8"/>
        <v>2323281344.1341429</v>
      </c>
      <c r="C102" s="4">
        <f>VLOOKUP(A102, output_exiobase_v3.10.2_EXIO_IOT_2022_pxp_Y_imports_footprint_FR[], 2, FALSE)</f>
        <v>66992201.470708355</v>
      </c>
      <c r="D102" s="4">
        <f>VLOOKUP(A102, output_exiobase_v3.10.2_EXIO_IOT_2022_pxp_Z_imports_footprint_FR[], 2, FALSE)</f>
        <v>1778291860.3137138</v>
      </c>
      <c r="E102" s="4">
        <f>VLOOKUP(A102, output_exiobase_v3.10.2_EXIO_IOT_2022_pxp_Y_production_footprint_FR[], 2, FALSE)</f>
        <v>15523621.858264469</v>
      </c>
      <c r="F102" s="4">
        <f>VLOOKUP(A102, output_exiobase_v3.10.2_EXIO_IOT_2022_pxp_Z_production_footprint_FR[], 2, FALSE)</f>
        <v>462473660.49145651</v>
      </c>
      <c r="G102" s="35">
        <f t="shared" si="9"/>
        <v>0.79425768490907234</v>
      </c>
      <c r="H102" s="1">
        <f t="shared" si="10"/>
        <v>0.20574231509092775</v>
      </c>
    </row>
    <row r="103" spans="1:9" x14ac:dyDescent="0.3">
      <c r="A103" s="9" t="s">
        <v>126</v>
      </c>
      <c r="B103" s="29">
        <f t="shared" si="8"/>
        <v>2250327158.0123158</v>
      </c>
      <c r="C103" s="4">
        <f>VLOOKUP(A103, output_exiobase_v3.10.2_EXIO_IOT_2022_pxp_Y_imports_footprint_FR[], 2, FALSE)</f>
        <v>865809.17223912012</v>
      </c>
      <c r="D103" s="4">
        <f>VLOOKUP(A103, output_exiobase_v3.10.2_EXIO_IOT_2022_pxp_Z_imports_footprint_FR[], 2, FALSE)</f>
        <v>10393860.998594496</v>
      </c>
      <c r="E103" s="4">
        <f>VLOOKUP(A103, output_exiobase_v3.10.2_EXIO_IOT_2022_pxp_Y_production_footprint_FR[], 2, FALSE)</f>
        <v>730506699.8206501</v>
      </c>
      <c r="F103" s="4">
        <f>VLOOKUP(A103, output_exiobase_v3.10.2_EXIO_IOT_2022_pxp_Z_production_footprint_FR[], 2, FALSE)</f>
        <v>1508560788.0208318</v>
      </c>
      <c r="G103" s="35">
        <f t="shared" si="9"/>
        <v>5.0035703167619124E-3</v>
      </c>
      <c r="H103" s="1">
        <f t="shared" si="10"/>
        <v>0.99499642968323809</v>
      </c>
    </row>
    <row r="104" spans="1:9" x14ac:dyDescent="0.3">
      <c r="A104" s="9" t="s">
        <v>140</v>
      </c>
      <c r="B104" s="29">
        <f t="shared" si="8"/>
        <v>2242216025.70084</v>
      </c>
      <c r="C104" s="4">
        <f>VLOOKUP(A104, output_exiobase_v3.10.2_EXIO_IOT_2022_pxp_Y_imports_footprint_FR[], 2, FALSE)</f>
        <v>198351823.90663084</v>
      </c>
      <c r="D104" s="4">
        <f>VLOOKUP(A104, output_exiobase_v3.10.2_EXIO_IOT_2022_pxp_Z_imports_footprint_FR[], 2, FALSE)</f>
        <v>535051268.68565011</v>
      </c>
      <c r="E104" s="4">
        <f>VLOOKUP(A104, output_exiobase_v3.10.2_EXIO_IOT_2022_pxp_Y_production_footprint_FR[], 2, FALSE)</f>
        <v>129914936.92357345</v>
      </c>
      <c r="F104" s="4">
        <f>VLOOKUP(A104, output_exiobase_v3.10.2_EXIO_IOT_2022_pxp_Z_production_footprint_FR[], 2, FALSE)</f>
        <v>1378897996.1849856</v>
      </c>
      <c r="G104" s="35">
        <f t="shared" si="9"/>
        <v>0.32708850716694182</v>
      </c>
      <c r="H104" s="1">
        <f t="shared" si="10"/>
        <v>0.67291149283305829</v>
      </c>
    </row>
    <row r="105" spans="1:9" x14ac:dyDescent="0.3">
      <c r="A105" s="9" t="s">
        <v>63</v>
      </c>
      <c r="B105" s="29">
        <f t="shared" si="8"/>
        <v>2151106184.1040344</v>
      </c>
      <c r="C105" s="4">
        <f>VLOOKUP(A105, output_exiobase_v3.10.2_EXIO_IOT_2022_pxp_Y_imports_footprint_FR[], 2, FALSE)</f>
        <v>894343.08742438711</v>
      </c>
      <c r="D105" s="4">
        <f>VLOOKUP(A105, output_exiobase_v3.10.2_EXIO_IOT_2022_pxp_Z_imports_footprint_FR[], 2, FALSE)</f>
        <v>10719023.725556472</v>
      </c>
      <c r="E105" s="4">
        <f>VLOOKUP(A105, output_exiobase_v3.10.2_EXIO_IOT_2022_pxp_Y_production_footprint_FR[], 2, FALSE)</f>
        <v>569452321.81583154</v>
      </c>
      <c r="F105" s="4">
        <f>VLOOKUP(A105, output_exiobase_v3.10.2_EXIO_IOT_2022_pxp_Z_production_footprint_FR[], 2, FALSE)</f>
        <v>1570040495.4752219</v>
      </c>
      <c r="G105" s="35">
        <f t="shared" si="9"/>
        <v>5.3987882601053408E-3</v>
      </c>
      <c r="H105" s="1">
        <f t="shared" si="10"/>
        <v>0.99460121173989458</v>
      </c>
    </row>
    <row r="106" spans="1:9" x14ac:dyDescent="0.3">
      <c r="A106" s="9" t="s">
        <v>65</v>
      </c>
      <c r="B106" s="29">
        <f t="shared" ref="B106:B137" si="11">SUM(C106:F106)</f>
        <v>2131389022.316999</v>
      </c>
      <c r="C106" s="4">
        <f>VLOOKUP(A106, output_exiobase_v3.10.2_EXIO_IOT_2022_pxp_Y_imports_footprint_FR[], 2, FALSE)</f>
        <v>844914.02533901227</v>
      </c>
      <c r="D106" s="4">
        <f>VLOOKUP(A106, output_exiobase_v3.10.2_EXIO_IOT_2022_pxp_Z_imports_footprint_FR[], 2, FALSE)</f>
        <v>10259629.591627924</v>
      </c>
      <c r="E106" s="4">
        <f>VLOOKUP(A106, output_exiobase_v3.10.2_EXIO_IOT_2022_pxp_Y_production_footprint_FR[], 2, FALSE)</f>
        <v>1119255674.9832819</v>
      </c>
      <c r="F106" s="4">
        <f>VLOOKUP(A106, output_exiobase_v3.10.2_EXIO_IOT_2022_pxp_Z_production_footprint_FR[], 2, FALSE)</f>
        <v>1001028803.7167501</v>
      </c>
      <c r="G106" s="35">
        <f t="shared" ref="G106:G137" si="12">(C106+D106)/B106</f>
        <v>5.2100031954257532E-3</v>
      </c>
      <c r="H106" s="1">
        <f t="shared" ref="H106:H137" si="13">(E106+F106)/B106</f>
        <v>0.99478999680457425</v>
      </c>
    </row>
    <row r="107" spans="1:9" x14ac:dyDescent="0.3">
      <c r="A107" s="9" t="s">
        <v>94</v>
      </c>
      <c r="B107" s="29">
        <f t="shared" si="11"/>
        <v>1945050758.5434775</v>
      </c>
      <c r="C107" s="4">
        <f>VLOOKUP(A107, output_exiobase_v3.10.2_EXIO_IOT_2022_pxp_Y_imports_footprint_FR[], 2, FALSE)</f>
        <v>508790563.94824255</v>
      </c>
      <c r="D107" s="4">
        <f>VLOOKUP(A107, output_exiobase_v3.10.2_EXIO_IOT_2022_pxp_Z_imports_footprint_FR[], 2, FALSE)</f>
        <v>1436260194.5952349</v>
      </c>
      <c r="E107" s="4">
        <f>VLOOKUP(A107, output_exiobase_v3.10.2_EXIO_IOT_2022_pxp_Y_production_footprint_FR[], 2, FALSE)</f>
        <v>0</v>
      </c>
      <c r="F107" s="4">
        <f>VLOOKUP(A107, output_exiobase_v3.10.2_EXIO_IOT_2022_pxp_Z_production_footprint_FR[], 2, FALSE)</f>
        <v>0</v>
      </c>
      <c r="G107" s="35">
        <f t="shared" si="12"/>
        <v>1</v>
      </c>
      <c r="H107" s="1">
        <f t="shared" si="13"/>
        <v>0</v>
      </c>
    </row>
    <row r="108" spans="1:9" x14ac:dyDescent="0.3">
      <c r="A108" s="9" t="s">
        <v>187</v>
      </c>
      <c r="B108" s="29">
        <f t="shared" si="11"/>
        <v>1930777142.83234</v>
      </c>
      <c r="C108" s="4">
        <f>VLOOKUP(A108, output_exiobase_v3.10.2_EXIO_IOT_2022_pxp_Y_imports_footprint_FR[], 2, FALSE)</f>
        <v>0</v>
      </c>
      <c r="D108" s="4">
        <f>VLOOKUP(A108, output_exiobase_v3.10.2_EXIO_IOT_2022_pxp_Z_imports_footprint_FR[], 2, FALSE)</f>
        <v>0</v>
      </c>
      <c r="E108" s="4">
        <f>VLOOKUP(A108, output_exiobase_v3.10.2_EXIO_IOT_2022_pxp_Y_production_footprint_FR[], 2, FALSE)</f>
        <v>451854530.41994685</v>
      </c>
      <c r="F108" s="4">
        <f>VLOOKUP(A108, output_exiobase_v3.10.2_EXIO_IOT_2022_pxp_Z_production_footprint_FR[], 2, FALSE)</f>
        <v>1478922612.4123931</v>
      </c>
      <c r="G108" s="35">
        <f t="shared" si="12"/>
        <v>0</v>
      </c>
      <c r="H108" s="1">
        <f t="shared" si="13"/>
        <v>1</v>
      </c>
    </row>
    <row r="109" spans="1:9" x14ac:dyDescent="0.3">
      <c r="A109" s="9" t="s">
        <v>30</v>
      </c>
      <c r="B109" s="29">
        <f t="shared" si="11"/>
        <v>1826270827.7726555</v>
      </c>
      <c r="C109" s="4">
        <f>VLOOKUP(A109, output_exiobase_v3.10.2_EXIO_IOT_2022_pxp_Y_imports_footprint_FR[], 2, FALSE)</f>
        <v>0</v>
      </c>
      <c r="D109" s="4">
        <f>VLOOKUP(A109, output_exiobase_v3.10.2_EXIO_IOT_2022_pxp_Z_imports_footprint_FR[], 2, FALSE)</f>
        <v>0</v>
      </c>
      <c r="E109" s="4">
        <f>VLOOKUP(A109, output_exiobase_v3.10.2_EXIO_IOT_2022_pxp_Y_production_footprint_FR[], 2, FALSE)</f>
        <v>798234813.07494152</v>
      </c>
      <c r="F109" s="4">
        <f>VLOOKUP(A109, output_exiobase_v3.10.2_EXIO_IOT_2022_pxp_Z_production_footprint_FR[], 2, FALSE)</f>
        <v>1028036014.697714</v>
      </c>
      <c r="G109" s="35">
        <f t="shared" si="12"/>
        <v>0</v>
      </c>
      <c r="H109" s="1">
        <f t="shared" si="13"/>
        <v>1</v>
      </c>
    </row>
    <row r="110" spans="1:9" x14ac:dyDescent="0.3">
      <c r="A110" s="9" t="s">
        <v>176</v>
      </c>
      <c r="B110" s="29">
        <f t="shared" si="11"/>
        <v>1778520209.1215472</v>
      </c>
      <c r="C110" s="4">
        <f>VLOOKUP(A110, output_exiobase_v3.10.2_EXIO_IOT_2022_pxp_Y_imports_footprint_FR[], 2, FALSE)</f>
        <v>1022126.8990153038</v>
      </c>
      <c r="D110" s="4">
        <f>VLOOKUP(A110, output_exiobase_v3.10.2_EXIO_IOT_2022_pxp_Z_imports_footprint_FR[], 2, FALSE)</f>
        <v>12418781.8716392</v>
      </c>
      <c r="E110" s="4">
        <f>VLOOKUP(A110, output_exiobase_v3.10.2_EXIO_IOT_2022_pxp_Y_production_footprint_FR[], 2, FALSE)</f>
        <v>567243101.70800185</v>
      </c>
      <c r="F110" s="4">
        <f>VLOOKUP(A110, output_exiobase_v3.10.2_EXIO_IOT_2022_pxp_Z_production_footprint_FR[], 2, FALSE)</f>
        <v>1197836198.6428909</v>
      </c>
      <c r="G110" s="35">
        <f t="shared" si="12"/>
        <v>7.5573550987611676E-3</v>
      </c>
      <c r="H110" s="1">
        <f t="shared" si="13"/>
        <v>0.9924426449012389</v>
      </c>
    </row>
    <row r="111" spans="1:9" x14ac:dyDescent="0.3">
      <c r="A111" s="9" t="s">
        <v>100</v>
      </c>
      <c r="B111" s="29">
        <f t="shared" si="11"/>
        <v>1679724719.4353948</v>
      </c>
      <c r="C111" s="4">
        <f>VLOOKUP(A111, output_exiobase_v3.10.2_EXIO_IOT_2022_pxp_Y_imports_footprint_FR[], 2, FALSE)</f>
        <v>0</v>
      </c>
      <c r="D111" s="4">
        <f>VLOOKUP(A111, output_exiobase_v3.10.2_EXIO_IOT_2022_pxp_Z_imports_footprint_FR[], 2, FALSE)</f>
        <v>1679724719.4353948</v>
      </c>
      <c r="E111" s="4">
        <f>VLOOKUP(A111, output_exiobase_v3.10.2_EXIO_IOT_2022_pxp_Y_production_footprint_FR[], 2, FALSE)</f>
        <v>0</v>
      </c>
      <c r="F111" s="4">
        <f>VLOOKUP(A111, output_exiobase_v3.10.2_EXIO_IOT_2022_pxp_Z_production_footprint_FR[], 2, FALSE)</f>
        <v>0</v>
      </c>
      <c r="G111" s="35">
        <f t="shared" si="12"/>
        <v>1</v>
      </c>
      <c r="H111" s="1">
        <f t="shared" si="13"/>
        <v>0</v>
      </c>
    </row>
    <row r="112" spans="1:9" x14ac:dyDescent="0.3">
      <c r="A112" s="9" t="s">
        <v>99</v>
      </c>
      <c r="B112" s="29">
        <f t="shared" si="11"/>
        <v>1678057130.9739225</v>
      </c>
      <c r="C112" s="4">
        <f>VLOOKUP(A112, output_exiobase_v3.10.2_EXIO_IOT_2022_pxp_Y_imports_footprint_FR[], 2, FALSE)</f>
        <v>10722076.247099688</v>
      </c>
      <c r="D112" s="4">
        <f>VLOOKUP(A112, output_exiobase_v3.10.2_EXIO_IOT_2022_pxp_Z_imports_footprint_FR[], 2, FALSE)</f>
        <v>618957163.29692495</v>
      </c>
      <c r="E112" s="4">
        <f>VLOOKUP(A112, output_exiobase_v3.10.2_EXIO_IOT_2022_pxp_Y_production_footprint_FR[], 2, FALSE)</f>
        <v>34109624.883869126</v>
      </c>
      <c r="F112" s="4">
        <f>VLOOKUP(A112, output_exiobase_v3.10.2_EXIO_IOT_2022_pxp_Z_production_footprint_FR[], 2, FALSE)</f>
        <v>1014268266.5460287</v>
      </c>
      <c r="G112" s="35">
        <f t="shared" si="12"/>
        <v>0.37524302833394413</v>
      </c>
      <c r="H112" s="1">
        <f t="shared" si="13"/>
        <v>0.62475697166605593</v>
      </c>
      <c r="I112" s="5"/>
    </row>
    <row r="113" spans="1:9" x14ac:dyDescent="0.3">
      <c r="A113" s="9" t="s">
        <v>95</v>
      </c>
      <c r="B113" s="29">
        <f t="shared" si="11"/>
        <v>1600368571.3694577</v>
      </c>
      <c r="C113" s="4">
        <f>VLOOKUP(A113, output_exiobase_v3.10.2_EXIO_IOT_2022_pxp_Y_imports_footprint_FR[], 2, FALSE)</f>
        <v>45121190.957622513</v>
      </c>
      <c r="D113" s="4">
        <f>VLOOKUP(A113, output_exiobase_v3.10.2_EXIO_IOT_2022_pxp_Z_imports_footprint_FR[], 2, FALSE)</f>
        <v>27427895.145995013</v>
      </c>
      <c r="E113" s="4">
        <f>VLOOKUP(A113, output_exiobase_v3.10.2_EXIO_IOT_2022_pxp_Y_production_footprint_FR[], 2, FALSE)</f>
        <v>1156215496.0740697</v>
      </c>
      <c r="F113" s="4">
        <f>VLOOKUP(A113, output_exiobase_v3.10.2_EXIO_IOT_2022_pxp_Z_production_footprint_FR[], 2, FALSE)</f>
        <v>371603989.19177049</v>
      </c>
      <c r="G113" s="35">
        <f t="shared" si="12"/>
        <v>4.5332736096870642E-2</v>
      </c>
      <c r="H113" s="1">
        <f t="shared" si="13"/>
        <v>0.95466726390312939</v>
      </c>
      <c r="I113" s="5"/>
    </row>
    <row r="114" spans="1:9" x14ac:dyDescent="0.3">
      <c r="A114" s="9" t="s">
        <v>62</v>
      </c>
      <c r="B114" s="29">
        <f t="shared" si="11"/>
        <v>1493475166.0927539</v>
      </c>
      <c r="C114" s="4">
        <f>VLOOKUP(A114, output_exiobase_v3.10.2_EXIO_IOT_2022_pxp_Y_imports_footprint_FR[], 2, FALSE)</f>
        <v>1216811.367676262</v>
      </c>
      <c r="D114" s="4">
        <f>VLOOKUP(A114, output_exiobase_v3.10.2_EXIO_IOT_2022_pxp_Z_imports_footprint_FR[], 2, FALSE)</f>
        <v>14356459.469770884</v>
      </c>
      <c r="E114" s="4">
        <f>VLOOKUP(A114, output_exiobase_v3.10.2_EXIO_IOT_2022_pxp_Y_production_footprint_FR[], 2, FALSE)</f>
        <v>509897203.42974198</v>
      </c>
      <c r="F114" s="4">
        <f>VLOOKUP(A114, output_exiobase_v3.10.2_EXIO_IOT_2022_pxp_Z_production_footprint_FR[], 2, FALSE)</f>
        <v>968004691.82556486</v>
      </c>
      <c r="G114" s="35">
        <f t="shared" si="12"/>
        <v>1.0427539199188767E-2</v>
      </c>
      <c r="H114" s="1">
        <f t="shared" si="13"/>
        <v>0.98957246080081118</v>
      </c>
      <c r="I114" s="5"/>
    </row>
    <row r="115" spans="1:9" x14ac:dyDescent="0.3">
      <c r="A115" s="9" t="s">
        <v>18</v>
      </c>
      <c r="B115" s="29">
        <f t="shared" si="11"/>
        <v>1451997285.0185554</v>
      </c>
      <c r="C115" s="4">
        <f>VLOOKUP(A115, output_exiobase_v3.10.2_EXIO_IOT_2022_pxp_Y_imports_footprint_FR[], 2, FALSE)</f>
        <v>527954.69810254348</v>
      </c>
      <c r="D115" s="4">
        <f>VLOOKUP(A115, output_exiobase_v3.10.2_EXIO_IOT_2022_pxp_Z_imports_footprint_FR[], 2, FALSE)</f>
        <v>88384187.598413631</v>
      </c>
      <c r="E115" s="4">
        <f>VLOOKUP(A115, output_exiobase_v3.10.2_EXIO_IOT_2022_pxp_Y_production_footprint_FR[], 2, FALSE)</f>
        <v>7274841.6768897558</v>
      </c>
      <c r="F115" s="4">
        <f>VLOOKUP(A115, output_exiobase_v3.10.2_EXIO_IOT_2022_pxp_Z_production_footprint_FR[], 2, FALSE)</f>
        <v>1355810301.0451496</v>
      </c>
      <c r="G115" s="35">
        <f t="shared" si="12"/>
        <v>6.1234372277342068E-2</v>
      </c>
      <c r="H115" s="1">
        <f t="shared" si="13"/>
        <v>0.93876562772265792</v>
      </c>
      <c r="I115" s="5"/>
    </row>
    <row r="116" spans="1:9" x14ac:dyDescent="0.3">
      <c r="A116" s="9" t="s">
        <v>200</v>
      </c>
      <c r="B116" s="29">
        <f t="shared" si="11"/>
        <v>1365166105.4595268</v>
      </c>
      <c r="C116" s="4">
        <f>VLOOKUP(A116, output_exiobase_v3.10.2_EXIO_IOT_2022_pxp_Y_imports_footprint_FR[], 2, FALSE)</f>
        <v>78681647.504298165</v>
      </c>
      <c r="D116" s="4">
        <f>VLOOKUP(A116, output_exiobase_v3.10.2_EXIO_IOT_2022_pxp_Z_imports_footprint_FR[], 2, FALSE)</f>
        <v>1256850875.7871523</v>
      </c>
      <c r="E116" s="4">
        <f>VLOOKUP(A116, output_exiobase_v3.10.2_EXIO_IOT_2022_pxp_Y_production_footprint_FR[], 2, FALSE)</f>
        <v>1471590.5409660235</v>
      </c>
      <c r="F116" s="4">
        <f>VLOOKUP(A116, output_exiobase_v3.10.2_EXIO_IOT_2022_pxp_Z_production_footprint_FR[], 2, FALSE)</f>
        <v>28161991.627110176</v>
      </c>
      <c r="G116" s="35">
        <f t="shared" si="12"/>
        <v>0.97829305748980533</v>
      </c>
      <c r="H116" s="1">
        <f t="shared" si="13"/>
        <v>2.1706942510194595E-2</v>
      </c>
      <c r="I116" s="5"/>
    </row>
    <row r="117" spans="1:9" x14ac:dyDescent="0.3">
      <c r="A117" s="9" t="s">
        <v>114</v>
      </c>
      <c r="B117" s="29">
        <f t="shared" si="11"/>
        <v>1348773884.2129791</v>
      </c>
      <c r="C117" s="4">
        <f>VLOOKUP(A117, output_exiobase_v3.10.2_EXIO_IOT_2022_pxp_Y_imports_footprint_FR[], 2, FALSE)</f>
        <v>7028988.2152334079</v>
      </c>
      <c r="D117" s="4">
        <f>VLOOKUP(A117, output_exiobase_v3.10.2_EXIO_IOT_2022_pxp_Z_imports_footprint_FR[], 2, FALSE)</f>
        <v>1260540127.4310684</v>
      </c>
      <c r="E117" s="4">
        <f>VLOOKUP(A117, output_exiobase_v3.10.2_EXIO_IOT_2022_pxp_Y_production_footprint_FR[], 2, FALSE)</f>
        <v>6408920.5268842122</v>
      </c>
      <c r="F117" s="4">
        <f>VLOOKUP(A117, output_exiobase_v3.10.2_EXIO_IOT_2022_pxp_Z_production_footprint_FR[], 2, FALSE)</f>
        <v>74795848.039793059</v>
      </c>
      <c r="G117" s="35">
        <f t="shared" si="12"/>
        <v>0.93979363812040217</v>
      </c>
      <c r="H117" s="1">
        <f t="shared" si="13"/>
        <v>6.0206361879597735E-2</v>
      </c>
      <c r="I117" s="5"/>
    </row>
    <row r="118" spans="1:9" x14ac:dyDescent="0.3">
      <c r="A118" s="9" t="s">
        <v>178</v>
      </c>
      <c r="B118" s="29">
        <f t="shared" si="11"/>
        <v>1282782539.8433394</v>
      </c>
      <c r="C118" s="4">
        <f>VLOOKUP(A118, output_exiobase_v3.10.2_EXIO_IOT_2022_pxp_Y_imports_footprint_FR[], 2, FALSE)</f>
        <v>1449612.7527593947</v>
      </c>
      <c r="D118" s="4">
        <f>VLOOKUP(A118, output_exiobase_v3.10.2_EXIO_IOT_2022_pxp_Z_imports_footprint_FR[], 2, FALSE)</f>
        <v>83813287.542343378</v>
      </c>
      <c r="E118" s="4">
        <f>VLOOKUP(A118, output_exiobase_v3.10.2_EXIO_IOT_2022_pxp_Y_production_footprint_FR[], 2, FALSE)</f>
        <v>21351293.11662462</v>
      </c>
      <c r="F118" s="4">
        <f>VLOOKUP(A118, output_exiobase_v3.10.2_EXIO_IOT_2022_pxp_Z_production_footprint_FR[], 2, FALSE)</f>
        <v>1176168346.431612</v>
      </c>
      <c r="G118" s="35">
        <f t="shared" si="12"/>
        <v>6.6467150625167976E-2</v>
      </c>
      <c r="H118" s="1">
        <f t="shared" si="13"/>
        <v>0.93353284937483194</v>
      </c>
      <c r="I118" s="5"/>
    </row>
    <row r="119" spans="1:9" x14ac:dyDescent="0.3">
      <c r="A119" s="9" t="s">
        <v>35</v>
      </c>
      <c r="B119" s="29">
        <f t="shared" si="11"/>
        <v>1144450207.4164009</v>
      </c>
      <c r="C119" s="4">
        <f>VLOOKUP(A119, output_exiobase_v3.10.2_EXIO_IOT_2022_pxp_Y_imports_footprint_FR[], 2, FALSE)</f>
        <v>157372033.23128882</v>
      </c>
      <c r="D119" s="4">
        <f>VLOOKUP(A119, output_exiobase_v3.10.2_EXIO_IOT_2022_pxp_Z_imports_footprint_FR[], 2, FALSE)</f>
        <v>861684709.49624121</v>
      </c>
      <c r="E119" s="4">
        <f>VLOOKUP(A119, output_exiobase_v3.10.2_EXIO_IOT_2022_pxp_Y_production_footprint_FR[], 2, FALSE)</f>
        <v>12385981.455674147</v>
      </c>
      <c r="F119" s="4">
        <f>VLOOKUP(A119, output_exiobase_v3.10.2_EXIO_IOT_2022_pxp_Z_production_footprint_FR[], 2, FALSE)</f>
        <v>113007483.23319677</v>
      </c>
      <c r="G119" s="35">
        <f t="shared" si="12"/>
        <v>0.89043344666610968</v>
      </c>
      <c r="H119" s="1">
        <f t="shared" si="13"/>
        <v>0.1095665533338903</v>
      </c>
      <c r="I119" s="5"/>
    </row>
    <row r="120" spans="1:9" x14ac:dyDescent="0.3">
      <c r="A120" s="9" t="s">
        <v>116</v>
      </c>
      <c r="B120" s="29">
        <f t="shared" si="11"/>
        <v>1041565825.687268</v>
      </c>
      <c r="C120" s="4">
        <f>VLOOKUP(A120, output_exiobase_v3.10.2_EXIO_IOT_2022_pxp_Y_imports_footprint_FR[], 2, FALSE)</f>
        <v>72205188.135222182</v>
      </c>
      <c r="D120" s="4">
        <f>VLOOKUP(A120, output_exiobase_v3.10.2_EXIO_IOT_2022_pxp_Z_imports_footprint_FR[], 2, FALSE)</f>
        <v>141571887.53318352</v>
      </c>
      <c r="E120" s="4">
        <f>VLOOKUP(A120, output_exiobase_v3.10.2_EXIO_IOT_2022_pxp_Y_production_footprint_FR[], 2, FALSE)</f>
        <v>503319572.81172031</v>
      </c>
      <c r="F120" s="4">
        <f>VLOOKUP(A120, output_exiobase_v3.10.2_EXIO_IOT_2022_pxp_Z_production_footprint_FR[], 2, FALSE)</f>
        <v>324469177.20714194</v>
      </c>
      <c r="G120" s="35">
        <f t="shared" si="12"/>
        <v>0.20524586194765634</v>
      </c>
      <c r="H120" s="1">
        <f t="shared" si="13"/>
        <v>0.79475413805234363</v>
      </c>
      <c r="I120" s="5"/>
    </row>
    <row r="121" spans="1:9" x14ac:dyDescent="0.3">
      <c r="A121" s="9" t="s">
        <v>133</v>
      </c>
      <c r="B121" s="29">
        <f t="shared" si="11"/>
        <v>944744408.30315804</v>
      </c>
      <c r="C121" s="4">
        <f>VLOOKUP(A121, output_exiobase_v3.10.2_EXIO_IOT_2022_pxp_Y_imports_footprint_FR[], 2, FALSE)</f>
        <v>629583.38313513005</v>
      </c>
      <c r="D121" s="4">
        <f>VLOOKUP(A121, output_exiobase_v3.10.2_EXIO_IOT_2022_pxp_Z_imports_footprint_FR[], 2, FALSE)</f>
        <v>7665406.062518524</v>
      </c>
      <c r="E121" s="4">
        <f>VLOOKUP(A121, output_exiobase_v3.10.2_EXIO_IOT_2022_pxp_Y_production_footprint_FR[], 2, FALSE)</f>
        <v>141703189.48680273</v>
      </c>
      <c r="F121" s="4">
        <f>VLOOKUP(A121, output_exiobase_v3.10.2_EXIO_IOT_2022_pxp_Z_production_footprint_FR[], 2, FALSE)</f>
        <v>794746229.37070167</v>
      </c>
      <c r="G121" s="35">
        <f t="shared" si="12"/>
        <v>8.7801413511958918E-3</v>
      </c>
      <c r="H121" s="1">
        <f t="shared" si="13"/>
        <v>0.99121985864880413</v>
      </c>
      <c r="I121" s="5"/>
    </row>
    <row r="122" spans="1:9" x14ac:dyDescent="0.3">
      <c r="A122" s="9" t="s">
        <v>149</v>
      </c>
      <c r="B122" s="29">
        <f t="shared" si="11"/>
        <v>941577034.73487818</v>
      </c>
      <c r="C122" s="4">
        <f>VLOOKUP(A122, output_exiobase_v3.10.2_EXIO_IOT_2022_pxp_Y_imports_footprint_FR[], 2, FALSE)</f>
        <v>4.9482553504825603E-5</v>
      </c>
      <c r="D122" s="4">
        <f>VLOOKUP(A122, output_exiobase_v3.10.2_EXIO_IOT_2022_pxp_Z_imports_footprint_FR[], 2, FALSE)</f>
        <v>806510449.3199712</v>
      </c>
      <c r="E122" s="4">
        <f>VLOOKUP(A122, output_exiobase_v3.10.2_EXIO_IOT_2022_pxp_Y_production_footprint_FR[], 2, FALSE)</f>
        <v>23336860.515226346</v>
      </c>
      <c r="F122" s="4">
        <f>VLOOKUP(A122, output_exiobase_v3.10.2_EXIO_IOT_2022_pxp_Z_production_footprint_FR[], 2, FALSE)</f>
        <v>111729724.89963119</v>
      </c>
      <c r="G122" s="35">
        <f t="shared" si="12"/>
        <v>0.8565528040380801</v>
      </c>
      <c r="H122" s="1">
        <f t="shared" si="13"/>
        <v>0.1434471959619199</v>
      </c>
      <c r="I122" s="5"/>
    </row>
    <row r="123" spans="1:9" x14ac:dyDescent="0.3">
      <c r="A123" s="9" t="s">
        <v>104</v>
      </c>
      <c r="B123" s="29">
        <f t="shared" si="11"/>
        <v>935544002.81313491</v>
      </c>
      <c r="C123" s="4">
        <f>VLOOKUP(A123, output_exiobase_v3.10.2_EXIO_IOT_2022_pxp_Y_imports_footprint_FR[], 2, FALSE)</f>
        <v>105389227.13481206</v>
      </c>
      <c r="D123" s="4">
        <f>VLOOKUP(A123, output_exiobase_v3.10.2_EXIO_IOT_2022_pxp_Z_imports_footprint_FR[], 2, FALSE)</f>
        <v>39191.996255510421</v>
      </c>
      <c r="E123" s="4">
        <f>VLOOKUP(A123, output_exiobase_v3.10.2_EXIO_IOT_2022_pxp_Y_production_footprint_FR[], 2, FALSE)</f>
        <v>669180711.8605653</v>
      </c>
      <c r="F123" s="4">
        <f>VLOOKUP(A123, output_exiobase_v3.10.2_EXIO_IOT_2022_pxp_Z_production_footprint_FR[], 2, FALSE)</f>
        <v>160934871.82150191</v>
      </c>
      <c r="G123" s="35">
        <f t="shared" si="12"/>
        <v>0.11269210086756956</v>
      </c>
      <c r="H123" s="1">
        <f t="shared" si="13"/>
        <v>0.88730789913243024</v>
      </c>
      <c r="I123" s="5"/>
    </row>
    <row r="124" spans="1:9" x14ac:dyDescent="0.3">
      <c r="A124" s="9" t="s">
        <v>5</v>
      </c>
      <c r="B124" s="29">
        <f t="shared" si="11"/>
        <v>840064668.20209384</v>
      </c>
      <c r="C124" s="4">
        <f>VLOOKUP(A124, output_exiobase_v3.10.2_EXIO_IOT_2022_pxp_Y_imports_footprint_FR[], 2, FALSE)</f>
        <v>276209943.97701126</v>
      </c>
      <c r="D124" s="4">
        <f>VLOOKUP(A124, output_exiobase_v3.10.2_EXIO_IOT_2022_pxp_Z_imports_footprint_FR[], 2, FALSE)</f>
        <v>10491474.367292391</v>
      </c>
      <c r="E124" s="4">
        <f>VLOOKUP(A124, output_exiobase_v3.10.2_EXIO_IOT_2022_pxp_Y_production_footprint_FR[], 2, FALSE)</f>
        <v>427876016.69754308</v>
      </c>
      <c r="F124" s="4">
        <f>VLOOKUP(A124, output_exiobase_v3.10.2_EXIO_IOT_2022_pxp_Z_production_footprint_FR[], 2, FALSE)</f>
        <v>125487233.16024713</v>
      </c>
      <c r="G124" s="35">
        <f t="shared" si="12"/>
        <v>0.34128493816779837</v>
      </c>
      <c r="H124" s="1">
        <f t="shared" si="13"/>
        <v>0.65871506183220163</v>
      </c>
      <c r="I124" s="5"/>
    </row>
    <row r="125" spans="1:9" x14ac:dyDescent="0.3">
      <c r="A125" s="9" t="s">
        <v>46</v>
      </c>
      <c r="B125" s="29">
        <f t="shared" si="11"/>
        <v>734751969.52719545</v>
      </c>
      <c r="C125" s="4">
        <f>VLOOKUP(A125, output_exiobase_v3.10.2_EXIO_IOT_2022_pxp_Y_imports_footprint_FR[], 2, FALSE)</f>
        <v>33050074.646868479</v>
      </c>
      <c r="D125" s="4">
        <f>VLOOKUP(A125, output_exiobase_v3.10.2_EXIO_IOT_2022_pxp_Z_imports_footprint_FR[], 2, FALSE)</f>
        <v>90037239.229134962</v>
      </c>
      <c r="E125" s="4">
        <f>VLOOKUP(A125, output_exiobase_v3.10.2_EXIO_IOT_2022_pxp_Y_production_footprint_FR[], 2, FALSE)</f>
        <v>152061080.88291052</v>
      </c>
      <c r="F125" s="4">
        <f>VLOOKUP(A125, output_exiobase_v3.10.2_EXIO_IOT_2022_pxp_Z_production_footprint_FR[], 2, FALSE)</f>
        <v>459603574.7682814</v>
      </c>
      <c r="G125" s="35">
        <f t="shared" si="12"/>
        <v>0.16752226462925812</v>
      </c>
      <c r="H125" s="1">
        <f t="shared" si="13"/>
        <v>0.83247773537074177</v>
      </c>
      <c r="I125" s="5"/>
    </row>
    <row r="126" spans="1:9" x14ac:dyDescent="0.3">
      <c r="A126" s="9" t="s">
        <v>124</v>
      </c>
      <c r="B126" s="29">
        <f t="shared" si="11"/>
        <v>702362170.91102362</v>
      </c>
      <c r="C126" s="4">
        <f>VLOOKUP(A126, output_exiobase_v3.10.2_EXIO_IOT_2022_pxp_Y_imports_footprint_FR[], 2, FALSE)</f>
        <v>563053.27423764975</v>
      </c>
      <c r="D126" s="4">
        <f>VLOOKUP(A126, output_exiobase_v3.10.2_EXIO_IOT_2022_pxp_Z_imports_footprint_FR[], 2, FALSE)</f>
        <v>6833372.1569831818</v>
      </c>
      <c r="E126" s="4">
        <f>VLOOKUP(A126, output_exiobase_v3.10.2_EXIO_IOT_2022_pxp_Y_production_footprint_FR[], 2, FALSE)</f>
        <v>105662828.79566447</v>
      </c>
      <c r="F126" s="4">
        <f>VLOOKUP(A126, output_exiobase_v3.10.2_EXIO_IOT_2022_pxp_Z_production_footprint_FR[], 2, FALSE)</f>
        <v>589302916.6841383</v>
      </c>
      <c r="G126" s="35">
        <f t="shared" si="12"/>
        <v>1.0530785594029127E-2</v>
      </c>
      <c r="H126" s="1">
        <f t="shared" si="13"/>
        <v>0.9894692144059708</v>
      </c>
      <c r="I126" s="5"/>
    </row>
    <row r="127" spans="1:9" x14ac:dyDescent="0.3">
      <c r="A127" s="9" t="s">
        <v>197</v>
      </c>
      <c r="B127" s="29">
        <f t="shared" si="11"/>
        <v>646608232.73039186</v>
      </c>
      <c r="C127" s="4">
        <f>VLOOKUP(A127, output_exiobase_v3.10.2_EXIO_IOT_2022_pxp_Y_imports_footprint_FR[], 2, FALSE)</f>
        <v>558875.54391561809</v>
      </c>
      <c r="D127" s="4">
        <f>VLOOKUP(A127, output_exiobase_v3.10.2_EXIO_IOT_2022_pxp_Z_imports_footprint_FR[], 2, FALSE)</f>
        <v>6709912.2892384157</v>
      </c>
      <c r="E127" s="4">
        <f>VLOOKUP(A127, output_exiobase_v3.10.2_EXIO_IOT_2022_pxp_Y_production_footprint_FR[], 2, FALSE)</f>
        <v>97316550.211782366</v>
      </c>
      <c r="F127" s="4">
        <f>VLOOKUP(A127, output_exiobase_v3.10.2_EXIO_IOT_2022_pxp_Z_production_footprint_FR[], 2, FALSE)</f>
        <v>542022894.68545544</v>
      </c>
      <c r="G127" s="35">
        <f t="shared" si="12"/>
        <v>1.1241409349925196E-2</v>
      </c>
      <c r="H127" s="1">
        <f t="shared" si="13"/>
        <v>0.98875859065007476</v>
      </c>
      <c r="I127" s="5"/>
    </row>
    <row r="128" spans="1:9" x14ac:dyDescent="0.3">
      <c r="A128" s="9" t="s">
        <v>43</v>
      </c>
      <c r="B128" s="29">
        <f t="shared" si="11"/>
        <v>639139981.13554287</v>
      </c>
      <c r="C128" s="4">
        <f>VLOOKUP(A128, output_exiobase_v3.10.2_EXIO_IOT_2022_pxp_Y_imports_footprint_FR[], 2, FALSE)</f>
        <v>122283690.10191905</v>
      </c>
      <c r="D128" s="4">
        <f>VLOOKUP(A128, output_exiobase_v3.10.2_EXIO_IOT_2022_pxp_Z_imports_footprint_FR[], 2, FALSE)</f>
        <v>367684133.25122195</v>
      </c>
      <c r="E128" s="4">
        <f>VLOOKUP(A128, output_exiobase_v3.10.2_EXIO_IOT_2022_pxp_Y_production_footprint_FR[], 2, FALSE)</f>
        <v>36983943.711572722</v>
      </c>
      <c r="F128" s="4">
        <f>VLOOKUP(A128, output_exiobase_v3.10.2_EXIO_IOT_2022_pxp_Z_production_footprint_FR[], 2, FALSE)</f>
        <v>112188214.07082915</v>
      </c>
      <c r="G128" s="35">
        <f t="shared" si="12"/>
        <v>0.76660487188210058</v>
      </c>
      <c r="H128" s="1">
        <f t="shared" si="13"/>
        <v>0.23339512811789945</v>
      </c>
      <c r="I128" s="5"/>
    </row>
    <row r="129" spans="1:9" x14ac:dyDescent="0.3">
      <c r="A129" s="9" t="s">
        <v>154</v>
      </c>
      <c r="B129" s="29">
        <f t="shared" si="11"/>
        <v>585737793.43433237</v>
      </c>
      <c r="C129" s="4">
        <f>VLOOKUP(A129, output_exiobase_v3.10.2_EXIO_IOT_2022_pxp_Y_imports_footprint_FR[], 2, FALSE)</f>
        <v>0</v>
      </c>
      <c r="D129" s="4">
        <f>VLOOKUP(A129, output_exiobase_v3.10.2_EXIO_IOT_2022_pxp_Z_imports_footprint_FR[], 2, FALSE)</f>
        <v>106056714.62912413</v>
      </c>
      <c r="E129" s="4">
        <f>VLOOKUP(A129, output_exiobase_v3.10.2_EXIO_IOT_2022_pxp_Y_production_footprint_FR[], 2, FALSE)</f>
        <v>46342207.457669474</v>
      </c>
      <c r="F129" s="4">
        <f>VLOOKUP(A129, output_exiobase_v3.10.2_EXIO_IOT_2022_pxp_Z_production_footprint_FR[], 2, FALSE)</f>
        <v>433338871.34753871</v>
      </c>
      <c r="G129" s="35">
        <f t="shared" si="12"/>
        <v>0.18106517253613796</v>
      </c>
      <c r="H129" s="1">
        <f t="shared" si="13"/>
        <v>0.81893482746386193</v>
      </c>
      <c r="I129" s="5"/>
    </row>
    <row r="130" spans="1:9" x14ac:dyDescent="0.3">
      <c r="A130" s="9" t="s">
        <v>52</v>
      </c>
      <c r="B130" s="29">
        <f t="shared" si="11"/>
        <v>575871371.85085559</v>
      </c>
      <c r="C130" s="4">
        <f>VLOOKUP(A130, output_exiobase_v3.10.2_EXIO_IOT_2022_pxp_Y_imports_footprint_FR[], 2, FALSE)</f>
        <v>42857507.380003661</v>
      </c>
      <c r="D130" s="4">
        <f>VLOOKUP(A130, output_exiobase_v3.10.2_EXIO_IOT_2022_pxp_Z_imports_footprint_FR[], 2, FALSE)</f>
        <v>127898364.56646536</v>
      </c>
      <c r="E130" s="4">
        <f>VLOOKUP(A130, output_exiobase_v3.10.2_EXIO_IOT_2022_pxp_Y_production_footprint_FR[], 2, FALSE)</f>
        <v>101508814.12988123</v>
      </c>
      <c r="F130" s="4">
        <f>VLOOKUP(A130, output_exiobase_v3.10.2_EXIO_IOT_2022_pxp_Z_production_footprint_FR[], 2, FALSE)</f>
        <v>303606685.77450544</v>
      </c>
      <c r="G130" s="35">
        <f t="shared" si="12"/>
        <v>0.29651738268853017</v>
      </c>
      <c r="H130" s="1">
        <f t="shared" si="13"/>
        <v>0.70348261731146988</v>
      </c>
      <c r="I130" s="5"/>
    </row>
    <row r="131" spans="1:9" x14ac:dyDescent="0.3">
      <c r="A131" s="9" t="s">
        <v>77</v>
      </c>
      <c r="B131" s="29">
        <f t="shared" si="11"/>
        <v>571119263.82608068</v>
      </c>
      <c r="C131" s="4">
        <f>VLOOKUP(A131, output_exiobase_v3.10.2_EXIO_IOT_2022_pxp_Y_imports_footprint_FR[], 2, FALSE)</f>
        <v>102998649.25208542</v>
      </c>
      <c r="D131" s="4">
        <f>VLOOKUP(A131, output_exiobase_v3.10.2_EXIO_IOT_2022_pxp_Z_imports_footprint_FR[], 2, FALSE)</f>
        <v>6297865.9360548817</v>
      </c>
      <c r="E131" s="4">
        <f>VLOOKUP(A131, output_exiobase_v3.10.2_EXIO_IOT_2022_pxp_Y_production_footprint_FR[], 2, FALSE)</f>
        <v>431736622.88573587</v>
      </c>
      <c r="F131" s="4">
        <f>VLOOKUP(A131, output_exiobase_v3.10.2_EXIO_IOT_2022_pxp_Z_production_footprint_FR[], 2, FALSE)</f>
        <v>30086125.752204511</v>
      </c>
      <c r="G131" s="35">
        <f t="shared" si="12"/>
        <v>0.19137248926946313</v>
      </c>
      <c r="H131" s="1">
        <f t="shared" si="13"/>
        <v>0.80862751073053696</v>
      </c>
      <c r="I131" s="5"/>
    </row>
    <row r="132" spans="1:9" x14ac:dyDescent="0.3">
      <c r="A132" s="9" t="s">
        <v>184</v>
      </c>
      <c r="B132" s="29">
        <f t="shared" si="11"/>
        <v>566550322.02261066</v>
      </c>
      <c r="C132" s="4">
        <f>VLOOKUP(A132, output_exiobase_v3.10.2_EXIO_IOT_2022_pxp_Y_imports_footprint_FR[], 2, FALSE)</f>
        <v>254838.56593777868</v>
      </c>
      <c r="D132" s="4">
        <f>VLOOKUP(A132, output_exiobase_v3.10.2_EXIO_IOT_2022_pxp_Z_imports_footprint_FR[], 2, FALSE)</f>
        <v>3065991.5417239391</v>
      </c>
      <c r="E132" s="4">
        <f>VLOOKUP(A132, output_exiobase_v3.10.2_EXIO_IOT_2022_pxp_Y_production_footprint_FR[], 2, FALSE)</f>
        <v>67075414.167088643</v>
      </c>
      <c r="F132" s="4">
        <f>VLOOKUP(A132, output_exiobase_v3.10.2_EXIO_IOT_2022_pxp_Z_production_footprint_FR[], 2, FALSE)</f>
        <v>496154077.74786025</v>
      </c>
      <c r="G132" s="35">
        <f t="shared" si="12"/>
        <v>5.8614918720833161E-3</v>
      </c>
      <c r="H132" s="1">
        <f t="shared" si="13"/>
        <v>0.99413850812791671</v>
      </c>
    </row>
    <row r="133" spans="1:9" x14ac:dyDescent="0.3">
      <c r="A133" s="9" t="s">
        <v>15</v>
      </c>
      <c r="B133" s="29">
        <f t="shared" si="11"/>
        <v>510110676.24477518</v>
      </c>
      <c r="C133" s="4">
        <f>VLOOKUP(A133, output_exiobase_v3.10.2_EXIO_IOT_2022_pxp_Y_imports_footprint_FR[], 2, FALSE)</f>
        <v>12761012.889665695</v>
      </c>
      <c r="D133" s="4">
        <f>VLOOKUP(A133, output_exiobase_v3.10.2_EXIO_IOT_2022_pxp_Z_imports_footprint_FR[], 2, FALSE)</f>
        <v>305320656.81037474</v>
      </c>
      <c r="E133" s="4">
        <f>VLOOKUP(A133, output_exiobase_v3.10.2_EXIO_IOT_2022_pxp_Y_production_footprint_FR[], 2, FALSE)</f>
        <v>1798485.5206099229</v>
      </c>
      <c r="F133" s="4">
        <f>VLOOKUP(A133, output_exiobase_v3.10.2_EXIO_IOT_2022_pxp_Z_production_footprint_FR[], 2, FALSE)</f>
        <v>190230521.02412483</v>
      </c>
      <c r="G133" s="35">
        <f t="shared" si="12"/>
        <v>0.62355422952843642</v>
      </c>
      <c r="H133" s="1">
        <f t="shared" si="13"/>
        <v>0.37644577047156363</v>
      </c>
    </row>
    <row r="134" spans="1:9" x14ac:dyDescent="0.3">
      <c r="A134" s="9" t="s">
        <v>83</v>
      </c>
      <c r="B134" s="29">
        <f t="shared" si="11"/>
        <v>508962009.84047687</v>
      </c>
      <c r="C134" s="4">
        <f>VLOOKUP(A134, output_exiobase_v3.10.2_EXIO_IOT_2022_pxp_Y_imports_footprint_FR[], 2, FALSE)</f>
        <v>1.3157977859015258E-3</v>
      </c>
      <c r="D134" s="4">
        <f>VLOOKUP(A134, output_exiobase_v3.10.2_EXIO_IOT_2022_pxp_Z_imports_footprint_FR[], 2, FALSE)</f>
        <v>450284940.3668415</v>
      </c>
      <c r="E134" s="4">
        <f>VLOOKUP(A134, output_exiobase_v3.10.2_EXIO_IOT_2022_pxp_Y_production_footprint_FR[], 2, FALSE)</f>
        <v>13473875.939437352</v>
      </c>
      <c r="F134" s="4">
        <f>VLOOKUP(A134, output_exiobase_v3.10.2_EXIO_IOT_2022_pxp_Z_production_footprint_FR[], 2, FALSE)</f>
        <v>45203193.532882273</v>
      </c>
      <c r="G134" s="35">
        <f t="shared" si="12"/>
        <v>0.88471228041025962</v>
      </c>
      <c r="H134" s="1">
        <f t="shared" si="13"/>
        <v>0.11528771958974046</v>
      </c>
    </row>
    <row r="135" spans="1:9" x14ac:dyDescent="0.3">
      <c r="A135" s="9" t="s">
        <v>24</v>
      </c>
      <c r="B135" s="29">
        <f t="shared" si="11"/>
        <v>440436460.48769438</v>
      </c>
      <c r="C135" s="4">
        <f>VLOOKUP(A135, output_exiobase_v3.10.2_EXIO_IOT_2022_pxp_Y_imports_footprint_FR[], 2, FALSE)</f>
        <v>5518241.4709990406</v>
      </c>
      <c r="D135" s="4">
        <f>VLOOKUP(A135, output_exiobase_v3.10.2_EXIO_IOT_2022_pxp_Z_imports_footprint_FR[], 2, FALSE)</f>
        <v>106586066.71215786</v>
      </c>
      <c r="E135" s="4">
        <f>VLOOKUP(A135, output_exiobase_v3.10.2_EXIO_IOT_2022_pxp_Y_production_footprint_FR[], 2, FALSE)</f>
        <v>21662446.77731036</v>
      </c>
      <c r="F135" s="4">
        <f>VLOOKUP(A135, output_exiobase_v3.10.2_EXIO_IOT_2022_pxp_Z_production_footprint_FR[], 2, FALSE)</f>
        <v>306669705.5272271</v>
      </c>
      <c r="G135" s="35">
        <f t="shared" si="12"/>
        <v>0.25453003608970981</v>
      </c>
      <c r="H135" s="1">
        <f t="shared" si="13"/>
        <v>0.74546996391029019</v>
      </c>
    </row>
    <row r="136" spans="1:9" x14ac:dyDescent="0.3">
      <c r="A136" s="9" t="s">
        <v>26</v>
      </c>
      <c r="B136" s="29">
        <f t="shared" si="11"/>
        <v>431663699.61589801</v>
      </c>
      <c r="C136" s="4">
        <f>VLOOKUP(A136, output_exiobase_v3.10.2_EXIO_IOT_2022_pxp_Y_imports_footprint_FR[], 2, FALSE)</f>
        <v>0</v>
      </c>
      <c r="D136" s="4">
        <f>VLOOKUP(A136, output_exiobase_v3.10.2_EXIO_IOT_2022_pxp_Z_imports_footprint_FR[], 2, FALSE)</f>
        <v>9761.7841571000281</v>
      </c>
      <c r="E136" s="4">
        <f>VLOOKUP(A136, output_exiobase_v3.10.2_EXIO_IOT_2022_pxp_Y_production_footprint_FR[], 2, FALSE)</f>
        <v>1062040.7241778828</v>
      </c>
      <c r="F136" s="4">
        <f>VLOOKUP(A136, output_exiobase_v3.10.2_EXIO_IOT_2022_pxp_Z_production_footprint_FR[], 2, FALSE)</f>
        <v>430591897.10756302</v>
      </c>
      <c r="G136" s="35">
        <f t="shared" si="12"/>
        <v>2.261432723156067E-5</v>
      </c>
      <c r="H136" s="1">
        <f t="shared" si="13"/>
        <v>0.99997738567276839</v>
      </c>
    </row>
    <row r="137" spans="1:9" x14ac:dyDescent="0.3">
      <c r="A137" s="9" t="s">
        <v>134</v>
      </c>
      <c r="B137" s="29">
        <f t="shared" si="11"/>
        <v>416498318.42919242</v>
      </c>
      <c r="C137" s="4">
        <f>VLOOKUP(A137, output_exiobase_v3.10.2_EXIO_IOT_2022_pxp_Y_imports_footprint_FR[], 2, FALSE)</f>
        <v>182914.69102992243</v>
      </c>
      <c r="D137" s="4">
        <f>VLOOKUP(A137, output_exiobase_v3.10.2_EXIO_IOT_2022_pxp_Z_imports_footprint_FR[], 2, FALSE)</f>
        <v>2314549.3777749748</v>
      </c>
      <c r="E137" s="4">
        <f>VLOOKUP(A137, output_exiobase_v3.10.2_EXIO_IOT_2022_pxp_Y_production_footprint_FR[], 2, FALSE)</f>
        <v>50075529.304946393</v>
      </c>
      <c r="F137" s="4">
        <f>VLOOKUP(A137, output_exiobase_v3.10.2_EXIO_IOT_2022_pxp_Z_production_footprint_FR[], 2, FALSE)</f>
        <v>363925325.05544114</v>
      </c>
      <c r="G137" s="35">
        <f t="shared" si="12"/>
        <v>5.9963364995661642E-3</v>
      </c>
      <c r="H137" s="1">
        <f t="shared" si="13"/>
        <v>0.9940036635004339</v>
      </c>
    </row>
    <row r="138" spans="1:9" x14ac:dyDescent="0.3">
      <c r="A138" s="9" t="s">
        <v>186</v>
      </c>
      <c r="B138" s="29">
        <f t="shared" ref="B138:B169" si="14">SUM(C138:F138)</f>
        <v>406752904.4824006</v>
      </c>
      <c r="C138" s="4">
        <f>VLOOKUP(A138, output_exiobase_v3.10.2_EXIO_IOT_2022_pxp_Y_imports_footprint_FR[], 2, FALSE)</f>
        <v>309126922.95882475</v>
      </c>
      <c r="D138" s="4">
        <f>VLOOKUP(A138, output_exiobase_v3.10.2_EXIO_IOT_2022_pxp_Z_imports_footprint_FR[], 2, FALSE)</f>
        <v>3065067.8043017355</v>
      </c>
      <c r="E138" s="4">
        <f>VLOOKUP(A138, output_exiobase_v3.10.2_EXIO_IOT_2022_pxp_Y_production_footprint_FR[], 2, FALSE)</f>
        <v>81512354.836716056</v>
      </c>
      <c r="F138" s="4">
        <f>VLOOKUP(A138, output_exiobase_v3.10.2_EXIO_IOT_2022_pxp_Z_production_footprint_FR[], 2, FALSE)</f>
        <v>13048558.882558038</v>
      </c>
      <c r="G138" s="35">
        <f t="shared" ref="G138:G169" si="15">(C138+D138)/B138</f>
        <v>0.76752246221915899</v>
      </c>
      <c r="H138" s="1">
        <f t="shared" ref="H138:H169" si="16">(E138+F138)/B138</f>
        <v>0.23247753778084099</v>
      </c>
    </row>
    <row r="139" spans="1:9" x14ac:dyDescent="0.3">
      <c r="A139" s="9" t="s">
        <v>198</v>
      </c>
      <c r="B139" s="29">
        <f t="shared" si="14"/>
        <v>401604893.74624288</v>
      </c>
      <c r="C139" s="4">
        <f>VLOOKUP(A139, output_exiobase_v3.10.2_EXIO_IOT_2022_pxp_Y_imports_footprint_FR[], 2, FALSE)</f>
        <v>153696.88185754037</v>
      </c>
      <c r="D139" s="4">
        <f>VLOOKUP(A139, output_exiobase_v3.10.2_EXIO_IOT_2022_pxp_Z_imports_footprint_FR[], 2, FALSE)</f>
        <v>1840726.3130885605</v>
      </c>
      <c r="E139" s="4">
        <f>VLOOKUP(A139, output_exiobase_v3.10.2_EXIO_IOT_2022_pxp_Y_production_footprint_FR[], 2, FALSE)</f>
        <v>61050147.268193625</v>
      </c>
      <c r="F139" s="4">
        <f>VLOOKUP(A139, output_exiobase_v3.10.2_EXIO_IOT_2022_pxp_Z_production_footprint_FR[], 2, FALSE)</f>
        <v>338560323.28310317</v>
      </c>
      <c r="G139" s="35">
        <f t="shared" si="15"/>
        <v>4.9661326990858142E-3</v>
      </c>
      <c r="H139" s="1">
        <f t="shared" si="16"/>
        <v>0.99503386730091414</v>
      </c>
    </row>
    <row r="140" spans="1:9" x14ac:dyDescent="0.3">
      <c r="A140" s="9" t="s">
        <v>142</v>
      </c>
      <c r="B140" s="29">
        <f t="shared" si="14"/>
        <v>358531434.70349908</v>
      </c>
      <c r="C140" s="4">
        <f>VLOOKUP(A140, output_exiobase_v3.10.2_EXIO_IOT_2022_pxp_Y_imports_footprint_FR[], 2, FALSE)</f>
        <v>105439907.9675415</v>
      </c>
      <c r="D140" s="4">
        <f>VLOOKUP(A140, output_exiobase_v3.10.2_EXIO_IOT_2022_pxp_Z_imports_footprint_FR[], 2, FALSE)</f>
        <v>195461082.28741941</v>
      </c>
      <c r="E140" s="4">
        <f>VLOOKUP(A140, output_exiobase_v3.10.2_EXIO_IOT_2022_pxp_Y_production_footprint_FR[], 2, FALSE)</f>
        <v>10986042.834910167</v>
      </c>
      <c r="F140" s="4">
        <f>VLOOKUP(A140, output_exiobase_v3.10.2_EXIO_IOT_2022_pxp_Z_production_footprint_FR[], 2, FALSE)</f>
        <v>46644401.613628045</v>
      </c>
      <c r="G140" s="35">
        <f t="shared" si="15"/>
        <v>0.83925971652611764</v>
      </c>
      <c r="H140" s="1">
        <f t="shared" si="16"/>
        <v>0.16074028347388244</v>
      </c>
    </row>
    <row r="141" spans="1:9" x14ac:dyDescent="0.3">
      <c r="A141" s="9" t="s">
        <v>12</v>
      </c>
      <c r="B141" s="29">
        <f t="shared" si="14"/>
        <v>320064363.07673597</v>
      </c>
      <c r="C141" s="4">
        <f>VLOOKUP(A141, output_exiobase_v3.10.2_EXIO_IOT_2022_pxp_Y_imports_footprint_FR[], 2, FALSE)</f>
        <v>5054971.3683708534</v>
      </c>
      <c r="D141" s="4">
        <f>VLOOKUP(A141, output_exiobase_v3.10.2_EXIO_IOT_2022_pxp_Z_imports_footprint_FR[], 2, FALSE)</f>
        <v>138263456.5033353</v>
      </c>
      <c r="E141" s="4">
        <f>VLOOKUP(A141, output_exiobase_v3.10.2_EXIO_IOT_2022_pxp_Y_production_footprint_FR[], 2, FALSE)</f>
        <v>43078663.037100174</v>
      </c>
      <c r="F141" s="4">
        <f>VLOOKUP(A141, output_exiobase_v3.10.2_EXIO_IOT_2022_pxp_Z_production_footprint_FR[], 2, FALSE)</f>
        <v>133667272.16792968</v>
      </c>
      <c r="G141" s="35">
        <f t="shared" si="15"/>
        <v>0.44778002303663317</v>
      </c>
      <c r="H141" s="1">
        <f t="shared" si="16"/>
        <v>0.55221997696336689</v>
      </c>
    </row>
    <row r="142" spans="1:9" x14ac:dyDescent="0.3">
      <c r="A142" s="9" t="s">
        <v>98</v>
      </c>
      <c r="B142" s="29">
        <f t="shared" si="14"/>
        <v>286025620.56501979</v>
      </c>
      <c r="C142" s="4">
        <f>VLOOKUP(A142, output_exiobase_v3.10.2_EXIO_IOT_2022_pxp_Y_imports_footprint_FR[], 2, FALSE)</f>
        <v>1219777.9063826983</v>
      </c>
      <c r="D142" s="4">
        <f>VLOOKUP(A142, output_exiobase_v3.10.2_EXIO_IOT_2022_pxp_Z_imports_footprint_FR[], 2, FALSE)</f>
        <v>14985612.004810985</v>
      </c>
      <c r="E142" s="4">
        <f>VLOOKUP(A142, output_exiobase_v3.10.2_EXIO_IOT_2022_pxp_Y_production_footprint_FR[], 2, FALSE)</f>
        <v>80513007.433767587</v>
      </c>
      <c r="F142" s="4">
        <f>VLOOKUP(A142, output_exiobase_v3.10.2_EXIO_IOT_2022_pxp_Z_production_footprint_FR[], 2, FALSE)</f>
        <v>189307223.22005853</v>
      </c>
      <c r="G142" s="35">
        <f t="shared" si="15"/>
        <v>5.665712700555036E-2</v>
      </c>
      <c r="H142" s="1">
        <f t="shared" si="16"/>
        <v>0.94334287299444974</v>
      </c>
    </row>
    <row r="143" spans="1:9" x14ac:dyDescent="0.3">
      <c r="A143" s="9" t="s">
        <v>139</v>
      </c>
      <c r="B143" s="29">
        <f t="shared" si="14"/>
        <v>267243389.29939929</v>
      </c>
      <c r="C143" s="4">
        <f>VLOOKUP(A143, output_exiobase_v3.10.2_EXIO_IOT_2022_pxp_Y_imports_footprint_FR[], 2, FALSE)</f>
        <v>993190.37583210098</v>
      </c>
      <c r="D143" s="4">
        <f>VLOOKUP(A143, output_exiobase_v3.10.2_EXIO_IOT_2022_pxp_Z_imports_footprint_FR[], 2, FALSE)</f>
        <v>177192933.35552701</v>
      </c>
      <c r="E143" s="4">
        <f>VLOOKUP(A143, output_exiobase_v3.10.2_EXIO_IOT_2022_pxp_Y_production_footprint_FR[], 2, FALSE)</f>
        <v>8280966.6204810543</v>
      </c>
      <c r="F143" s="4">
        <f>VLOOKUP(A143, output_exiobase_v3.10.2_EXIO_IOT_2022_pxp_Z_production_footprint_FR[], 2, FALSE)</f>
        <v>80776298.947559118</v>
      </c>
      <c r="G143" s="35">
        <f t="shared" si="15"/>
        <v>0.66675596428592243</v>
      </c>
      <c r="H143" s="1">
        <f t="shared" si="16"/>
        <v>0.33324403571407768</v>
      </c>
    </row>
    <row r="144" spans="1:9" x14ac:dyDescent="0.3">
      <c r="A144" s="9" t="s">
        <v>49</v>
      </c>
      <c r="B144" s="29">
        <f t="shared" si="14"/>
        <v>205324675.57211065</v>
      </c>
      <c r="C144" s="4">
        <f>VLOOKUP(A144, output_exiobase_v3.10.2_EXIO_IOT_2022_pxp_Y_imports_footprint_FR[], 2, FALSE)</f>
        <v>15927077.988232782</v>
      </c>
      <c r="D144" s="4">
        <f>VLOOKUP(A144, output_exiobase_v3.10.2_EXIO_IOT_2022_pxp_Z_imports_footprint_FR[], 2, FALSE)</f>
        <v>45842141.816878513</v>
      </c>
      <c r="E144" s="4">
        <f>VLOOKUP(A144, output_exiobase_v3.10.2_EXIO_IOT_2022_pxp_Y_production_footprint_FR[], 2, FALSE)</f>
        <v>36919502.887211516</v>
      </c>
      <c r="F144" s="4">
        <f>VLOOKUP(A144, output_exiobase_v3.10.2_EXIO_IOT_2022_pxp_Z_production_footprint_FR[], 2, FALSE)</f>
        <v>106635952.87978785</v>
      </c>
      <c r="G144" s="35">
        <f t="shared" si="15"/>
        <v>0.30083680703743648</v>
      </c>
      <c r="H144" s="1">
        <f t="shared" si="16"/>
        <v>0.69916319296256357</v>
      </c>
    </row>
    <row r="145" spans="1:8" x14ac:dyDescent="0.3">
      <c r="A145" s="9" t="s">
        <v>61</v>
      </c>
      <c r="B145" s="29">
        <f t="shared" si="14"/>
        <v>195913317.94472462</v>
      </c>
      <c r="C145" s="4">
        <f>VLOOKUP(A145, output_exiobase_v3.10.2_EXIO_IOT_2022_pxp_Y_imports_footprint_FR[], 2, FALSE)</f>
        <v>150934.40906218419</v>
      </c>
      <c r="D145" s="4">
        <f>VLOOKUP(A145, output_exiobase_v3.10.2_EXIO_IOT_2022_pxp_Z_imports_footprint_FR[], 2, FALSE)</f>
        <v>1778106.9186063048</v>
      </c>
      <c r="E145" s="4">
        <f>VLOOKUP(A145, output_exiobase_v3.10.2_EXIO_IOT_2022_pxp_Y_production_footprint_FR[], 2, FALSE)</f>
        <v>23593539.858073957</v>
      </c>
      <c r="F145" s="4">
        <f>VLOOKUP(A145, output_exiobase_v3.10.2_EXIO_IOT_2022_pxp_Z_production_footprint_FR[], 2, FALSE)</f>
        <v>170390736.75898218</v>
      </c>
      <c r="G145" s="35">
        <f t="shared" si="15"/>
        <v>9.8464022145383322E-3</v>
      </c>
      <c r="H145" s="1">
        <f t="shared" si="16"/>
        <v>0.99015359778546164</v>
      </c>
    </row>
    <row r="146" spans="1:8" x14ac:dyDescent="0.3">
      <c r="A146" s="9" t="s">
        <v>81</v>
      </c>
      <c r="B146" s="29">
        <f t="shared" si="14"/>
        <v>190850161.27952275</v>
      </c>
      <c r="C146" s="4">
        <f>VLOOKUP(A146, output_exiobase_v3.10.2_EXIO_IOT_2022_pxp_Y_imports_footprint_FR[], 2, FALSE)</f>
        <v>0</v>
      </c>
      <c r="D146" s="4">
        <f>VLOOKUP(A146, output_exiobase_v3.10.2_EXIO_IOT_2022_pxp_Z_imports_footprint_FR[], 2, FALSE)</f>
        <v>190421692.51875252</v>
      </c>
      <c r="E146" s="4">
        <f>VLOOKUP(A146, output_exiobase_v3.10.2_EXIO_IOT_2022_pxp_Y_production_footprint_FR[], 2, FALSE)</f>
        <v>135259.24448815189</v>
      </c>
      <c r="F146" s="4">
        <f>VLOOKUP(A146, output_exiobase_v3.10.2_EXIO_IOT_2022_pxp_Z_production_footprint_FR[], 2, FALSE)</f>
        <v>293209.51628209581</v>
      </c>
      <c r="G146" s="35">
        <f t="shared" si="15"/>
        <v>0.99775494682374044</v>
      </c>
      <c r="H146" s="1">
        <f t="shared" si="16"/>
        <v>2.2450531762595906E-3</v>
      </c>
    </row>
    <row r="147" spans="1:8" x14ac:dyDescent="0.3">
      <c r="A147" s="9" t="s">
        <v>159</v>
      </c>
      <c r="B147" s="29">
        <f t="shared" si="14"/>
        <v>177320929.92264986</v>
      </c>
      <c r="C147" s="4">
        <f>VLOOKUP(A147, output_exiobase_v3.10.2_EXIO_IOT_2022_pxp_Y_imports_footprint_FR[], 2, FALSE)</f>
        <v>7503552.2500176802</v>
      </c>
      <c r="D147" s="4">
        <f>VLOOKUP(A147, output_exiobase_v3.10.2_EXIO_IOT_2022_pxp_Z_imports_footprint_FR[], 2, FALSE)</f>
        <v>35478185.248549998</v>
      </c>
      <c r="E147" s="4">
        <f>VLOOKUP(A147, output_exiobase_v3.10.2_EXIO_IOT_2022_pxp_Y_production_footprint_FR[], 2, FALSE)</f>
        <v>25438337.526988298</v>
      </c>
      <c r="F147" s="4">
        <f>VLOOKUP(A147, output_exiobase_v3.10.2_EXIO_IOT_2022_pxp_Z_production_footprint_FR[], 2, FALSE)</f>
        <v>108900854.89709388</v>
      </c>
      <c r="G147" s="35">
        <f t="shared" si="15"/>
        <v>0.24239517307582911</v>
      </c>
      <c r="H147" s="1">
        <f t="shared" si="16"/>
        <v>0.75760482692417075</v>
      </c>
    </row>
    <row r="148" spans="1:8" x14ac:dyDescent="0.3">
      <c r="A148" s="9" t="s">
        <v>103</v>
      </c>
      <c r="B148" s="29">
        <f t="shared" si="14"/>
        <v>163447549.5141677</v>
      </c>
      <c r="C148" s="4">
        <f>VLOOKUP(A148, output_exiobase_v3.10.2_EXIO_IOT_2022_pxp_Y_imports_footprint_FR[], 2, FALSE)</f>
        <v>9592191.537655564</v>
      </c>
      <c r="D148" s="4">
        <f>VLOOKUP(A148, output_exiobase_v3.10.2_EXIO_IOT_2022_pxp_Z_imports_footprint_FR[], 2, FALSE)</f>
        <v>109679548.00955427</v>
      </c>
      <c r="E148" s="4">
        <f>VLOOKUP(A148, output_exiobase_v3.10.2_EXIO_IOT_2022_pxp_Y_production_footprint_FR[], 2, FALSE)</f>
        <v>8956942.5575395692</v>
      </c>
      <c r="F148" s="4">
        <f>VLOOKUP(A148, output_exiobase_v3.10.2_EXIO_IOT_2022_pxp_Z_production_footprint_FR[], 2, FALSE)</f>
        <v>35218867.409418307</v>
      </c>
      <c r="G148" s="35">
        <f t="shared" si="15"/>
        <v>0.72972485608829096</v>
      </c>
      <c r="H148" s="1">
        <f t="shared" si="16"/>
        <v>0.27027514391170909</v>
      </c>
    </row>
    <row r="149" spans="1:8" x14ac:dyDescent="0.3">
      <c r="A149" s="9" t="s">
        <v>88</v>
      </c>
      <c r="B149" s="29">
        <f t="shared" si="14"/>
        <v>156587162.29494056</v>
      </c>
      <c r="C149" s="4">
        <f>VLOOKUP(A149, output_exiobase_v3.10.2_EXIO_IOT_2022_pxp_Y_imports_footprint_FR[], 2, FALSE)</f>
        <v>1.0921876177023154E-3</v>
      </c>
      <c r="D149" s="4">
        <f>VLOOKUP(A149, output_exiobase_v3.10.2_EXIO_IOT_2022_pxp_Z_imports_footprint_FR[], 2, FALSE)</f>
        <v>6261466.5807123007</v>
      </c>
      <c r="E149" s="4">
        <f>VLOOKUP(A149, output_exiobase_v3.10.2_EXIO_IOT_2022_pxp_Y_production_footprint_FR[], 2, FALSE)</f>
        <v>248084.34330854693</v>
      </c>
      <c r="F149" s="4">
        <f>VLOOKUP(A149, output_exiobase_v3.10.2_EXIO_IOT_2022_pxp_Z_production_footprint_FR[], 2, FALSE)</f>
        <v>150077611.36982754</v>
      </c>
      <c r="G149" s="35">
        <f t="shared" si="15"/>
        <v>3.9987100411275546E-2</v>
      </c>
      <c r="H149" s="1">
        <f t="shared" si="16"/>
        <v>0.96001289958872449</v>
      </c>
    </row>
    <row r="150" spans="1:8" x14ac:dyDescent="0.3">
      <c r="A150" s="9" t="s">
        <v>185</v>
      </c>
      <c r="B150" s="29">
        <f t="shared" si="14"/>
        <v>153421631.87496409</v>
      </c>
      <c r="C150" s="4">
        <f>VLOOKUP(A150, output_exiobase_v3.10.2_EXIO_IOT_2022_pxp_Y_imports_footprint_FR[], 2, FALSE)</f>
        <v>88156.421061650515</v>
      </c>
      <c r="D150" s="4">
        <f>VLOOKUP(A150, output_exiobase_v3.10.2_EXIO_IOT_2022_pxp_Z_imports_footprint_FR[], 2, FALSE)</f>
        <v>1080123.0485593982</v>
      </c>
      <c r="E150" s="4">
        <f>VLOOKUP(A150, output_exiobase_v3.10.2_EXIO_IOT_2022_pxp_Y_production_footprint_FR[], 2, FALSE)</f>
        <v>14648979.843078421</v>
      </c>
      <c r="F150" s="4">
        <f>VLOOKUP(A150, output_exiobase_v3.10.2_EXIO_IOT_2022_pxp_Z_production_footprint_FR[], 2, FALSE)</f>
        <v>137604372.56226462</v>
      </c>
      <c r="G150" s="35">
        <f t="shared" si="15"/>
        <v>7.6148288565537868E-3</v>
      </c>
      <c r="H150" s="1">
        <f t="shared" si="16"/>
        <v>0.99238517114344627</v>
      </c>
    </row>
    <row r="151" spans="1:8" x14ac:dyDescent="0.3">
      <c r="A151" s="9" t="s">
        <v>193</v>
      </c>
      <c r="B151" s="29">
        <f t="shared" si="14"/>
        <v>148529209.80238694</v>
      </c>
      <c r="C151" s="4">
        <f>VLOOKUP(A151, output_exiobase_v3.10.2_EXIO_IOT_2022_pxp_Y_imports_footprint_FR[], 2, FALSE)</f>
        <v>1063073.2824552867</v>
      </c>
      <c r="D151" s="4">
        <f>VLOOKUP(A151, output_exiobase_v3.10.2_EXIO_IOT_2022_pxp_Z_imports_footprint_FR[], 2, FALSE)</f>
        <v>6315815.9524397198</v>
      </c>
      <c r="E151" s="4">
        <f>VLOOKUP(A151, output_exiobase_v3.10.2_EXIO_IOT_2022_pxp_Y_production_footprint_FR[], 2, FALSE)</f>
        <v>15384707.255939938</v>
      </c>
      <c r="F151" s="4">
        <f>VLOOKUP(A151, output_exiobase_v3.10.2_EXIO_IOT_2022_pxp_Z_production_footprint_FR[], 2, FALSE)</f>
        <v>125765613.31155199</v>
      </c>
      <c r="G151" s="35">
        <f t="shared" si="15"/>
        <v>4.9679717846155429E-2</v>
      </c>
      <c r="H151" s="1">
        <f t="shared" si="16"/>
        <v>0.95032028215384445</v>
      </c>
    </row>
    <row r="152" spans="1:8" x14ac:dyDescent="0.3">
      <c r="A152" s="9" t="s">
        <v>6</v>
      </c>
      <c r="B152" s="29">
        <f t="shared" si="14"/>
        <v>147056868.15513068</v>
      </c>
      <c r="C152" s="4">
        <f>VLOOKUP(A152, output_exiobase_v3.10.2_EXIO_IOT_2022_pxp_Y_imports_footprint_FR[], 2, FALSE)</f>
        <v>77833233.658536628</v>
      </c>
      <c r="D152" s="4">
        <f>VLOOKUP(A152, output_exiobase_v3.10.2_EXIO_IOT_2022_pxp_Z_imports_footprint_FR[], 2, FALSE)</f>
        <v>68956809.273395538</v>
      </c>
      <c r="E152" s="4">
        <f>VLOOKUP(A152, output_exiobase_v3.10.2_EXIO_IOT_2022_pxp_Y_production_footprint_FR[], 2, FALSE)</f>
        <v>20200.103099916923</v>
      </c>
      <c r="F152" s="4">
        <f>VLOOKUP(A152, output_exiobase_v3.10.2_EXIO_IOT_2022_pxp_Z_production_footprint_FR[], 2, FALSE)</f>
        <v>246625.12009862243</v>
      </c>
      <c r="G152" s="35">
        <f t="shared" si="15"/>
        <v>0.99818556435652461</v>
      </c>
      <c r="H152" s="1">
        <f t="shared" si="16"/>
        <v>1.8144356434754527E-3</v>
      </c>
    </row>
    <row r="153" spans="1:8" x14ac:dyDescent="0.3">
      <c r="A153" s="9" t="s">
        <v>132</v>
      </c>
      <c r="B153" s="29">
        <f t="shared" si="14"/>
        <v>112668036.3523138</v>
      </c>
      <c r="C153" s="4">
        <f>VLOOKUP(A153, output_exiobase_v3.10.2_EXIO_IOT_2022_pxp_Y_imports_footprint_FR[], 2, FALSE)</f>
        <v>47428598.914639093</v>
      </c>
      <c r="D153" s="4">
        <f>VLOOKUP(A153, output_exiobase_v3.10.2_EXIO_IOT_2022_pxp_Z_imports_footprint_FR[], 2, FALSE)</f>
        <v>7108057.3681815797</v>
      </c>
      <c r="E153" s="4">
        <f>VLOOKUP(A153, output_exiobase_v3.10.2_EXIO_IOT_2022_pxp_Y_production_footprint_FR[], 2, FALSE)</f>
        <v>10294026.988950379</v>
      </c>
      <c r="F153" s="4">
        <f>VLOOKUP(A153, output_exiobase_v3.10.2_EXIO_IOT_2022_pxp_Z_production_footprint_FR[], 2, FALSE)</f>
        <v>47837353.080542751</v>
      </c>
      <c r="G153" s="35">
        <f t="shared" si="15"/>
        <v>0.48404727772377371</v>
      </c>
      <c r="H153" s="1">
        <f t="shared" si="16"/>
        <v>0.51595272227622624</v>
      </c>
    </row>
    <row r="154" spans="1:8" x14ac:dyDescent="0.3">
      <c r="A154" s="9" t="s">
        <v>1</v>
      </c>
      <c r="B154" s="29">
        <f t="shared" si="14"/>
        <v>108542741.18990806</v>
      </c>
      <c r="C154" s="4">
        <f>VLOOKUP(A154, output_exiobase_v3.10.2_EXIO_IOT_2022_pxp_Y_imports_footprint_FR[], 2, FALSE)</f>
        <v>4.1375710791289943E-4</v>
      </c>
      <c r="D154" s="4">
        <f>VLOOKUP(A154, output_exiobase_v3.10.2_EXIO_IOT_2022_pxp_Z_imports_footprint_FR[], 2, FALSE)</f>
        <v>53044297.88269797</v>
      </c>
      <c r="E154" s="4">
        <f>VLOOKUP(A154, output_exiobase_v3.10.2_EXIO_IOT_2022_pxp_Y_production_footprint_FR[], 2, FALSE)</f>
        <v>1182797.8495617579</v>
      </c>
      <c r="F154" s="4">
        <f>VLOOKUP(A154, output_exiobase_v3.10.2_EXIO_IOT_2022_pxp_Z_production_footprint_FR[], 2, FALSE)</f>
        <v>54315645.457234569</v>
      </c>
      <c r="G154" s="35">
        <f t="shared" si="15"/>
        <v>0.48869502742983623</v>
      </c>
      <c r="H154" s="1">
        <f t="shared" si="16"/>
        <v>0.51130497257016383</v>
      </c>
    </row>
    <row r="155" spans="1:8" x14ac:dyDescent="0.3">
      <c r="A155" s="9" t="s">
        <v>127</v>
      </c>
      <c r="B155" s="29">
        <f t="shared" si="14"/>
        <v>97127511.811037883</v>
      </c>
      <c r="C155" s="4">
        <f>VLOOKUP(A155, output_exiobase_v3.10.2_EXIO_IOT_2022_pxp_Y_imports_footprint_FR[], 2, FALSE)</f>
        <v>19621838.692845087</v>
      </c>
      <c r="D155" s="4">
        <f>VLOOKUP(A155, output_exiobase_v3.10.2_EXIO_IOT_2022_pxp_Z_imports_footprint_FR[], 2, FALSE)</f>
        <v>54912691.082582906</v>
      </c>
      <c r="E155" s="4">
        <f>VLOOKUP(A155, output_exiobase_v3.10.2_EXIO_IOT_2022_pxp_Y_production_footprint_FR[], 2, FALSE)</f>
        <v>2671425.9495523935</v>
      </c>
      <c r="F155" s="4">
        <f>VLOOKUP(A155, output_exiobase_v3.10.2_EXIO_IOT_2022_pxp_Z_production_footprint_FR[], 2, FALSE)</f>
        <v>19921556.086057499</v>
      </c>
      <c r="G155" s="35">
        <f t="shared" si="15"/>
        <v>0.76738844005841866</v>
      </c>
      <c r="H155" s="1">
        <f t="shared" si="16"/>
        <v>0.23261155994158139</v>
      </c>
    </row>
    <row r="156" spans="1:8" x14ac:dyDescent="0.3">
      <c r="A156" s="9" t="s">
        <v>121</v>
      </c>
      <c r="B156" s="29">
        <f t="shared" si="14"/>
        <v>89853584.635574654</v>
      </c>
      <c r="C156" s="4">
        <f>VLOOKUP(A156, output_exiobase_v3.10.2_EXIO_IOT_2022_pxp_Y_imports_footprint_FR[], 2, FALSE)</f>
        <v>27572107.874685608</v>
      </c>
      <c r="D156" s="4">
        <f>VLOOKUP(A156, output_exiobase_v3.10.2_EXIO_IOT_2022_pxp_Z_imports_footprint_FR[], 2, FALSE)</f>
        <v>36277660.985302433</v>
      </c>
      <c r="E156" s="4">
        <f>VLOOKUP(A156, output_exiobase_v3.10.2_EXIO_IOT_2022_pxp_Y_production_footprint_FR[], 2, FALSE)</f>
        <v>4231885.3077342501</v>
      </c>
      <c r="F156" s="4">
        <f>VLOOKUP(A156, output_exiobase_v3.10.2_EXIO_IOT_2022_pxp_Z_production_footprint_FR[], 2, FALSE)</f>
        <v>21771930.467852365</v>
      </c>
      <c r="G156" s="35">
        <f t="shared" si="15"/>
        <v>0.71059790345535934</v>
      </c>
      <c r="H156" s="1">
        <f t="shared" si="16"/>
        <v>0.28940209654464066</v>
      </c>
    </row>
    <row r="157" spans="1:8" x14ac:dyDescent="0.3">
      <c r="A157" s="9" t="s">
        <v>29</v>
      </c>
      <c r="B157" s="29">
        <f t="shared" si="14"/>
        <v>87326202.751687452</v>
      </c>
      <c r="C157" s="4">
        <f>VLOOKUP(A157, output_exiobase_v3.10.2_EXIO_IOT_2022_pxp_Y_imports_footprint_FR[], 2, FALSE)</f>
        <v>0</v>
      </c>
      <c r="D157" s="4">
        <f>VLOOKUP(A157, output_exiobase_v3.10.2_EXIO_IOT_2022_pxp_Z_imports_footprint_FR[], 2, FALSE)</f>
        <v>87317106.887915269</v>
      </c>
      <c r="E157" s="4">
        <f>VLOOKUP(A157, output_exiobase_v3.10.2_EXIO_IOT_2022_pxp_Y_production_footprint_FR[], 2, FALSE)</f>
        <v>183.60621214068937</v>
      </c>
      <c r="F157" s="4">
        <f>VLOOKUP(A157, output_exiobase_v3.10.2_EXIO_IOT_2022_pxp_Z_production_footprint_FR[], 2, FALSE)</f>
        <v>8912.2575600446871</v>
      </c>
      <c r="G157" s="35">
        <f t="shared" si="15"/>
        <v>0.99989584038369272</v>
      </c>
      <c r="H157" s="1">
        <f t="shared" si="16"/>
        <v>1.0415961630725563E-4</v>
      </c>
    </row>
    <row r="158" spans="1:8" x14ac:dyDescent="0.3">
      <c r="A158" s="9" t="s">
        <v>130</v>
      </c>
      <c r="B158" s="29">
        <f t="shared" si="14"/>
        <v>82907617.998258755</v>
      </c>
      <c r="C158" s="4">
        <f>VLOOKUP(A158, output_exiobase_v3.10.2_EXIO_IOT_2022_pxp_Y_imports_footprint_FR[], 2, FALSE)</f>
        <v>0</v>
      </c>
      <c r="D158" s="4">
        <f>VLOOKUP(A158, output_exiobase_v3.10.2_EXIO_IOT_2022_pxp_Z_imports_footprint_FR[], 2, FALSE)</f>
        <v>71772289.280744359</v>
      </c>
      <c r="E158" s="4">
        <f>VLOOKUP(A158, output_exiobase_v3.10.2_EXIO_IOT_2022_pxp_Y_production_footprint_FR[], 2, FALSE)</f>
        <v>658528.27967688662</v>
      </c>
      <c r="F158" s="4">
        <f>VLOOKUP(A158, output_exiobase_v3.10.2_EXIO_IOT_2022_pxp_Z_production_footprint_FR[], 2, FALSE)</f>
        <v>10476800.437837513</v>
      </c>
      <c r="G158" s="35">
        <f t="shared" si="15"/>
        <v>0.8656899210667437</v>
      </c>
      <c r="H158" s="1">
        <f t="shared" si="16"/>
        <v>0.13431007893325636</v>
      </c>
    </row>
    <row r="159" spans="1:8" x14ac:dyDescent="0.3">
      <c r="A159" s="9" t="s">
        <v>23</v>
      </c>
      <c r="B159" s="29">
        <f t="shared" si="14"/>
        <v>77526947.056849554</v>
      </c>
      <c r="C159" s="4">
        <f>VLOOKUP(A159, output_exiobase_v3.10.2_EXIO_IOT_2022_pxp_Y_imports_footprint_FR[], 2, FALSE)</f>
        <v>69667906.065000996</v>
      </c>
      <c r="D159" s="4">
        <f>VLOOKUP(A159, output_exiobase_v3.10.2_EXIO_IOT_2022_pxp_Z_imports_footprint_FR[], 2, FALSE)</f>
        <v>0</v>
      </c>
      <c r="E159" s="4">
        <f>VLOOKUP(A159, output_exiobase_v3.10.2_EXIO_IOT_2022_pxp_Y_production_footprint_FR[], 2, FALSE)</f>
        <v>7467165.7913899906</v>
      </c>
      <c r="F159" s="4">
        <f>VLOOKUP(A159, output_exiobase_v3.10.2_EXIO_IOT_2022_pxp_Z_production_footprint_FR[], 2, FALSE)</f>
        <v>391875.20045857091</v>
      </c>
      <c r="G159" s="35">
        <f t="shared" si="15"/>
        <v>0.89862826681301378</v>
      </c>
      <c r="H159" s="1">
        <f t="shared" si="16"/>
        <v>0.10137173318698625</v>
      </c>
    </row>
    <row r="160" spans="1:8" x14ac:dyDescent="0.3">
      <c r="A160" s="9" t="s">
        <v>14</v>
      </c>
      <c r="B160" s="29">
        <f t="shared" si="14"/>
        <v>52999332.87340261</v>
      </c>
      <c r="C160" s="4">
        <f>VLOOKUP(A160, output_exiobase_v3.10.2_EXIO_IOT_2022_pxp_Y_imports_footprint_FR[], 2, FALSE)</f>
        <v>21277970.066864423</v>
      </c>
      <c r="D160" s="4">
        <f>VLOOKUP(A160, output_exiobase_v3.10.2_EXIO_IOT_2022_pxp_Z_imports_footprint_FR[], 2, FALSE)</f>
        <v>12626088.72115219</v>
      </c>
      <c r="E160" s="4">
        <f>VLOOKUP(A160, output_exiobase_v3.10.2_EXIO_IOT_2022_pxp_Y_production_footprint_FR[], 2, FALSE)</f>
        <v>12335287.104122037</v>
      </c>
      <c r="F160" s="4">
        <f>VLOOKUP(A160, output_exiobase_v3.10.2_EXIO_IOT_2022_pxp_Z_production_footprint_FR[], 2, FALSE)</f>
        <v>6759986.9812639561</v>
      </c>
      <c r="G160" s="35">
        <f t="shared" si="15"/>
        <v>0.6397072745991329</v>
      </c>
      <c r="H160" s="1">
        <f t="shared" si="16"/>
        <v>0.36029272540086704</v>
      </c>
    </row>
    <row r="161" spans="1:8" x14ac:dyDescent="0.3">
      <c r="A161" s="9" t="s">
        <v>13</v>
      </c>
      <c r="B161" s="29">
        <f t="shared" si="14"/>
        <v>48539729.820984423</v>
      </c>
      <c r="C161" s="4">
        <f>VLOOKUP(A161, output_exiobase_v3.10.2_EXIO_IOT_2022_pxp_Y_imports_footprint_FR[], 2, FALSE)</f>
        <v>0</v>
      </c>
      <c r="D161" s="4">
        <f>VLOOKUP(A161, output_exiobase_v3.10.2_EXIO_IOT_2022_pxp_Z_imports_footprint_FR[], 2, FALSE)</f>
        <v>0</v>
      </c>
      <c r="E161" s="4">
        <f>VLOOKUP(A161, output_exiobase_v3.10.2_EXIO_IOT_2022_pxp_Y_production_footprint_FR[], 2, FALSE)</f>
        <v>10329.714496123393</v>
      </c>
      <c r="F161" s="4">
        <f>VLOOKUP(A161, output_exiobase_v3.10.2_EXIO_IOT_2022_pxp_Z_production_footprint_FR[], 2, FALSE)</f>
        <v>48529400.106488302</v>
      </c>
      <c r="G161" s="35">
        <f t="shared" si="15"/>
        <v>0</v>
      </c>
      <c r="H161" s="1">
        <f t="shared" si="16"/>
        <v>1</v>
      </c>
    </row>
    <row r="162" spans="1:8" x14ac:dyDescent="0.3">
      <c r="A162" s="9" t="s">
        <v>9</v>
      </c>
      <c r="B162" s="29">
        <f t="shared" si="14"/>
        <v>38429615.489505284</v>
      </c>
      <c r="C162" s="4">
        <f>VLOOKUP(A162, output_exiobase_v3.10.2_EXIO_IOT_2022_pxp_Y_imports_footprint_FR[], 2, FALSE)</f>
        <v>979159.9641110244</v>
      </c>
      <c r="D162" s="4">
        <f>VLOOKUP(A162, output_exiobase_v3.10.2_EXIO_IOT_2022_pxp_Z_imports_footprint_FR[], 2, FALSE)</f>
        <v>37450455.525394261</v>
      </c>
      <c r="E162" s="4">
        <f>VLOOKUP(A162, output_exiobase_v3.10.2_EXIO_IOT_2022_pxp_Y_production_footprint_FR[], 2, FALSE)</f>
        <v>0</v>
      </c>
      <c r="F162" s="4">
        <f>VLOOKUP(A162, output_exiobase_v3.10.2_EXIO_IOT_2022_pxp_Z_production_footprint_FR[], 2, FALSE)</f>
        <v>0</v>
      </c>
      <c r="G162" s="35">
        <f t="shared" si="15"/>
        <v>1</v>
      </c>
      <c r="H162" s="1">
        <f t="shared" si="16"/>
        <v>0</v>
      </c>
    </row>
    <row r="163" spans="1:8" x14ac:dyDescent="0.3">
      <c r="A163" s="9" t="s">
        <v>179</v>
      </c>
      <c r="B163" s="29">
        <f t="shared" si="14"/>
        <v>34360862.070805043</v>
      </c>
      <c r="C163" s="4">
        <f>VLOOKUP(A163, output_exiobase_v3.10.2_EXIO_IOT_2022_pxp_Y_imports_footprint_FR[], 2, FALSE)</f>
        <v>121562.69048274624</v>
      </c>
      <c r="D163" s="4">
        <f>VLOOKUP(A163, output_exiobase_v3.10.2_EXIO_IOT_2022_pxp_Z_imports_footprint_FR[], 2, FALSE)</f>
        <v>34239299.3803223</v>
      </c>
      <c r="E163" s="4">
        <f>VLOOKUP(A163, output_exiobase_v3.10.2_EXIO_IOT_2022_pxp_Y_production_footprint_FR[], 2, FALSE)</f>
        <v>0</v>
      </c>
      <c r="F163" s="4">
        <f>VLOOKUP(A163, output_exiobase_v3.10.2_EXIO_IOT_2022_pxp_Z_production_footprint_FR[], 2, FALSE)</f>
        <v>0</v>
      </c>
      <c r="G163" s="35">
        <f t="shared" si="15"/>
        <v>1</v>
      </c>
      <c r="H163" s="1">
        <f t="shared" si="16"/>
        <v>0</v>
      </c>
    </row>
    <row r="164" spans="1:8" x14ac:dyDescent="0.3">
      <c r="A164" s="9" t="s">
        <v>4</v>
      </c>
      <c r="B164" s="29">
        <f t="shared" si="14"/>
        <v>31547862.565795176</v>
      </c>
      <c r="C164" s="4">
        <f>VLOOKUP(A164, output_exiobase_v3.10.2_EXIO_IOT_2022_pxp_Y_imports_footprint_FR[], 2, FALSE)</f>
        <v>175819.45178065632</v>
      </c>
      <c r="D164" s="4">
        <f>VLOOKUP(A164, output_exiobase_v3.10.2_EXIO_IOT_2022_pxp_Z_imports_footprint_FR[], 2, FALSE)</f>
        <v>15951755.980505472</v>
      </c>
      <c r="E164" s="4">
        <f>VLOOKUP(A164, output_exiobase_v3.10.2_EXIO_IOT_2022_pxp_Y_production_footprint_FR[], 2, FALSE)</f>
        <v>545958.52165230922</v>
      </c>
      <c r="F164" s="4">
        <f>VLOOKUP(A164, output_exiobase_v3.10.2_EXIO_IOT_2022_pxp_Z_production_footprint_FR[], 2, FALSE)</f>
        <v>14874328.611856738</v>
      </c>
      <c r="G164" s="35">
        <f t="shared" si="15"/>
        <v>0.51120976575357502</v>
      </c>
      <c r="H164" s="1">
        <f t="shared" si="16"/>
        <v>0.48879023424642504</v>
      </c>
    </row>
    <row r="165" spans="1:8" x14ac:dyDescent="0.3">
      <c r="A165" s="9" t="s">
        <v>125</v>
      </c>
      <c r="B165" s="29">
        <f t="shared" si="14"/>
        <v>30184129.117384598</v>
      </c>
      <c r="C165" s="4">
        <f>VLOOKUP(A165, output_exiobase_v3.10.2_EXIO_IOT_2022_pxp_Y_imports_footprint_FR[], 2, FALSE)</f>
        <v>25166.387372588928</v>
      </c>
      <c r="D165" s="4">
        <f>VLOOKUP(A165, output_exiobase_v3.10.2_EXIO_IOT_2022_pxp_Z_imports_footprint_FR[], 2, FALSE)</f>
        <v>296467.75525014009</v>
      </c>
      <c r="E165" s="4">
        <f>VLOOKUP(A165, output_exiobase_v3.10.2_EXIO_IOT_2022_pxp_Y_production_footprint_FR[], 2, FALSE)</f>
        <v>1861129.6225024529</v>
      </c>
      <c r="F165" s="4">
        <f>VLOOKUP(A165, output_exiobase_v3.10.2_EXIO_IOT_2022_pxp_Z_production_footprint_FR[], 2, FALSE)</f>
        <v>28001365.352259416</v>
      </c>
      <c r="G165" s="35">
        <f t="shared" si="15"/>
        <v>1.0655737038889199E-2</v>
      </c>
      <c r="H165" s="1">
        <f t="shared" si="16"/>
        <v>0.98934426296111089</v>
      </c>
    </row>
    <row r="166" spans="1:8" x14ac:dyDescent="0.3">
      <c r="A166" s="9" t="s">
        <v>155</v>
      </c>
      <c r="B166" s="29">
        <f t="shared" si="14"/>
        <v>25283443.24558419</v>
      </c>
      <c r="C166" s="4">
        <f>VLOOKUP(A166, output_exiobase_v3.10.2_EXIO_IOT_2022_pxp_Y_imports_footprint_FR[], 2, FALSE)</f>
        <v>0</v>
      </c>
      <c r="D166" s="4">
        <f>VLOOKUP(A166, output_exiobase_v3.10.2_EXIO_IOT_2022_pxp_Z_imports_footprint_FR[], 2, FALSE)</f>
        <v>2310374.8482692624</v>
      </c>
      <c r="E166" s="4">
        <f>VLOOKUP(A166, output_exiobase_v3.10.2_EXIO_IOT_2022_pxp_Y_production_footprint_FR[], 2, FALSE)</f>
        <v>1820.4036391272923</v>
      </c>
      <c r="F166" s="4">
        <f>VLOOKUP(A166, output_exiobase_v3.10.2_EXIO_IOT_2022_pxp_Z_production_footprint_FR[], 2, FALSE)</f>
        <v>22971247.993675802</v>
      </c>
      <c r="G166" s="35">
        <f t="shared" si="15"/>
        <v>9.1378963926235582E-2</v>
      </c>
      <c r="H166" s="1">
        <f t="shared" si="16"/>
        <v>0.90862103607376443</v>
      </c>
    </row>
    <row r="167" spans="1:8" x14ac:dyDescent="0.3">
      <c r="A167" s="9" t="s">
        <v>102</v>
      </c>
      <c r="B167" s="29">
        <f t="shared" si="14"/>
        <v>22108668.126741167</v>
      </c>
      <c r="C167" s="4">
        <f>VLOOKUP(A167, output_exiobase_v3.10.2_EXIO_IOT_2022_pxp_Y_imports_footprint_FR[], 2, FALSE)</f>
        <v>0</v>
      </c>
      <c r="D167" s="4">
        <f>VLOOKUP(A167, output_exiobase_v3.10.2_EXIO_IOT_2022_pxp_Z_imports_footprint_FR[], 2, FALSE)</f>
        <v>0</v>
      </c>
      <c r="E167" s="4">
        <f>VLOOKUP(A167, output_exiobase_v3.10.2_EXIO_IOT_2022_pxp_Y_production_footprint_FR[], 2, FALSE)</f>
        <v>0.1774949438412759</v>
      </c>
      <c r="F167" s="4">
        <f>VLOOKUP(A167, output_exiobase_v3.10.2_EXIO_IOT_2022_pxp_Z_production_footprint_FR[], 2, FALSE)</f>
        <v>22108667.949246224</v>
      </c>
      <c r="G167" s="35">
        <f t="shared" si="15"/>
        <v>0</v>
      </c>
      <c r="H167" s="1">
        <f t="shared" si="16"/>
        <v>1</v>
      </c>
    </row>
    <row r="168" spans="1:8" x14ac:dyDescent="0.3">
      <c r="A168" s="9" t="s">
        <v>110</v>
      </c>
      <c r="B168" s="29">
        <f t="shared" si="14"/>
        <v>20732741.12902857</v>
      </c>
      <c r="C168" s="4">
        <f>VLOOKUP(A168, output_exiobase_v3.10.2_EXIO_IOT_2022_pxp_Y_imports_footprint_FR[], 2, FALSE)</f>
        <v>0</v>
      </c>
      <c r="D168" s="4">
        <f>VLOOKUP(A168, output_exiobase_v3.10.2_EXIO_IOT_2022_pxp_Z_imports_footprint_FR[], 2, FALSE)</f>
        <v>88375.29486730216</v>
      </c>
      <c r="E168" s="4">
        <f>VLOOKUP(A168, output_exiobase_v3.10.2_EXIO_IOT_2022_pxp_Y_production_footprint_FR[], 2, FALSE)</f>
        <v>0</v>
      </c>
      <c r="F168" s="4">
        <f>VLOOKUP(A168, output_exiobase_v3.10.2_EXIO_IOT_2022_pxp_Z_production_footprint_FR[], 2, FALSE)</f>
        <v>20644365.834161267</v>
      </c>
      <c r="G168" s="35">
        <f t="shared" si="15"/>
        <v>4.2625957811032091E-3</v>
      </c>
      <c r="H168" s="1">
        <f t="shared" si="16"/>
        <v>0.99573740421889678</v>
      </c>
    </row>
    <row r="169" spans="1:8" x14ac:dyDescent="0.3">
      <c r="A169" s="9" t="s">
        <v>50</v>
      </c>
      <c r="B169" s="29">
        <f t="shared" si="14"/>
        <v>18424271.271626469</v>
      </c>
      <c r="C169" s="4">
        <f>VLOOKUP(A169, output_exiobase_v3.10.2_EXIO_IOT_2022_pxp_Y_imports_footprint_FR[], 2, FALSE)</f>
        <v>0</v>
      </c>
      <c r="D169" s="4">
        <f>VLOOKUP(A169, output_exiobase_v3.10.2_EXIO_IOT_2022_pxp_Z_imports_footprint_FR[], 2, FALSE)</f>
        <v>18424271.271626469</v>
      </c>
      <c r="E169" s="4">
        <f>VLOOKUP(A169, output_exiobase_v3.10.2_EXIO_IOT_2022_pxp_Y_production_footprint_FR[], 2, FALSE)</f>
        <v>0</v>
      </c>
      <c r="F169" s="4">
        <f>VLOOKUP(A169, output_exiobase_v3.10.2_EXIO_IOT_2022_pxp_Z_production_footprint_FR[], 2, FALSE)</f>
        <v>0</v>
      </c>
      <c r="G169" s="35">
        <f t="shared" si="15"/>
        <v>1</v>
      </c>
      <c r="H169" s="1">
        <f t="shared" si="16"/>
        <v>0</v>
      </c>
    </row>
    <row r="170" spans="1:8" x14ac:dyDescent="0.3">
      <c r="A170" s="9" t="s">
        <v>199</v>
      </c>
      <c r="B170" s="29">
        <f t="shared" ref="B170:B201" si="17">SUM(C170:F170)</f>
        <v>14830887.513648383</v>
      </c>
      <c r="C170" s="4">
        <f>VLOOKUP(A170, output_exiobase_v3.10.2_EXIO_IOT_2022_pxp_Y_imports_footprint_FR[], 2, FALSE)</f>
        <v>7.3131809857429148E-2</v>
      </c>
      <c r="D170" s="4">
        <f>VLOOKUP(A170, output_exiobase_v3.10.2_EXIO_IOT_2022_pxp_Z_imports_footprint_FR[], 2, FALSE)</f>
        <v>8527085.7684009541</v>
      </c>
      <c r="E170" s="4">
        <f>VLOOKUP(A170, output_exiobase_v3.10.2_EXIO_IOT_2022_pxp_Y_production_footprint_FR[], 2, FALSE)</f>
        <v>782435.00523035601</v>
      </c>
      <c r="F170" s="4">
        <f>VLOOKUP(A170, output_exiobase_v3.10.2_EXIO_IOT_2022_pxp_Z_production_footprint_FR[], 2, FALSE)</f>
        <v>5521366.6668852642</v>
      </c>
      <c r="G170" s="35">
        <f t="shared" ref="G170:G201" si="18">(C170+D170)/B170</f>
        <v>0.57495452201937092</v>
      </c>
      <c r="H170" s="1">
        <f t="shared" ref="H170:H201" si="19">(E170+F170)/B170</f>
        <v>0.42504547798062903</v>
      </c>
    </row>
    <row r="171" spans="1:8" x14ac:dyDescent="0.3">
      <c r="A171" s="9" t="s">
        <v>53</v>
      </c>
      <c r="B171" s="29">
        <f t="shared" si="17"/>
        <v>13197342.937099922</v>
      </c>
      <c r="C171" s="4">
        <f>VLOOKUP(A171, output_exiobase_v3.10.2_EXIO_IOT_2022_pxp_Y_imports_footprint_FR[], 2, FALSE)</f>
        <v>697496.77344613685</v>
      </c>
      <c r="D171" s="4">
        <f>VLOOKUP(A171, output_exiobase_v3.10.2_EXIO_IOT_2022_pxp_Z_imports_footprint_FR[], 2, FALSE)</f>
        <v>2110646.5890529342</v>
      </c>
      <c r="E171" s="4">
        <f>VLOOKUP(A171, output_exiobase_v3.10.2_EXIO_IOT_2022_pxp_Y_production_footprint_FR[], 2, FALSE)</f>
        <v>2559557.1964935763</v>
      </c>
      <c r="F171" s="4">
        <f>VLOOKUP(A171, output_exiobase_v3.10.2_EXIO_IOT_2022_pxp_Z_production_footprint_FR[], 2, FALSE)</f>
        <v>7829642.3781072758</v>
      </c>
      <c r="G171" s="35">
        <f t="shared" si="18"/>
        <v>0.21278096476563582</v>
      </c>
      <c r="H171" s="1">
        <f t="shared" si="19"/>
        <v>0.78721903523436432</v>
      </c>
    </row>
    <row r="172" spans="1:8" x14ac:dyDescent="0.3">
      <c r="A172" s="9" t="s">
        <v>128</v>
      </c>
      <c r="B172" s="29">
        <f t="shared" si="17"/>
        <v>11008814.122576388</v>
      </c>
      <c r="C172" s="4">
        <f>VLOOKUP(A172, output_exiobase_v3.10.2_EXIO_IOT_2022_pxp_Y_imports_footprint_FR[], 2, FALSE)</f>
        <v>10531704.477076534</v>
      </c>
      <c r="D172" s="4">
        <f>VLOOKUP(A172, output_exiobase_v3.10.2_EXIO_IOT_2022_pxp_Z_imports_footprint_FR[], 2, FALSE)</f>
        <v>477109.64549985371</v>
      </c>
      <c r="E172" s="4">
        <f>VLOOKUP(A172, output_exiobase_v3.10.2_EXIO_IOT_2022_pxp_Y_production_footprint_FR[], 2, FALSE)</f>
        <v>0</v>
      </c>
      <c r="F172" s="4">
        <f>VLOOKUP(A172, output_exiobase_v3.10.2_EXIO_IOT_2022_pxp_Z_production_footprint_FR[], 2, FALSE)</f>
        <v>0</v>
      </c>
      <c r="G172" s="35">
        <f t="shared" si="18"/>
        <v>1</v>
      </c>
      <c r="H172" s="1">
        <f t="shared" si="19"/>
        <v>0</v>
      </c>
    </row>
    <row r="173" spans="1:8" x14ac:dyDescent="0.3">
      <c r="A173" s="9" t="s">
        <v>16</v>
      </c>
      <c r="B173" s="29">
        <f t="shared" si="17"/>
        <v>10809588.372944614</v>
      </c>
      <c r="C173" s="4">
        <f>VLOOKUP(A173, output_exiobase_v3.10.2_EXIO_IOT_2022_pxp_Y_imports_footprint_FR[], 2, FALSE)</f>
        <v>0</v>
      </c>
      <c r="D173" s="4">
        <f>VLOOKUP(A173, output_exiobase_v3.10.2_EXIO_IOT_2022_pxp_Z_imports_footprint_FR[], 2, FALSE)</f>
        <v>9890.6325121688351</v>
      </c>
      <c r="E173" s="4">
        <f>VLOOKUP(A173, output_exiobase_v3.10.2_EXIO_IOT_2022_pxp_Y_production_footprint_FR[], 2, FALSE)</f>
        <v>81677.535833684931</v>
      </c>
      <c r="F173" s="4">
        <f>VLOOKUP(A173, output_exiobase_v3.10.2_EXIO_IOT_2022_pxp_Z_production_footprint_FR[], 2, FALSE)</f>
        <v>10718020.20459876</v>
      </c>
      <c r="G173" s="35">
        <f t="shared" si="18"/>
        <v>9.1498696998714227E-4</v>
      </c>
      <c r="H173" s="1">
        <f t="shared" si="19"/>
        <v>0.99908501303001285</v>
      </c>
    </row>
    <row r="174" spans="1:8" x14ac:dyDescent="0.3">
      <c r="A174" s="9" t="s">
        <v>84</v>
      </c>
      <c r="B174" s="29">
        <f t="shared" si="17"/>
        <v>9616411.2440526839</v>
      </c>
      <c r="C174" s="4">
        <f>VLOOKUP(A174, output_exiobase_v3.10.2_EXIO_IOT_2022_pxp_Y_imports_footprint_FR[], 2, FALSE)</f>
        <v>1319823.9859970536</v>
      </c>
      <c r="D174" s="4">
        <f>VLOOKUP(A174, output_exiobase_v3.10.2_EXIO_IOT_2022_pxp_Z_imports_footprint_FR[], 2, FALSE)</f>
        <v>8296587.2580556311</v>
      </c>
      <c r="E174" s="4">
        <f>VLOOKUP(A174, output_exiobase_v3.10.2_EXIO_IOT_2022_pxp_Y_production_footprint_FR[], 2, FALSE)</f>
        <v>0</v>
      </c>
      <c r="F174" s="4">
        <f>VLOOKUP(A174, output_exiobase_v3.10.2_EXIO_IOT_2022_pxp_Z_production_footprint_FR[], 2, FALSE)</f>
        <v>0</v>
      </c>
      <c r="G174" s="35">
        <f t="shared" si="18"/>
        <v>1</v>
      </c>
      <c r="H174" s="1">
        <f t="shared" si="19"/>
        <v>0</v>
      </c>
    </row>
    <row r="175" spans="1:8" x14ac:dyDescent="0.3">
      <c r="A175" s="9" t="s">
        <v>8</v>
      </c>
      <c r="B175" s="29">
        <f t="shared" si="17"/>
        <v>7840545.3380317204</v>
      </c>
      <c r="C175" s="4">
        <f>VLOOKUP(A175, output_exiobase_v3.10.2_EXIO_IOT_2022_pxp_Y_imports_footprint_FR[], 2, FALSE)</f>
        <v>9.9112836575264407E-4</v>
      </c>
      <c r="D175" s="4">
        <f>VLOOKUP(A175, output_exiobase_v3.10.2_EXIO_IOT_2022_pxp_Z_imports_footprint_FR[], 2, FALSE)</f>
        <v>1038475.7293542911</v>
      </c>
      <c r="E175" s="4">
        <f>VLOOKUP(A175, output_exiobase_v3.10.2_EXIO_IOT_2022_pxp_Y_production_footprint_FR[], 2, FALSE)</f>
        <v>6248.7310540327953</v>
      </c>
      <c r="F175" s="4">
        <f>VLOOKUP(A175, output_exiobase_v3.10.2_EXIO_IOT_2022_pxp_Z_production_footprint_FR[], 2, FALSE)</f>
        <v>6795820.8766322685</v>
      </c>
      <c r="G175" s="35">
        <f t="shared" si="18"/>
        <v>0.13244942610154167</v>
      </c>
      <c r="H175" s="1">
        <f t="shared" si="19"/>
        <v>0.86755057389845847</v>
      </c>
    </row>
    <row r="176" spans="1:8" x14ac:dyDescent="0.3">
      <c r="A176" s="9" t="s">
        <v>123</v>
      </c>
      <c r="B176" s="29">
        <f t="shared" si="17"/>
        <v>5842750.5919287223</v>
      </c>
      <c r="C176" s="4">
        <f>VLOOKUP(A176, output_exiobase_v3.10.2_EXIO_IOT_2022_pxp_Y_imports_footprint_FR[], 2, FALSE)</f>
        <v>332.53678726656955</v>
      </c>
      <c r="D176" s="4">
        <f>VLOOKUP(A176, output_exiobase_v3.10.2_EXIO_IOT_2022_pxp_Z_imports_footprint_FR[], 2, FALSE)</f>
        <v>24029.003684660362</v>
      </c>
      <c r="E176" s="4">
        <f>VLOOKUP(A176, output_exiobase_v3.10.2_EXIO_IOT_2022_pxp_Y_production_footprint_FR[], 2, FALSE)</f>
        <v>270434.47076439444</v>
      </c>
      <c r="F176" s="4">
        <f>VLOOKUP(A176, output_exiobase_v3.10.2_EXIO_IOT_2022_pxp_Z_production_footprint_FR[], 2, FALSE)</f>
        <v>5547954.5806924012</v>
      </c>
      <c r="G176" s="35">
        <f t="shared" si="18"/>
        <v>4.1695328405050164E-3</v>
      </c>
      <c r="H176" s="1">
        <f t="shared" si="19"/>
        <v>0.99583046715949508</v>
      </c>
    </row>
    <row r="177" spans="1:8" x14ac:dyDescent="0.3">
      <c r="A177" s="9" t="s">
        <v>51</v>
      </c>
      <c r="B177" s="29">
        <f t="shared" si="17"/>
        <v>5798371.085698355</v>
      </c>
      <c r="C177" s="4">
        <f>VLOOKUP(A177, output_exiobase_v3.10.2_EXIO_IOT_2022_pxp_Y_imports_footprint_FR[], 2, FALSE)</f>
        <v>15977.762498837455</v>
      </c>
      <c r="D177" s="4">
        <f>VLOOKUP(A177, output_exiobase_v3.10.2_EXIO_IOT_2022_pxp_Z_imports_footprint_FR[], 2, FALSE)</f>
        <v>43715.710858407911</v>
      </c>
      <c r="E177" s="4">
        <f>VLOOKUP(A177, output_exiobase_v3.10.2_EXIO_IOT_2022_pxp_Y_production_footprint_FR[], 2, FALSE)</f>
        <v>1310252.6986229368</v>
      </c>
      <c r="F177" s="4">
        <f>VLOOKUP(A177, output_exiobase_v3.10.2_EXIO_IOT_2022_pxp_Z_production_footprint_FR[], 2, FALSE)</f>
        <v>4428424.9137181733</v>
      </c>
      <c r="G177" s="35">
        <f t="shared" si="18"/>
        <v>1.0294869451263466E-2</v>
      </c>
      <c r="H177" s="1">
        <f t="shared" si="19"/>
        <v>0.98970513054873654</v>
      </c>
    </row>
    <row r="178" spans="1:8" x14ac:dyDescent="0.3">
      <c r="A178" s="9" t="s">
        <v>86</v>
      </c>
      <c r="B178" s="29">
        <f t="shared" si="17"/>
        <v>5381530.9770671502</v>
      </c>
      <c r="C178" s="4">
        <f>VLOOKUP(A178, output_exiobase_v3.10.2_EXIO_IOT_2022_pxp_Y_imports_footprint_FR[], 2, FALSE)</f>
        <v>1618965.7996400781</v>
      </c>
      <c r="D178" s="4">
        <f>VLOOKUP(A178, output_exiobase_v3.10.2_EXIO_IOT_2022_pxp_Z_imports_footprint_FR[], 2, FALSE)</f>
        <v>3758765.4812981049</v>
      </c>
      <c r="E178" s="4">
        <f>VLOOKUP(A178, output_exiobase_v3.10.2_EXIO_IOT_2022_pxp_Y_production_footprint_FR[], 2, FALSE)</f>
        <v>203.1492431900021</v>
      </c>
      <c r="F178" s="4">
        <f>VLOOKUP(A178, output_exiobase_v3.10.2_EXIO_IOT_2022_pxp_Z_production_footprint_FR[], 2, FALSE)</f>
        <v>3596.5468857775486</v>
      </c>
      <c r="G178" s="35">
        <f t="shared" si="18"/>
        <v>0.99929393770189945</v>
      </c>
      <c r="H178" s="1">
        <f t="shared" si="19"/>
        <v>7.060622981005909E-4</v>
      </c>
    </row>
    <row r="179" spans="1:8" x14ac:dyDescent="0.3">
      <c r="A179" s="9" t="s">
        <v>42</v>
      </c>
      <c r="B179" s="29">
        <f t="shared" si="17"/>
        <v>2650625.717268555</v>
      </c>
      <c r="C179" s="4">
        <f>VLOOKUP(A179, output_exiobase_v3.10.2_EXIO_IOT_2022_pxp_Y_imports_footprint_FR[], 2, FALSE)</f>
        <v>0</v>
      </c>
      <c r="D179" s="4">
        <f>VLOOKUP(A179, output_exiobase_v3.10.2_EXIO_IOT_2022_pxp_Z_imports_footprint_FR[], 2, FALSE)</f>
        <v>1112884.8808156559</v>
      </c>
      <c r="E179" s="4">
        <f>VLOOKUP(A179, output_exiobase_v3.10.2_EXIO_IOT_2022_pxp_Y_production_footprint_FR[], 2, FALSE)</f>
        <v>55962.383162589089</v>
      </c>
      <c r="F179" s="4">
        <f>VLOOKUP(A179, output_exiobase_v3.10.2_EXIO_IOT_2022_pxp_Z_production_footprint_FR[], 2, FALSE)</f>
        <v>1481778.45329031</v>
      </c>
      <c r="G179" s="35">
        <f t="shared" si="18"/>
        <v>0.41985742217972344</v>
      </c>
      <c r="H179" s="1">
        <f t="shared" si="19"/>
        <v>0.58014257782027656</v>
      </c>
    </row>
    <row r="180" spans="1:8" x14ac:dyDescent="0.3">
      <c r="A180" s="9" t="s">
        <v>113</v>
      </c>
      <c r="B180" s="29">
        <f t="shared" si="17"/>
        <v>1695565.6276298126</v>
      </c>
      <c r="C180" s="4">
        <f>VLOOKUP(A180, output_exiobase_v3.10.2_EXIO_IOT_2022_pxp_Y_imports_footprint_FR[], 2, FALSE)</f>
        <v>517.72180201875722</v>
      </c>
      <c r="D180" s="4">
        <f>VLOOKUP(A180, output_exiobase_v3.10.2_EXIO_IOT_2022_pxp_Z_imports_footprint_FR[], 2, FALSE)</f>
        <v>692130.5900939987</v>
      </c>
      <c r="E180" s="4">
        <f>VLOOKUP(A180, output_exiobase_v3.10.2_EXIO_IOT_2022_pxp_Y_production_footprint_FR[], 2, FALSE)</f>
        <v>4324.8873500056843</v>
      </c>
      <c r="F180" s="4">
        <f>VLOOKUP(A180, output_exiobase_v3.10.2_EXIO_IOT_2022_pxp_Z_production_footprint_FR[], 2, FALSE)</f>
        <v>998592.42838378949</v>
      </c>
      <c r="G180" s="35">
        <f t="shared" si="18"/>
        <v>0.40850575206826562</v>
      </c>
      <c r="H180" s="1">
        <f t="shared" si="19"/>
        <v>0.59149424793173433</v>
      </c>
    </row>
    <row r="181" spans="1:8" x14ac:dyDescent="0.3">
      <c r="A181" s="9" t="s">
        <v>54</v>
      </c>
      <c r="B181" s="29">
        <f t="shared" si="17"/>
        <v>1360913.8781755168</v>
      </c>
      <c r="C181" s="4">
        <f>VLOOKUP(A181, output_exiobase_v3.10.2_EXIO_IOT_2022_pxp_Y_imports_footprint_FR[], 2, FALSE)</f>
        <v>0</v>
      </c>
      <c r="D181" s="4">
        <f>VLOOKUP(A181, output_exiobase_v3.10.2_EXIO_IOT_2022_pxp_Z_imports_footprint_FR[], 2, FALSE)</f>
        <v>331905.99330934806</v>
      </c>
      <c r="E181" s="4">
        <f>VLOOKUP(A181, output_exiobase_v3.10.2_EXIO_IOT_2022_pxp_Y_production_footprint_FR[], 2, FALSE)</f>
        <v>246512.75990602066</v>
      </c>
      <c r="F181" s="4">
        <f>VLOOKUP(A181, output_exiobase_v3.10.2_EXIO_IOT_2022_pxp_Z_production_footprint_FR[], 2, FALSE)</f>
        <v>782495.12496014812</v>
      </c>
      <c r="G181" s="35">
        <f t="shared" si="18"/>
        <v>0.24388464151332742</v>
      </c>
      <c r="H181" s="1">
        <f t="shared" si="19"/>
        <v>0.75611535848667255</v>
      </c>
    </row>
    <row r="182" spans="1:8" x14ac:dyDescent="0.3">
      <c r="A182" s="9" t="s">
        <v>109</v>
      </c>
      <c r="B182" s="29">
        <f t="shared" si="17"/>
        <v>368229.61796259624</v>
      </c>
      <c r="C182" s="4">
        <f>VLOOKUP(A182, output_exiobase_v3.10.2_EXIO_IOT_2022_pxp_Y_imports_footprint_FR[], 2, FALSE)</f>
        <v>340219.44491428684</v>
      </c>
      <c r="D182" s="4">
        <f>VLOOKUP(A182, output_exiobase_v3.10.2_EXIO_IOT_2022_pxp_Z_imports_footprint_FR[], 2, FALSE)</f>
        <v>28010.173048309418</v>
      </c>
      <c r="E182" s="4">
        <f>VLOOKUP(A182, output_exiobase_v3.10.2_EXIO_IOT_2022_pxp_Y_production_footprint_FR[], 2, FALSE)</f>
        <v>0</v>
      </c>
      <c r="F182" s="4">
        <f>VLOOKUP(A182, output_exiobase_v3.10.2_EXIO_IOT_2022_pxp_Z_production_footprint_FR[], 2, FALSE)</f>
        <v>0</v>
      </c>
      <c r="G182" s="35">
        <f t="shared" si="18"/>
        <v>1</v>
      </c>
      <c r="H182" s="1">
        <f t="shared" si="19"/>
        <v>0</v>
      </c>
    </row>
    <row r="183" spans="1:8" x14ac:dyDescent="0.3">
      <c r="A183" s="9" t="s">
        <v>189</v>
      </c>
      <c r="B183" s="29">
        <f t="shared" si="17"/>
        <v>211969.3400544941</v>
      </c>
      <c r="C183" s="4">
        <f>VLOOKUP(A183, output_exiobase_v3.10.2_EXIO_IOT_2022_pxp_Y_imports_footprint_FR[], 2, FALSE)</f>
        <v>0</v>
      </c>
      <c r="D183" s="4">
        <f>VLOOKUP(A183, output_exiobase_v3.10.2_EXIO_IOT_2022_pxp_Z_imports_footprint_FR[], 2, FALSE)</f>
        <v>0</v>
      </c>
      <c r="E183" s="4">
        <f>VLOOKUP(A183, output_exiobase_v3.10.2_EXIO_IOT_2022_pxp_Y_production_footprint_FR[], 2, FALSE)</f>
        <v>414.27425510578678</v>
      </c>
      <c r="F183" s="4">
        <f>VLOOKUP(A183, output_exiobase_v3.10.2_EXIO_IOT_2022_pxp_Z_production_footprint_FR[], 2, FALSE)</f>
        <v>211555.06579938831</v>
      </c>
      <c r="G183" s="35">
        <f t="shared" si="18"/>
        <v>0</v>
      </c>
      <c r="H183" s="1">
        <f t="shared" si="19"/>
        <v>1</v>
      </c>
    </row>
    <row r="184" spans="1:8" x14ac:dyDescent="0.3">
      <c r="A184" s="9" t="s">
        <v>129</v>
      </c>
      <c r="B184" s="29">
        <f t="shared" si="17"/>
        <v>104583.78112910745</v>
      </c>
      <c r="C184" s="4">
        <f>VLOOKUP(A184, output_exiobase_v3.10.2_EXIO_IOT_2022_pxp_Y_imports_footprint_FR[], 2, FALSE)</f>
        <v>4994.9190130416391</v>
      </c>
      <c r="D184" s="4">
        <f>VLOOKUP(A184, output_exiobase_v3.10.2_EXIO_IOT_2022_pxp_Z_imports_footprint_FR[], 2, FALSE)</f>
        <v>99588.862116065808</v>
      </c>
      <c r="E184" s="4">
        <f>VLOOKUP(A184, output_exiobase_v3.10.2_EXIO_IOT_2022_pxp_Y_production_footprint_FR[], 2, FALSE)</f>
        <v>0</v>
      </c>
      <c r="F184" s="4">
        <f>VLOOKUP(A184, output_exiobase_v3.10.2_EXIO_IOT_2022_pxp_Z_production_footprint_FR[], 2, FALSE)</f>
        <v>0</v>
      </c>
      <c r="G184" s="35">
        <f t="shared" si="18"/>
        <v>1</v>
      </c>
      <c r="H184" s="1">
        <f t="shared" si="19"/>
        <v>0</v>
      </c>
    </row>
    <row r="185" spans="1:8" x14ac:dyDescent="0.3">
      <c r="A185" s="9" t="s">
        <v>28</v>
      </c>
      <c r="B185" s="29">
        <f t="shared" si="17"/>
        <v>104187.55735635934</v>
      </c>
      <c r="C185" s="4">
        <f>VLOOKUP(A185, output_exiobase_v3.10.2_EXIO_IOT_2022_pxp_Y_imports_footprint_FR[], 2, FALSE)</f>
        <v>0</v>
      </c>
      <c r="D185" s="4">
        <f>VLOOKUP(A185, output_exiobase_v3.10.2_EXIO_IOT_2022_pxp_Z_imports_footprint_FR[], 2, FALSE)</f>
        <v>104187.55735635934</v>
      </c>
      <c r="E185" s="4">
        <f>VLOOKUP(A185, output_exiobase_v3.10.2_EXIO_IOT_2022_pxp_Y_production_footprint_FR[], 2, FALSE)</f>
        <v>0</v>
      </c>
      <c r="F185" s="4">
        <f>VLOOKUP(A185, output_exiobase_v3.10.2_EXIO_IOT_2022_pxp_Z_production_footprint_FR[], 2, FALSE)</f>
        <v>0</v>
      </c>
      <c r="G185" s="35">
        <f t="shared" si="18"/>
        <v>1</v>
      </c>
      <c r="H185" s="1">
        <f t="shared" si="19"/>
        <v>0</v>
      </c>
    </row>
    <row r="186" spans="1:8" x14ac:dyDescent="0.3">
      <c r="A186" s="9" t="s">
        <v>80</v>
      </c>
      <c r="B186" s="29">
        <f t="shared" si="17"/>
        <v>16960.405439808688</v>
      </c>
      <c r="C186" s="4">
        <f>VLOOKUP(A186, output_exiobase_v3.10.2_EXIO_IOT_2022_pxp_Y_imports_footprint_FR[], 2, FALSE)</f>
        <v>0.10576883419232309</v>
      </c>
      <c r="D186" s="4">
        <f>VLOOKUP(A186, output_exiobase_v3.10.2_EXIO_IOT_2022_pxp_Z_imports_footprint_FR[], 2, FALSE)</f>
        <v>16960.299670974495</v>
      </c>
      <c r="E186" s="4">
        <f>VLOOKUP(A186, output_exiobase_v3.10.2_EXIO_IOT_2022_pxp_Y_production_footprint_FR[], 2, FALSE)</f>
        <v>0</v>
      </c>
      <c r="F186" s="4">
        <f>VLOOKUP(A186, output_exiobase_v3.10.2_EXIO_IOT_2022_pxp_Z_production_footprint_FR[], 2, FALSE)</f>
        <v>0</v>
      </c>
      <c r="G186" s="35">
        <f t="shared" si="18"/>
        <v>1</v>
      </c>
      <c r="H186" s="1">
        <f t="shared" si="19"/>
        <v>0</v>
      </c>
    </row>
    <row r="187" spans="1:8" x14ac:dyDescent="0.3">
      <c r="A187" s="9" t="s">
        <v>138</v>
      </c>
      <c r="B187" s="29">
        <f t="shared" si="17"/>
        <v>7104.9148660993742</v>
      </c>
      <c r="C187" s="4">
        <f>VLOOKUP(A187, output_exiobase_v3.10.2_EXIO_IOT_2022_pxp_Y_imports_footprint_FR[], 2, FALSE)</f>
        <v>0.71272445145354313</v>
      </c>
      <c r="D187" s="4">
        <f>VLOOKUP(A187, output_exiobase_v3.10.2_EXIO_IOT_2022_pxp_Z_imports_footprint_FR[], 2, FALSE)</f>
        <v>7104.2021416479211</v>
      </c>
      <c r="E187" s="4">
        <f>VLOOKUP(A187, output_exiobase_v3.10.2_EXIO_IOT_2022_pxp_Y_production_footprint_FR[], 2, FALSE)</f>
        <v>0</v>
      </c>
      <c r="F187" s="4">
        <f>VLOOKUP(A187, output_exiobase_v3.10.2_EXIO_IOT_2022_pxp_Z_production_footprint_FR[], 2, FALSE)</f>
        <v>0</v>
      </c>
      <c r="G187" s="35">
        <f t="shared" si="18"/>
        <v>1</v>
      </c>
      <c r="H187" s="1">
        <f t="shared" si="19"/>
        <v>0</v>
      </c>
    </row>
    <row r="188" spans="1:8" x14ac:dyDescent="0.3">
      <c r="A188" s="9" t="s">
        <v>33</v>
      </c>
      <c r="B188" s="29">
        <f t="shared" si="17"/>
        <v>4107.5371529717504</v>
      </c>
      <c r="C188" s="4">
        <f>VLOOKUP(A188, output_exiobase_v3.10.2_EXIO_IOT_2022_pxp_Y_imports_footprint_FR[], 2, FALSE)</f>
        <v>2.7586232306202496E-2</v>
      </c>
      <c r="D188" s="4">
        <f>VLOOKUP(A188, output_exiobase_v3.10.2_EXIO_IOT_2022_pxp_Z_imports_footprint_FR[], 2, FALSE)</f>
        <v>4107.5095667394444</v>
      </c>
      <c r="E188" s="4">
        <f>VLOOKUP(A188, output_exiobase_v3.10.2_EXIO_IOT_2022_pxp_Y_production_footprint_FR[], 2, FALSE)</f>
        <v>0</v>
      </c>
      <c r="F188" s="4">
        <f>VLOOKUP(A188, output_exiobase_v3.10.2_EXIO_IOT_2022_pxp_Z_production_footprint_FR[], 2, FALSE)</f>
        <v>0</v>
      </c>
      <c r="G188" s="35">
        <f t="shared" si="18"/>
        <v>1</v>
      </c>
      <c r="H188" s="1">
        <f t="shared" si="19"/>
        <v>0</v>
      </c>
    </row>
    <row r="189" spans="1:8" x14ac:dyDescent="0.3">
      <c r="A189" s="9" t="s">
        <v>69</v>
      </c>
      <c r="B189" s="29">
        <f t="shared" si="17"/>
        <v>0</v>
      </c>
      <c r="C189" s="4">
        <f>VLOOKUP(A189, output_exiobase_v3.10.2_EXIO_IOT_2022_pxp_Y_imports_footprint_FR[], 2, FALSE)</f>
        <v>0</v>
      </c>
      <c r="D189" s="4">
        <f>VLOOKUP(A189, output_exiobase_v3.10.2_EXIO_IOT_2022_pxp_Z_imports_footprint_FR[], 2, FALSE)</f>
        <v>0</v>
      </c>
      <c r="E189" s="4">
        <f>VLOOKUP(A189, output_exiobase_v3.10.2_EXIO_IOT_2022_pxp_Y_production_footprint_FR[], 2, FALSE)</f>
        <v>0</v>
      </c>
      <c r="F189" s="4">
        <f>VLOOKUP(A189, output_exiobase_v3.10.2_EXIO_IOT_2022_pxp_Z_production_footprint_FR[], 2, FALSE)</f>
        <v>0</v>
      </c>
      <c r="G189" s="35" t="e">
        <f t="shared" si="18"/>
        <v>#DIV/0!</v>
      </c>
      <c r="H189" s="1" t="e">
        <f t="shared" si="19"/>
        <v>#DIV/0!</v>
      </c>
    </row>
    <row r="190" spans="1:8" x14ac:dyDescent="0.3">
      <c r="A190" s="9" t="s">
        <v>119</v>
      </c>
      <c r="B190" s="29">
        <f t="shared" si="17"/>
        <v>0</v>
      </c>
      <c r="C190" s="4">
        <f>VLOOKUP(A190, output_exiobase_v3.10.2_EXIO_IOT_2022_pxp_Y_imports_footprint_FR[], 2, FALSE)</f>
        <v>0</v>
      </c>
      <c r="D190" s="4">
        <f>VLOOKUP(A190, output_exiobase_v3.10.2_EXIO_IOT_2022_pxp_Z_imports_footprint_FR[], 2, FALSE)</f>
        <v>0</v>
      </c>
      <c r="E190" s="4">
        <f>VLOOKUP(A190, output_exiobase_v3.10.2_EXIO_IOT_2022_pxp_Y_production_footprint_FR[], 2, FALSE)</f>
        <v>0</v>
      </c>
      <c r="F190" s="4">
        <f>VLOOKUP(A190, output_exiobase_v3.10.2_EXIO_IOT_2022_pxp_Z_production_footprint_FR[], 2, FALSE)</f>
        <v>0</v>
      </c>
      <c r="G190" s="35" t="e">
        <f t="shared" si="18"/>
        <v>#DIV/0!</v>
      </c>
      <c r="H190" s="1" t="e">
        <f t="shared" si="19"/>
        <v>#DIV/0!</v>
      </c>
    </row>
    <row r="191" spans="1:8" x14ac:dyDescent="0.3">
      <c r="A191" s="9" t="s">
        <v>173</v>
      </c>
      <c r="B191" s="29">
        <f t="shared" si="17"/>
        <v>0</v>
      </c>
      <c r="C191" s="4">
        <f>VLOOKUP(A191, output_exiobase_v3.10.2_EXIO_IOT_2022_pxp_Y_imports_footprint_FR[], 2, FALSE)</f>
        <v>0</v>
      </c>
      <c r="D191" s="4">
        <f>VLOOKUP(A191, output_exiobase_v3.10.2_EXIO_IOT_2022_pxp_Z_imports_footprint_FR[], 2, FALSE)</f>
        <v>0</v>
      </c>
      <c r="E191" s="4">
        <f>VLOOKUP(A191, output_exiobase_v3.10.2_EXIO_IOT_2022_pxp_Y_production_footprint_FR[], 2, FALSE)</f>
        <v>0</v>
      </c>
      <c r="F191" s="4">
        <f>VLOOKUP(A191, output_exiobase_v3.10.2_EXIO_IOT_2022_pxp_Z_production_footprint_FR[], 2, FALSE)</f>
        <v>0</v>
      </c>
      <c r="G191" s="35" t="e">
        <f t="shared" si="18"/>
        <v>#DIV/0!</v>
      </c>
      <c r="H191" s="1" t="e">
        <f t="shared" si="19"/>
        <v>#DIV/0!</v>
      </c>
    </row>
    <row r="192" spans="1:8" x14ac:dyDescent="0.3">
      <c r="A192" s="9" t="s">
        <v>71</v>
      </c>
      <c r="B192" s="29">
        <f t="shared" si="17"/>
        <v>0</v>
      </c>
      <c r="C192" s="4">
        <f>VLOOKUP(A192, output_exiobase_v3.10.2_EXIO_IOT_2022_pxp_Y_imports_footprint_FR[], 2, FALSE)</f>
        <v>0</v>
      </c>
      <c r="D192" s="4">
        <f>VLOOKUP(A192, output_exiobase_v3.10.2_EXIO_IOT_2022_pxp_Z_imports_footprint_FR[], 2, FALSE)</f>
        <v>0</v>
      </c>
      <c r="E192" s="4">
        <f>VLOOKUP(A192, output_exiobase_v3.10.2_EXIO_IOT_2022_pxp_Y_production_footprint_FR[], 2, FALSE)</f>
        <v>0</v>
      </c>
      <c r="F192" s="4">
        <f>VLOOKUP(A192, output_exiobase_v3.10.2_EXIO_IOT_2022_pxp_Z_production_footprint_FR[], 2, FALSE)</f>
        <v>0</v>
      </c>
      <c r="G192" s="35" t="e">
        <f t="shared" si="18"/>
        <v>#DIV/0!</v>
      </c>
      <c r="H192" s="1" t="e">
        <f t="shared" si="19"/>
        <v>#DIV/0!</v>
      </c>
    </row>
    <row r="193" spans="1:8" x14ac:dyDescent="0.3">
      <c r="A193" s="9" t="s">
        <v>68</v>
      </c>
      <c r="B193" s="29">
        <f t="shared" si="17"/>
        <v>0</v>
      </c>
      <c r="C193" s="4">
        <f>VLOOKUP(A193, output_exiobase_v3.10.2_EXIO_IOT_2022_pxp_Y_imports_footprint_FR[], 2, FALSE)</f>
        <v>0</v>
      </c>
      <c r="D193" s="4">
        <f>VLOOKUP(A193, output_exiobase_v3.10.2_EXIO_IOT_2022_pxp_Z_imports_footprint_FR[], 2, FALSE)</f>
        <v>0</v>
      </c>
      <c r="E193" s="4">
        <f>VLOOKUP(A193, output_exiobase_v3.10.2_EXIO_IOT_2022_pxp_Y_production_footprint_FR[], 2, FALSE)</f>
        <v>0</v>
      </c>
      <c r="F193" s="4">
        <f>VLOOKUP(A193, output_exiobase_v3.10.2_EXIO_IOT_2022_pxp_Z_production_footprint_FR[], 2, FALSE)</f>
        <v>0</v>
      </c>
      <c r="G193" s="35" t="e">
        <f t="shared" si="18"/>
        <v>#DIV/0!</v>
      </c>
      <c r="H193" s="1" t="e">
        <f t="shared" si="19"/>
        <v>#DIV/0!</v>
      </c>
    </row>
    <row r="194" spans="1:8" x14ac:dyDescent="0.3">
      <c r="A194" s="9" t="s">
        <v>91</v>
      </c>
      <c r="B194" s="29">
        <f t="shared" si="17"/>
        <v>0</v>
      </c>
      <c r="C194" s="4">
        <f>VLOOKUP(A194, output_exiobase_v3.10.2_EXIO_IOT_2022_pxp_Y_imports_footprint_FR[], 2, FALSE)</f>
        <v>0</v>
      </c>
      <c r="D194" s="4">
        <f>VLOOKUP(A194, output_exiobase_v3.10.2_EXIO_IOT_2022_pxp_Z_imports_footprint_FR[], 2, FALSE)</f>
        <v>0</v>
      </c>
      <c r="E194" s="4">
        <f>VLOOKUP(A194, output_exiobase_v3.10.2_EXIO_IOT_2022_pxp_Y_production_footprint_FR[], 2, FALSE)</f>
        <v>0</v>
      </c>
      <c r="F194" s="4">
        <f>VLOOKUP(A194, output_exiobase_v3.10.2_EXIO_IOT_2022_pxp_Z_production_footprint_FR[], 2, FALSE)</f>
        <v>0</v>
      </c>
      <c r="G194" s="35" t="e">
        <f t="shared" si="18"/>
        <v>#DIV/0!</v>
      </c>
      <c r="H194" s="1" t="e">
        <f t="shared" si="19"/>
        <v>#DIV/0!</v>
      </c>
    </row>
    <row r="195" spans="1:8" x14ac:dyDescent="0.3">
      <c r="A195" s="9" t="s">
        <v>90</v>
      </c>
      <c r="B195" s="29">
        <f t="shared" si="17"/>
        <v>0</v>
      </c>
      <c r="C195" s="4">
        <f>VLOOKUP(A195, output_exiobase_v3.10.2_EXIO_IOT_2022_pxp_Y_imports_footprint_FR[], 2, FALSE)</f>
        <v>0</v>
      </c>
      <c r="D195" s="4">
        <f>VLOOKUP(A195, output_exiobase_v3.10.2_EXIO_IOT_2022_pxp_Z_imports_footprint_FR[], 2, FALSE)</f>
        <v>0</v>
      </c>
      <c r="E195" s="4">
        <f>VLOOKUP(A195, output_exiobase_v3.10.2_EXIO_IOT_2022_pxp_Y_production_footprint_FR[], 2, FALSE)</f>
        <v>0</v>
      </c>
      <c r="F195" s="4">
        <f>VLOOKUP(A195, output_exiobase_v3.10.2_EXIO_IOT_2022_pxp_Z_production_footprint_FR[], 2, FALSE)</f>
        <v>0</v>
      </c>
      <c r="G195" s="35" t="e">
        <f t="shared" si="18"/>
        <v>#DIV/0!</v>
      </c>
      <c r="H195" s="1" t="e">
        <f t="shared" si="19"/>
        <v>#DIV/0!</v>
      </c>
    </row>
    <row r="196" spans="1:8" x14ac:dyDescent="0.3">
      <c r="A196" s="9" t="s">
        <v>196</v>
      </c>
      <c r="B196" s="29">
        <f t="shared" si="17"/>
        <v>0</v>
      </c>
      <c r="C196" s="4">
        <f>VLOOKUP(A196, output_exiobase_v3.10.2_EXIO_IOT_2022_pxp_Y_imports_footprint_FR[], 2, FALSE)</f>
        <v>0</v>
      </c>
      <c r="D196" s="4">
        <f>VLOOKUP(A196, output_exiobase_v3.10.2_EXIO_IOT_2022_pxp_Z_imports_footprint_FR[], 2, FALSE)</f>
        <v>0</v>
      </c>
      <c r="E196" s="4">
        <f>VLOOKUP(A196, output_exiobase_v3.10.2_EXIO_IOT_2022_pxp_Y_production_footprint_FR[], 2, FALSE)</f>
        <v>0</v>
      </c>
      <c r="F196" s="4">
        <f>VLOOKUP(A196, output_exiobase_v3.10.2_EXIO_IOT_2022_pxp_Z_production_footprint_FR[], 2, FALSE)</f>
        <v>0</v>
      </c>
      <c r="G196" s="35" t="e">
        <f t="shared" si="18"/>
        <v>#DIV/0!</v>
      </c>
      <c r="H196" s="1" t="e">
        <f t="shared" si="19"/>
        <v>#DIV/0!</v>
      </c>
    </row>
    <row r="197" spans="1:8" x14ac:dyDescent="0.3">
      <c r="A197" s="9" t="s">
        <v>170</v>
      </c>
      <c r="B197" s="29">
        <f t="shared" si="17"/>
        <v>0</v>
      </c>
      <c r="C197" s="4">
        <f>VLOOKUP(A197, output_exiobase_v3.10.2_EXIO_IOT_2022_pxp_Y_imports_footprint_FR[], 2, FALSE)</f>
        <v>0</v>
      </c>
      <c r="D197" s="4">
        <f>VLOOKUP(A197, output_exiobase_v3.10.2_EXIO_IOT_2022_pxp_Z_imports_footprint_FR[], 2, FALSE)</f>
        <v>0</v>
      </c>
      <c r="E197" s="4">
        <f>VLOOKUP(A197, output_exiobase_v3.10.2_EXIO_IOT_2022_pxp_Y_production_footprint_FR[], 2, FALSE)</f>
        <v>0</v>
      </c>
      <c r="F197" s="4">
        <f>VLOOKUP(A197, output_exiobase_v3.10.2_EXIO_IOT_2022_pxp_Z_production_footprint_FR[], 2, FALSE)</f>
        <v>0</v>
      </c>
      <c r="G197" s="35" t="e">
        <f t="shared" si="18"/>
        <v>#DIV/0!</v>
      </c>
      <c r="H197" s="1" t="e">
        <f t="shared" si="19"/>
        <v>#DIV/0!</v>
      </c>
    </row>
    <row r="198" spans="1:8" x14ac:dyDescent="0.3">
      <c r="A198" s="9" t="s">
        <v>171</v>
      </c>
      <c r="B198" s="29">
        <f t="shared" si="17"/>
        <v>0</v>
      </c>
      <c r="C198" s="4">
        <f>VLOOKUP(A198, output_exiobase_v3.10.2_EXIO_IOT_2022_pxp_Y_imports_footprint_FR[], 2, FALSE)</f>
        <v>0</v>
      </c>
      <c r="D198" s="4">
        <f>VLOOKUP(A198, output_exiobase_v3.10.2_EXIO_IOT_2022_pxp_Z_imports_footprint_FR[], 2, FALSE)</f>
        <v>0</v>
      </c>
      <c r="E198" s="4">
        <f>VLOOKUP(A198, output_exiobase_v3.10.2_EXIO_IOT_2022_pxp_Y_production_footprint_FR[], 2, FALSE)</f>
        <v>0</v>
      </c>
      <c r="F198" s="4">
        <f>VLOOKUP(A198, output_exiobase_v3.10.2_EXIO_IOT_2022_pxp_Z_production_footprint_FR[], 2, FALSE)</f>
        <v>0</v>
      </c>
      <c r="G198" s="35" t="e">
        <f t="shared" si="18"/>
        <v>#DIV/0!</v>
      </c>
      <c r="H198" s="1" t="e">
        <f t="shared" si="19"/>
        <v>#DIV/0!</v>
      </c>
    </row>
    <row r="199" spans="1:8" x14ac:dyDescent="0.3">
      <c r="A199" s="9" t="s">
        <v>167</v>
      </c>
      <c r="B199" s="29">
        <f t="shared" si="17"/>
        <v>0</v>
      </c>
      <c r="C199" s="4">
        <f>VLOOKUP(A199, output_exiobase_v3.10.2_EXIO_IOT_2022_pxp_Y_imports_footprint_FR[], 2, FALSE)</f>
        <v>0</v>
      </c>
      <c r="D199" s="4">
        <f>VLOOKUP(A199, output_exiobase_v3.10.2_EXIO_IOT_2022_pxp_Z_imports_footprint_FR[], 2, FALSE)</f>
        <v>0</v>
      </c>
      <c r="E199" s="4">
        <f>VLOOKUP(A199, output_exiobase_v3.10.2_EXIO_IOT_2022_pxp_Y_production_footprint_FR[], 2, FALSE)</f>
        <v>0</v>
      </c>
      <c r="F199" s="4">
        <f>VLOOKUP(A199, output_exiobase_v3.10.2_EXIO_IOT_2022_pxp_Z_production_footprint_FR[], 2, FALSE)</f>
        <v>0</v>
      </c>
      <c r="G199" s="35" t="e">
        <f t="shared" si="18"/>
        <v>#DIV/0!</v>
      </c>
      <c r="H199" s="1" t="e">
        <f t="shared" si="19"/>
        <v>#DIV/0!</v>
      </c>
    </row>
    <row r="200" spans="1:8" x14ac:dyDescent="0.3">
      <c r="A200" s="9" t="s">
        <v>7</v>
      </c>
      <c r="B200" s="29">
        <f t="shared" si="17"/>
        <v>0</v>
      </c>
      <c r="C200" s="4">
        <f>VLOOKUP(A200, output_exiobase_v3.10.2_EXIO_IOT_2022_pxp_Y_imports_footprint_FR[], 2, FALSE)</f>
        <v>0</v>
      </c>
      <c r="D200" s="4">
        <f>VLOOKUP(A200, output_exiobase_v3.10.2_EXIO_IOT_2022_pxp_Z_imports_footprint_FR[], 2, FALSE)</f>
        <v>0</v>
      </c>
      <c r="E200" s="4">
        <f>VLOOKUP(A200, output_exiobase_v3.10.2_EXIO_IOT_2022_pxp_Y_production_footprint_FR[], 2, FALSE)</f>
        <v>0</v>
      </c>
      <c r="F200" s="4">
        <f>VLOOKUP(A200, output_exiobase_v3.10.2_EXIO_IOT_2022_pxp_Z_production_footprint_FR[], 2, FALSE)</f>
        <v>0</v>
      </c>
      <c r="G200" s="35" t="e">
        <f t="shared" si="18"/>
        <v>#DIV/0!</v>
      </c>
      <c r="H200" s="1" t="e">
        <f t="shared" si="19"/>
        <v>#DIV/0!</v>
      </c>
    </row>
    <row r="201" spans="1:8" x14ac:dyDescent="0.3">
      <c r="A201" s="9" t="s">
        <v>174</v>
      </c>
      <c r="B201" s="29">
        <f t="shared" si="17"/>
        <v>0</v>
      </c>
      <c r="C201" s="4">
        <f>VLOOKUP(A201, output_exiobase_v3.10.2_EXIO_IOT_2022_pxp_Y_imports_footprint_FR[], 2, FALSE)</f>
        <v>0</v>
      </c>
      <c r="D201" s="4">
        <f>VLOOKUP(A201, output_exiobase_v3.10.2_EXIO_IOT_2022_pxp_Z_imports_footprint_FR[], 2, FALSE)</f>
        <v>0</v>
      </c>
      <c r="E201" s="4">
        <f>VLOOKUP(A201, output_exiobase_v3.10.2_EXIO_IOT_2022_pxp_Y_production_footprint_FR[], 2, FALSE)</f>
        <v>0</v>
      </c>
      <c r="F201" s="4">
        <f>VLOOKUP(A201, output_exiobase_v3.10.2_EXIO_IOT_2022_pxp_Z_production_footprint_FR[], 2, FALSE)</f>
        <v>0</v>
      </c>
      <c r="G201" s="35" t="e">
        <f t="shared" si="18"/>
        <v>#DIV/0!</v>
      </c>
      <c r="H201" s="1" t="e">
        <f t="shared" si="19"/>
        <v>#DIV/0!</v>
      </c>
    </row>
    <row r="202" spans="1:8" x14ac:dyDescent="0.3">
      <c r="A202" s="9" t="s">
        <v>172</v>
      </c>
      <c r="B202" s="29">
        <f t="shared" ref="B202:B209" si="20">SUM(C202:F202)</f>
        <v>0</v>
      </c>
      <c r="C202" s="4">
        <f>VLOOKUP(A202, output_exiobase_v3.10.2_EXIO_IOT_2022_pxp_Y_imports_footprint_FR[], 2, FALSE)</f>
        <v>0</v>
      </c>
      <c r="D202" s="4">
        <f>VLOOKUP(A202, output_exiobase_v3.10.2_EXIO_IOT_2022_pxp_Z_imports_footprint_FR[], 2, FALSE)</f>
        <v>0</v>
      </c>
      <c r="E202" s="4">
        <f>VLOOKUP(A202, output_exiobase_v3.10.2_EXIO_IOT_2022_pxp_Y_production_footprint_FR[], 2, FALSE)</f>
        <v>0</v>
      </c>
      <c r="F202" s="4">
        <f>VLOOKUP(A202, output_exiobase_v3.10.2_EXIO_IOT_2022_pxp_Z_production_footprint_FR[], 2, FALSE)</f>
        <v>0</v>
      </c>
      <c r="G202" s="35" t="e">
        <f t="shared" ref="G202:G209" si="21">(C202+D202)/B202</f>
        <v>#DIV/0!</v>
      </c>
      <c r="H202" s="1" t="e">
        <f t="shared" ref="H202:H209" si="22">(E202+F202)/B202</f>
        <v>#DIV/0!</v>
      </c>
    </row>
    <row r="203" spans="1:8" x14ac:dyDescent="0.3">
      <c r="A203" s="9" t="s">
        <v>164</v>
      </c>
      <c r="B203" s="29">
        <f t="shared" si="20"/>
        <v>0</v>
      </c>
      <c r="C203" s="4">
        <f>VLOOKUP(A203, output_exiobase_v3.10.2_EXIO_IOT_2022_pxp_Y_imports_footprint_FR[], 2, FALSE)</f>
        <v>0</v>
      </c>
      <c r="D203" s="4">
        <f>VLOOKUP(A203, output_exiobase_v3.10.2_EXIO_IOT_2022_pxp_Z_imports_footprint_FR[], 2, FALSE)</f>
        <v>0</v>
      </c>
      <c r="E203" s="4">
        <f>VLOOKUP(A203, output_exiobase_v3.10.2_EXIO_IOT_2022_pxp_Y_production_footprint_FR[], 2, FALSE)</f>
        <v>0</v>
      </c>
      <c r="F203" s="4">
        <f>VLOOKUP(A203, output_exiobase_v3.10.2_EXIO_IOT_2022_pxp_Z_production_footprint_FR[], 2, FALSE)</f>
        <v>0</v>
      </c>
      <c r="G203" s="35" t="e">
        <f t="shared" si="21"/>
        <v>#DIV/0!</v>
      </c>
      <c r="H203" s="1" t="e">
        <f t="shared" si="22"/>
        <v>#DIV/0!</v>
      </c>
    </row>
    <row r="204" spans="1:8" x14ac:dyDescent="0.3">
      <c r="A204" s="9" t="s">
        <v>168</v>
      </c>
      <c r="B204" s="29">
        <f t="shared" si="20"/>
        <v>0</v>
      </c>
      <c r="C204" s="4">
        <f>VLOOKUP(A204, output_exiobase_v3.10.2_EXIO_IOT_2022_pxp_Y_imports_footprint_FR[], 2, FALSE)</f>
        <v>0</v>
      </c>
      <c r="D204" s="4">
        <f>VLOOKUP(A204, output_exiobase_v3.10.2_EXIO_IOT_2022_pxp_Z_imports_footprint_FR[], 2, FALSE)</f>
        <v>0</v>
      </c>
      <c r="E204" s="4">
        <f>VLOOKUP(A204, output_exiobase_v3.10.2_EXIO_IOT_2022_pxp_Y_production_footprint_FR[], 2, FALSE)</f>
        <v>0</v>
      </c>
      <c r="F204" s="4">
        <f>VLOOKUP(A204, output_exiobase_v3.10.2_EXIO_IOT_2022_pxp_Z_production_footprint_FR[], 2, FALSE)</f>
        <v>0</v>
      </c>
      <c r="G204" s="35" t="e">
        <f t="shared" si="21"/>
        <v>#DIV/0!</v>
      </c>
      <c r="H204" s="1" t="e">
        <f t="shared" si="22"/>
        <v>#DIV/0!</v>
      </c>
    </row>
    <row r="205" spans="1:8" x14ac:dyDescent="0.3">
      <c r="A205" s="9" t="s">
        <v>166</v>
      </c>
      <c r="B205" s="29">
        <f t="shared" si="20"/>
        <v>0</v>
      </c>
      <c r="C205" s="4">
        <f>VLOOKUP(A205, output_exiobase_v3.10.2_EXIO_IOT_2022_pxp_Y_imports_footprint_FR[], 2, FALSE)</f>
        <v>0</v>
      </c>
      <c r="D205" s="4">
        <f>VLOOKUP(A205, output_exiobase_v3.10.2_EXIO_IOT_2022_pxp_Z_imports_footprint_FR[], 2, FALSE)</f>
        <v>0</v>
      </c>
      <c r="E205" s="4">
        <f>VLOOKUP(A205, output_exiobase_v3.10.2_EXIO_IOT_2022_pxp_Y_production_footprint_FR[], 2, FALSE)</f>
        <v>0</v>
      </c>
      <c r="F205" s="4">
        <f>VLOOKUP(A205, output_exiobase_v3.10.2_EXIO_IOT_2022_pxp_Z_production_footprint_FR[], 2, FALSE)</f>
        <v>0</v>
      </c>
      <c r="G205" s="35" t="e">
        <f t="shared" si="21"/>
        <v>#DIV/0!</v>
      </c>
      <c r="H205" s="1" t="e">
        <f t="shared" si="22"/>
        <v>#DIV/0!</v>
      </c>
    </row>
    <row r="206" spans="1:8" x14ac:dyDescent="0.3">
      <c r="A206" s="9" t="s">
        <v>169</v>
      </c>
      <c r="B206" s="29">
        <f t="shared" si="20"/>
        <v>0</v>
      </c>
      <c r="C206" s="4">
        <f>VLOOKUP(A206, output_exiobase_v3.10.2_EXIO_IOT_2022_pxp_Y_imports_footprint_FR[], 2, FALSE)</f>
        <v>0</v>
      </c>
      <c r="D206" s="4">
        <f>VLOOKUP(A206, output_exiobase_v3.10.2_EXIO_IOT_2022_pxp_Z_imports_footprint_FR[], 2, FALSE)</f>
        <v>0</v>
      </c>
      <c r="E206" s="4">
        <f>VLOOKUP(A206, output_exiobase_v3.10.2_EXIO_IOT_2022_pxp_Y_production_footprint_FR[], 2, FALSE)</f>
        <v>0</v>
      </c>
      <c r="F206" s="4">
        <f>VLOOKUP(A206, output_exiobase_v3.10.2_EXIO_IOT_2022_pxp_Z_production_footprint_FR[], 2, FALSE)</f>
        <v>0</v>
      </c>
      <c r="G206" s="35" t="e">
        <f t="shared" si="21"/>
        <v>#DIV/0!</v>
      </c>
      <c r="H206" s="1" t="e">
        <f t="shared" si="22"/>
        <v>#DIV/0!</v>
      </c>
    </row>
    <row r="207" spans="1:8" x14ac:dyDescent="0.3">
      <c r="A207" s="9" t="s">
        <v>17</v>
      </c>
      <c r="B207" s="29">
        <f t="shared" si="20"/>
        <v>0</v>
      </c>
      <c r="C207" s="4">
        <f>VLOOKUP(A207, output_exiobase_v3.10.2_EXIO_IOT_2022_pxp_Y_imports_footprint_FR[], 2, FALSE)</f>
        <v>0</v>
      </c>
      <c r="D207" s="4">
        <f>VLOOKUP(A207, output_exiobase_v3.10.2_EXIO_IOT_2022_pxp_Z_imports_footprint_FR[], 2, FALSE)</f>
        <v>0</v>
      </c>
      <c r="E207" s="4">
        <f>VLOOKUP(A207, output_exiobase_v3.10.2_EXIO_IOT_2022_pxp_Y_production_footprint_FR[], 2, FALSE)</f>
        <v>0</v>
      </c>
      <c r="F207" s="4">
        <f>VLOOKUP(A207, output_exiobase_v3.10.2_EXIO_IOT_2022_pxp_Z_production_footprint_FR[], 2, FALSE)</f>
        <v>0</v>
      </c>
      <c r="G207" s="35" t="e">
        <f t="shared" si="21"/>
        <v>#DIV/0!</v>
      </c>
      <c r="H207" s="1" t="e">
        <f t="shared" si="22"/>
        <v>#DIV/0!</v>
      </c>
    </row>
    <row r="208" spans="1:8" x14ac:dyDescent="0.3">
      <c r="A208" s="9" t="s">
        <v>165</v>
      </c>
      <c r="B208" s="29">
        <f t="shared" si="20"/>
        <v>0</v>
      </c>
      <c r="C208" s="4">
        <f>VLOOKUP(A208, output_exiobase_v3.10.2_EXIO_IOT_2022_pxp_Y_imports_footprint_FR[], 2, FALSE)</f>
        <v>0</v>
      </c>
      <c r="D208" s="4">
        <f>VLOOKUP(A208, output_exiobase_v3.10.2_EXIO_IOT_2022_pxp_Z_imports_footprint_FR[], 2, FALSE)</f>
        <v>0</v>
      </c>
      <c r="E208" s="4">
        <f>VLOOKUP(A208, output_exiobase_v3.10.2_EXIO_IOT_2022_pxp_Y_production_footprint_FR[], 2, FALSE)</f>
        <v>0</v>
      </c>
      <c r="F208" s="4">
        <f>VLOOKUP(A208, output_exiobase_v3.10.2_EXIO_IOT_2022_pxp_Z_production_footprint_FR[], 2, FALSE)</f>
        <v>0</v>
      </c>
      <c r="G208" s="35" t="e">
        <f t="shared" si="21"/>
        <v>#DIV/0!</v>
      </c>
      <c r="H208" s="1" t="e">
        <f t="shared" si="22"/>
        <v>#DIV/0!</v>
      </c>
    </row>
    <row r="209" spans="1:8" x14ac:dyDescent="0.3">
      <c r="A209" s="9" t="s">
        <v>55</v>
      </c>
      <c r="B209" s="29">
        <f t="shared" si="20"/>
        <v>0</v>
      </c>
      <c r="C209" s="4">
        <f>VLOOKUP(A209, output_exiobase_v3.10.2_EXIO_IOT_2022_pxp_Y_imports_footprint_FR[], 2, FALSE)</f>
        <v>0</v>
      </c>
      <c r="D209" s="4">
        <f>VLOOKUP(A209, output_exiobase_v3.10.2_EXIO_IOT_2022_pxp_Z_imports_footprint_FR[], 2, FALSE)</f>
        <v>0</v>
      </c>
      <c r="E209" s="4">
        <f>VLOOKUP(A209, output_exiobase_v3.10.2_EXIO_IOT_2022_pxp_Y_production_footprint_FR[], 2, FALSE)</f>
        <v>0</v>
      </c>
      <c r="F209" s="4">
        <f>VLOOKUP(A209, output_exiobase_v3.10.2_EXIO_IOT_2022_pxp_Z_production_footprint_FR[], 2, FALSE)</f>
        <v>0</v>
      </c>
      <c r="G209" s="35" t="e">
        <f t="shared" si="21"/>
        <v>#DIV/0!</v>
      </c>
      <c r="H209" s="1" t="e">
        <f t="shared" si="22"/>
        <v>#DIV/0!</v>
      </c>
    </row>
  </sheetData>
  <autoFilter ref="A9:H209" xr:uid="{D128262F-2692-4D3F-9EA9-5C378385CE66}">
    <sortState xmlns:xlrd2="http://schemas.microsoft.com/office/spreadsheetml/2017/richdata2" ref="A10:H209">
      <sortCondition descending="1" ref="B9:B209"/>
    </sortState>
  </autoFilter>
  <conditionalFormatting sqref="B10:B209">
    <cfRule type="dataBar" priority="5">
      <dataBar>
        <cfvo type="min"/>
        <cfvo type="max"/>
        <color theme="2" tint="-9.9978637043366805E-2"/>
      </dataBar>
      <extLst>
        <ext xmlns:x14="http://schemas.microsoft.com/office/spreadsheetml/2009/9/main" uri="{B025F937-C7B1-47D3-B67F-A62EFF666E3E}">
          <x14:id>{45A386EF-68C8-4938-A9EE-53F5F45A1C71}</x14:id>
        </ext>
      </extLst>
    </cfRule>
    <cfRule type="cellIs" dxfId="18" priority="6" operator="equal">
      <formula>0</formula>
    </cfRule>
  </conditionalFormatting>
  <conditionalFormatting sqref="G10:H186">
    <cfRule type="dataBar" priority="1">
      <dataBar>
        <cfvo type="min"/>
        <cfvo type="max"/>
        <color theme="2" tint="-9.9978637043366805E-2"/>
      </dataBar>
      <extLst>
        <ext xmlns:x14="http://schemas.microsoft.com/office/spreadsheetml/2009/9/main" uri="{B025F937-C7B1-47D3-B67F-A62EFF666E3E}">
          <x14:id>{40D3C41E-DB26-48F8-9567-F09A2D00CD59}</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45A386EF-68C8-4938-A9EE-53F5F45A1C71}">
            <x14:dataBar minLength="0" maxLength="100" gradient="0">
              <x14:cfvo type="autoMin"/>
              <x14:cfvo type="autoMax"/>
              <x14:negativeFillColor rgb="FFFF0000"/>
              <x14:axisColor rgb="FF000000"/>
            </x14:dataBar>
          </x14:cfRule>
          <xm:sqref>B10:B209</xm:sqref>
        </x14:conditionalFormatting>
        <x14:conditionalFormatting xmlns:xm="http://schemas.microsoft.com/office/excel/2006/main">
          <x14:cfRule type="dataBar" id="{40D3C41E-DB26-48F8-9567-F09A2D00CD59}">
            <x14:dataBar minLength="0" maxLength="100" gradient="0">
              <x14:cfvo type="autoMin"/>
              <x14:cfvo type="autoMax"/>
              <x14:negativeFillColor rgb="FFFF0000"/>
              <x14:axisColor rgb="FF000000"/>
            </x14:dataBar>
          </x14:cfRule>
          <xm:sqref>G10:H186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F4E4D-ABF0-43C5-8583-813FF37EBDA8}">
  <sheetPr codeName="Sheet7"/>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257</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80188158.985909805</v>
      </c>
    </row>
    <row r="6" spans="1:2" x14ac:dyDescent="0.3">
      <c r="A6" s="34" t="s">
        <v>2</v>
      </c>
      <c r="B6" s="36">
        <v>62242202918.691315</v>
      </c>
    </row>
    <row r="7" spans="1:2" x14ac:dyDescent="0.3">
      <c r="A7" s="34" t="s">
        <v>3</v>
      </c>
      <c r="B7" s="36">
        <v>865210495.89659691</v>
      </c>
    </row>
    <row r="8" spans="1:2" x14ac:dyDescent="0.3">
      <c r="A8" s="34" t="s">
        <v>4</v>
      </c>
      <c r="B8" s="36">
        <v>6432793.6532471748</v>
      </c>
    </row>
    <row r="9" spans="1:2" x14ac:dyDescent="0.3">
      <c r="A9" s="34" t="s">
        <v>5</v>
      </c>
      <c r="B9" s="36">
        <v>395625146.15802407</v>
      </c>
    </row>
    <row r="10" spans="1:2" x14ac:dyDescent="0.3">
      <c r="A10" s="34" t="s">
        <v>6</v>
      </c>
      <c r="B10" s="36">
        <v>108028619.36185445</v>
      </c>
    </row>
    <row r="11" spans="1:2" x14ac:dyDescent="0.3">
      <c r="A11" s="34" t="s">
        <v>7</v>
      </c>
      <c r="B11" s="36">
        <v>0</v>
      </c>
    </row>
    <row r="12" spans="1:2" x14ac:dyDescent="0.3">
      <c r="A12" s="34" t="s">
        <v>8</v>
      </c>
      <c r="B12" s="36">
        <v>24389.428084249794</v>
      </c>
    </row>
    <row r="13" spans="1:2" x14ac:dyDescent="0.3">
      <c r="A13" s="34" t="s">
        <v>9</v>
      </c>
      <c r="B13" s="36">
        <v>13291607.573279405</v>
      </c>
    </row>
    <row r="14" spans="1:2" x14ac:dyDescent="0.3">
      <c r="A14" s="34" t="s">
        <v>10</v>
      </c>
      <c r="B14" s="36">
        <v>5965857472.8328028</v>
      </c>
    </row>
    <row r="15" spans="1:2" x14ac:dyDescent="0.3">
      <c r="A15" s="34" t="s">
        <v>11</v>
      </c>
      <c r="B15" s="36">
        <v>3253869248.063313</v>
      </c>
    </row>
    <row r="16" spans="1:2" x14ac:dyDescent="0.3">
      <c r="A16" s="34" t="s">
        <v>12</v>
      </c>
      <c r="B16" s="36">
        <v>146303632.25421649</v>
      </c>
    </row>
    <row r="17" spans="1:2" x14ac:dyDescent="0.3">
      <c r="A17" s="34" t="s">
        <v>13</v>
      </c>
      <c r="B17" s="36">
        <v>400.45737094413136</v>
      </c>
    </row>
    <row r="18" spans="1:2" x14ac:dyDescent="0.3">
      <c r="A18" s="34" t="s">
        <v>14</v>
      </c>
      <c r="B18" s="36">
        <v>767261586.92923331</v>
      </c>
    </row>
    <row r="19" spans="1:2" x14ac:dyDescent="0.3">
      <c r="A19" s="34" t="s">
        <v>15</v>
      </c>
      <c r="B19" s="36">
        <v>234241921.43519023</v>
      </c>
    </row>
    <row r="20" spans="1:2" x14ac:dyDescent="0.3">
      <c r="A20" s="34" t="s">
        <v>16</v>
      </c>
      <c r="B20" s="36">
        <v>120958.4702034228</v>
      </c>
    </row>
    <row r="21" spans="1:2" x14ac:dyDescent="0.3">
      <c r="A21" s="34" t="s">
        <v>17</v>
      </c>
      <c r="B21" s="36">
        <v>0</v>
      </c>
    </row>
    <row r="22" spans="1:2" x14ac:dyDescent="0.3">
      <c r="A22" s="34" t="s">
        <v>18</v>
      </c>
      <c r="B22" s="36">
        <v>3664834.6972742565</v>
      </c>
    </row>
    <row r="23" spans="1:2" x14ac:dyDescent="0.3">
      <c r="A23" s="34" t="s">
        <v>19</v>
      </c>
      <c r="B23" s="36">
        <v>18540599.429711819</v>
      </c>
    </row>
    <row r="24" spans="1:2" x14ac:dyDescent="0.3">
      <c r="A24" s="34" t="s">
        <v>20</v>
      </c>
      <c r="B24" s="36">
        <v>204920961.80764845</v>
      </c>
    </row>
    <row r="25" spans="1:2" x14ac:dyDescent="0.3">
      <c r="A25" s="34" t="s">
        <v>21</v>
      </c>
      <c r="B25" s="36">
        <v>2217331446.3800817</v>
      </c>
    </row>
    <row r="26" spans="1:2" x14ac:dyDescent="0.3">
      <c r="A26" s="34" t="s">
        <v>22</v>
      </c>
      <c r="B26" s="36">
        <v>613094350.24378836</v>
      </c>
    </row>
    <row r="27" spans="1:2" x14ac:dyDescent="0.3">
      <c r="A27" s="34" t="s">
        <v>23</v>
      </c>
      <c r="B27" s="36">
        <v>703016336.70653701</v>
      </c>
    </row>
    <row r="28" spans="1:2" x14ac:dyDescent="0.3">
      <c r="A28" s="34" t="s">
        <v>24</v>
      </c>
      <c r="B28" s="36">
        <v>67111074.411208466</v>
      </c>
    </row>
    <row r="29" spans="1:2" x14ac:dyDescent="0.3">
      <c r="A29" s="34" t="s">
        <v>25</v>
      </c>
      <c r="B29" s="36">
        <v>38138546420.380417</v>
      </c>
    </row>
    <row r="30" spans="1:2" x14ac:dyDescent="0.3">
      <c r="A30" s="34" t="s">
        <v>26</v>
      </c>
      <c r="B30" s="36">
        <v>96840504.663091928</v>
      </c>
    </row>
    <row r="31" spans="1:2" x14ac:dyDescent="0.3">
      <c r="A31" s="34" t="s">
        <v>27</v>
      </c>
      <c r="B31" s="36">
        <v>335835183.30252242</v>
      </c>
    </row>
    <row r="32" spans="1:2" x14ac:dyDescent="0.3">
      <c r="A32" s="34" t="s">
        <v>28</v>
      </c>
      <c r="B32" s="36">
        <v>89761.575759883097</v>
      </c>
    </row>
    <row r="33" spans="1:2" x14ac:dyDescent="0.3">
      <c r="A33" s="34" t="s">
        <v>29</v>
      </c>
      <c r="B33" s="36">
        <v>172525102.37813467</v>
      </c>
    </row>
    <row r="34" spans="1:2" x14ac:dyDescent="0.3">
      <c r="A34" s="34" t="s">
        <v>30</v>
      </c>
      <c r="B34" s="36">
        <v>0</v>
      </c>
    </row>
    <row r="35" spans="1:2" x14ac:dyDescent="0.3">
      <c r="A35" s="34" t="s">
        <v>31</v>
      </c>
      <c r="B35" s="36">
        <v>1543341549.8088512</v>
      </c>
    </row>
    <row r="36" spans="1:2" x14ac:dyDescent="0.3">
      <c r="A36" s="34" t="s">
        <v>32</v>
      </c>
      <c r="B36" s="36">
        <v>10351269384.436415</v>
      </c>
    </row>
    <row r="37" spans="1:2" x14ac:dyDescent="0.3">
      <c r="A37" s="34" t="s">
        <v>33</v>
      </c>
      <c r="B37" s="36">
        <v>2635.1568335518759</v>
      </c>
    </row>
    <row r="38" spans="1:2" x14ac:dyDescent="0.3">
      <c r="A38" s="34" t="s">
        <v>34</v>
      </c>
      <c r="B38" s="36">
        <v>309840707.86359197</v>
      </c>
    </row>
    <row r="39" spans="1:2" x14ac:dyDescent="0.3">
      <c r="A39" s="34" t="s">
        <v>35</v>
      </c>
      <c r="B39" s="36">
        <v>2819574477.2285223</v>
      </c>
    </row>
    <row r="40" spans="1:2" x14ac:dyDescent="0.3">
      <c r="A40" s="34" t="s">
        <v>36</v>
      </c>
      <c r="B40" s="36">
        <v>803778735.34864521</v>
      </c>
    </row>
    <row r="41" spans="1:2" x14ac:dyDescent="0.3">
      <c r="A41" s="34" t="s">
        <v>37</v>
      </c>
      <c r="B41" s="36">
        <v>5618775041.5245209</v>
      </c>
    </row>
    <row r="42" spans="1:2" x14ac:dyDescent="0.3">
      <c r="A42" s="34" t="s">
        <v>38</v>
      </c>
      <c r="B42" s="36">
        <v>0</v>
      </c>
    </row>
    <row r="43" spans="1:2" x14ac:dyDescent="0.3">
      <c r="A43" s="34" t="s">
        <v>39</v>
      </c>
      <c r="B43" s="36">
        <v>0</v>
      </c>
    </row>
    <row r="44" spans="1:2" x14ac:dyDescent="0.3">
      <c r="A44" s="34" t="s">
        <v>40</v>
      </c>
      <c r="B44" s="36">
        <v>452821680.81849593</v>
      </c>
    </row>
    <row r="45" spans="1:2" x14ac:dyDescent="0.3">
      <c r="A45" s="34" t="s">
        <v>41</v>
      </c>
      <c r="B45" s="36">
        <v>11127514664.975588</v>
      </c>
    </row>
    <row r="46" spans="1:2" x14ac:dyDescent="0.3">
      <c r="A46" s="34" t="s">
        <v>42</v>
      </c>
      <c r="B46" s="36">
        <v>5265721.3436672268</v>
      </c>
    </row>
    <row r="47" spans="1:2" x14ac:dyDescent="0.3">
      <c r="A47" s="34" t="s">
        <v>43</v>
      </c>
      <c r="B47" s="36">
        <v>23283424.455829758</v>
      </c>
    </row>
    <row r="48" spans="1:2" x14ac:dyDescent="0.3">
      <c r="A48" s="34" t="s">
        <v>44</v>
      </c>
      <c r="B48" s="36">
        <v>6316321909.1440592</v>
      </c>
    </row>
    <row r="49" spans="1:2" x14ac:dyDescent="0.3">
      <c r="A49" s="34" t="s">
        <v>45</v>
      </c>
      <c r="B49" s="36">
        <v>3001254424.0328345</v>
      </c>
    </row>
    <row r="50" spans="1:2" x14ac:dyDescent="0.3">
      <c r="A50" s="34" t="s">
        <v>46</v>
      </c>
      <c r="B50" s="36">
        <v>80280668.263901711</v>
      </c>
    </row>
    <row r="51" spans="1:2" x14ac:dyDescent="0.3">
      <c r="A51" s="34" t="s">
        <v>47</v>
      </c>
      <c r="B51" s="36">
        <v>105369373.01316622</v>
      </c>
    </row>
    <row r="52" spans="1:2" x14ac:dyDescent="0.3">
      <c r="A52" s="34" t="s">
        <v>48</v>
      </c>
      <c r="B52" s="36">
        <v>27324273.613761239</v>
      </c>
    </row>
    <row r="53" spans="1:2" x14ac:dyDescent="0.3">
      <c r="A53" s="34" t="s">
        <v>49</v>
      </c>
      <c r="B53" s="36">
        <v>15669838.272966573</v>
      </c>
    </row>
    <row r="54" spans="1:2" x14ac:dyDescent="0.3">
      <c r="A54" s="34" t="s">
        <v>50</v>
      </c>
      <c r="B54" s="36">
        <v>0</v>
      </c>
    </row>
    <row r="55" spans="1:2" x14ac:dyDescent="0.3">
      <c r="A55" s="34" t="s">
        <v>51</v>
      </c>
      <c r="B55" s="36">
        <v>8500.8186439228321</v>
      </c>
    </row>
    <row r="56" spans="1:2" x14ac:dyDescent="0.3">
      <c r="A56" s="34" t="s">
        <v>52</v>
      </c>
      <c r="B56" s="36">
        <v>30119285.078310315</v>
      </c>
    </row>
    <row r="57" spans="1:2" x14ac:dyDescent="0.3">
      <c r="A57" s="34" t="s">
        <v>53</v>
      </c>
      <c r="B57" s="36">
        <v>62048.449750555708</v>
      </c>
    </row>
    <row r="58" spans="1:2" x14ac:dyDescent="0.3">
      <c r="A58" s="34" t="s">
        <v>54</v>
      </c>
      <c r="B58" s="36">
        <v>28988074.451488465</v>
      </c>
    </row>
    <row r="59" spans="1:2" x14ac:dyDescent="0.3">
      <c r="A59" s="34" t="s">
        <v>55</v>
      </c>
      <c r="B59" s="36">
        <v>0</v>
      </c>
    </row>
    <row r="60" spans="1:2" x14ac:dyDescent="0.3">
      <c r="A60" s="34" t="s">
        <v>56</v>
      </c>
      <c r="B60" s="36">
        <v>21911486553.740738</v>
      </c>
    </row>
    <row r="61" spans="1:2" x14ac:dyDescent="0.3">
      <c r="A61" s="34" t="s">
        <v>57</v>
      </c>
      <c r="B61" s="36">
        <v>84777489.930065259</v>
      </c>
    </row>
    <row r="62" spans="1:2" x14ac:dyDescent="0.3">
      <c r="A62" s="34" t="s">
        <v>58</v>
      </c>
      <c r="B62" s="36">
        <v>878011091.74286997</v>
      </c>
    </row>
    <row r="63" spans="1:2" x14ac:dyDescent="0.3">
      <c r="A63" s="34" t="s">
        <v>59</v>
      </c>
      <c r="B63" s="36">
        <v>4361055958.510088</v>
      </c>
    </row>
    <row r="64" spans="1:2" x14ac:dyDescent="0.3">
      <c r="A64" s="34" t="s">
        <v>60</v>
      </c>
      <c r="B64" s="36">
        <v>25530917006.162022</v>
      </c>
    </row>
    <row r="65" spans="1:2" x14ac:dyDescent="0.3">
      <c r="A65" s="34" t="s">
        <v>61</v>
      </c>
      <c r="B65" s="36">
        <v>28501.527787365223</v>
      </c>
    </row>
    <row r="66" spans="1:2" x14ac:dyDescent="0.3">
      <c r="A66" s="34" t="s">
        <v>62</v>
      </c>
      <c r="B66" s="36">
        <v>2108683.6742732953</v>
      </c>
    </row>
    <row r="67" spans="1:2" x14ac:dyDescent="0.3">
      <c r="A67" s="34" t="s">
        <v>63</v>
      </c>
      <c r="B67" s="36">
        <v>1054581.7376285007</v>
      </c>
    </row>
    <row r="68" spans="1:2" x14ac:dyDescent="0.3">
      <c r="A68" s="34" t="s">
        <v>64</v>
      </c>
      <c r="B68" s="36">
        <v>2434657.2110680202</v>
      </c>
    </row>
    <row r="69" spans="1:2" x14ac:dyDescent="0.3">
      <c r="A69" s="34" t="s">
        <v>65</v>
      </c>
      <c r="B69" s="36">
        <v>19128683.585590318</v>
      </c>
    </row>
    <row r="70" spans="1:2" x14ac:dyDescent="0.3">
      <c r="A70" s="34" t="s">
        <v>66</v>
      </c>
      <c r="B70" s="36">
        <v>0</v>
      </c>
    </row>
    <row r="71" spans="1:2" x14ac:dyDescent="0.3">
      <c r="A71" s="34" t="s">
        <v>67</v>
      </c>
      <c r="B71" s="36">
        <v>47742475981.490875</v>
      </c>
    </row>
    <row r="72" spans="1:2" x14ac:dyDescent="0.3">
      <c r="A72" s="34" t="s">
        <v>68</v>
      </c>
      <c r="B72" s="36">
        <v>0</v>
      </c>
    </row>
    <row r="73" spans="1:2" x14ac:dyDescent="0.3">
      <c r="A73" s="34" t="s">
        <v>69</v>
      </c>
      <c r="B73" s="36">
        <v>3736.8924356290149</v>
      </c>
    </row>
    <row r="74" spans="1:2" x14ac:dyDescent="0.3">
      <c r="A74" s="34" t="s">
        <v>70</v>
      </c>
      <c r="B74" s="36">
        <v>7181228222.1183434</v>
      </c>
    </row>
    <row r="75" spans="1:2" x14ac:dyDescent="0.3">
      <c r="A75" s="34" t="s">
        <v>71</v>
      </c>
      <c r="B75" s="36">
        <v>0</v>
      </c>
    </row>
    <row r="76" spans="1:2" x14ac:dyDescent="0.3">
      <c r="A76" s="34" t="s">
        <v>72</v>
      </c>
      <c r="B76" s="36">
        <v>494735227.27004004</v>
      </c>
    </row>
    <row r="77" spans="1:2" x14ac:dyDescent="0.3">
      <c r="A77" s="34" t="s">
        <v>73</v>
      </c>
      <c r="B77" s="36">
        <v>591712688.76129103</v>
      </c>
    </row>
    <row r="78" spans="1:2" x14ac:dyDescent="0.3">
      <c r="A78" s="34" t="s">
        <v>74</v>
      </c>
      <c r="B78" s="36">
        <v>3718811995.6138325</v>
      </c>
    </row>
    <row r="79" spans="1:2" x14ac:dyDescent="0.3">
      <c r="A79" s="34" t="s">
        <v>75</v>
      </c>
      <c r="B79" s="36">
        <v>6988084585.2901955</v>
      </c>
    </row>
    <row r="80" spans="1:2" x14ac:dyDescent="0.3">
      <c r="A80" s="34" t="s">
        <v>76</v>
      </c>
      <c r="B80" s="36">
        <v>748694.25610614719</v>
      </c>
    </row>
    <row r="81" spans="1:2" x14ac:dyDescent="0.3">
      <c r="A81" s="34" t="s">
        <v>77</v>
      </c>
      <c r="B81" s="36">
        <v>140479605.44370782</v>
      </c>
    </row>
    <row r="82" spans="1:2" x14ac:dyDescent="0.3">
      <c r="A82" s="34" t="s">
        <v>78</v>
      </c>
      <c r="B82" s="36">
        <v>858141097.70213723</v>
      </c>
    </row>
    <row r="83" spans="1:2" x14ac:dyDescent="0.3">
      <c r="A83" s="34" t="s">
        <v>79</v>
      </c>
      <c r="B83" s="36">
        <v>545439.25945774105</v>
      </c>
    </row>
    <row r="84" spans="1:2" x14ac:dyDescent="0.3">
      <c r="A84" s="34" t="s">
        <v>80</v>
      </c>
      <c r="B84" s="36">
        <v>2176630.4896383961</v>
      </c>
    </row>
    <row r="85" spans="1:2" x14ac:dyDescent="0.3">
      <c r="A85" s="34" t="s">
        <v>81</v>
      </c>
      <c r="B85" s="36">
        <v>135390019.31087977</v>
      </c>
    </row>
    <row r="86" spans="1:2" x14ac:dyDescent="0.3">
      <c r="A86" s="34" t="s">
        <v>82</v>
      </c>
      <c r="B86" s="36">
        <v>8498143513.0845757</v>
      </c>
    </row>
    <row r="87" spans="1:2" x14ac:dyDescent="0.3">
      <c r="A87" s="34" t="s">
        <v>83</v>
      </c>
      <c r="B87" s="36">
        <v>616634640.72933865</v>
      </c>
    </row>
    <row r="88" spans="1:2" x14ac:dyDescent="0.3">
      <c r="A88" s="34" t="s">
        <v>84</v>
      </c>
      <c r="B88" s="36">
        <v>15051643.637472905</v>
      </c>
    </row>
    <row r="89" spans="1:2" x14ac:dyDescent="0.3">
      <c r="A89" s="34" t="s">
        <v>85</v>
      </c>
      <c r="B89" s="36">
        <v>24453583776.355076</v>
      </c>
    </row>
    <row r="90" spans="1:2" x14ac:dyDescent="0.3">
      <c r="A90" s="34" t="s">
        <v>86</v>
      </c>
      <c r="B90" s="36">
        <v>610371.63803216908</v>
      </c>
    </row>
    <row r="91" spans="1:2" x14ac:dyDescent="0.3">
      <c r="A91" s="34" t="s">
        <v>87</v>
      </c>
      <c r="B91" s="36">
        <v>3244170037.892478</v>
      </c>
    </row>
    <row r="92" spans="1:2" x14ac:dyDescent="0.3">
      <c r="A92" s="34" t="s">
        <v>88</v>
      </c>
      <c r="B92" s="36">
        <v>429437.2352307837</v>
      </c>
    </row>
    <row r="93" spans="1:2" x14ac:dyDescent="0.3">
      <c r="A93" s="34" t="s">
        <v>89</v>
      </c>
      <c r="B93" s="36">
        <v>1236757424.4983127</v>
      </c>
    </row>
    <row r="94" spans="1:2" x14ac:dyDescent="0.3">
      <c r="A94" s="34" t="s">
        <v>90</v>
      </c>
      <c r="B94" s="36">
        <v>0</v>
      </c>
    </row>
    <row r="95" spans="1:2" x14ac:dyDescent="0.3">
      <c r="A95" s="34" t="s">
        <v>91</v>
      </c>
      <c r="B95" s="36">
        <v>0</v>
      </c>
    </row>
    <row r="96" spans="1:2" x14ac:dyDescent="0.3">
      <c r="A96" s="34" t="s">
        <v>92</v>
      </c>
      <c r="B96" s="36">
        <v>4281983547.686058</v>
      </c>
    </row>
    <row r="97" spans="1:2" x14ac:dyDescent="0.3">
      <c r="A97" s="34" t="s">
        <v>93</v>
      </c>
      <c r="B97" s="36">
        <v>3841529741.2794833</v>
      </c>
    </row>
    <row r="98" spans="1:2" x14ac:dyDescent="0.3">
      <c r="A98" s="34" t="s">
        <v>94</v>
      </c>
      <c r="B98" s="36">
        <v>3246542259.4688177</v>
      </c>
    </row>
    <row r="99" spans="1:2" x14ac:dyDescent="0.3">
      <c r="A99" s="34" t="s">
        <v>95</v>
      </c>
      <c r="B99" s="36">
        <v>8635082.2541929055</v>
      </c>
    </row>
    <row r="100" spans="1:2" x14ac:dyDescent="0.3">
      <c r="A100" s="34" t="s">
        <v>96</v>
      </c>
      <c r="B100" s="36">
        <v>13742933761.611088</v>
      </c>
    </row>
    <row r="101" spans="1:2" x14ac:dyDescent="0.3">
      <c r="A101" s="34" t="s">
        <v>97</v>
      </c>
      <c r="B101" s="36">
        <v>43134222064.714622</v>
      </c>
    </row>
    <row r="102" spans="1:2" x14ac:dyDescent="0.3">
      <c r="A102" s="34" t="s">
        <v>98</v>
      </c>
      <c r="B102" s="36">
        <v>133202221.72335646</v>
      </c>
    </row>
    <row r="103" spans="1:2" x14ac:dyDescent="0.3">
      <c r="A103" s="34" t="s">
        <v>99</v>
      </c>
      <c r="B103" s="36">
        <v>878791060.63614333</v>
      </c>
    </row>
    <row r="104" spans="1:2" x14ac:dyDescent="0.3">
      <c r="A104" s="34" t="s">
        <v>100</v>
      </c>
      <c r="B104" s="36">
        <v>468801987.01250112</v>
      </c>
    </row>
    <row r="105" spans="1:2" x14ac:dyDescent="0.3">
      <c r="A105" s="34" t="s">
        <v>101</v>
      </c>
      <c r="B105" s="36">
        <v>43454216210.777924</v>
      </c>
    </row>
    <row r="106" spans="1:2" x14ac:dyDescent="0.3">
      <c r="A106" s="34" t="s">
        <v>102</v>
      </c>
      <c r="B106" s="36">
        <v>2115564.9246447436</v>
      </c>
    </row>
    <row r="107" spans="1:2" x14ac:dyDescent="0.3">
      <c r="A107" s="34" t="s">
        <v>103</v>
      </c>
      <c r="B107" s="36">
        <v>32216254.881838653</v>
      </c>
    </row>
    <row r="108" spans="1:2" x14ac:dyDescent="0.3">
      <c r="A108" s="34" t="s">
        <v>104</v>
      </c>
      <c r="B108" s="36">
        <v>34801020.260678351</v>
      </c>
    </row>
    <row r="109" spans="1:2" x14ac:dyDescent="0.3">
      <c r="A109" s="34" t="s">
        <v>105</v>
      </c>
      <c r="B109" s="36">
        <v>41043331883.584824</v>
      </c>
    </row>
    <row r="110" spans="1:2" x14ac:dyDescent="0.3">
      <c r="A110" s="34" t="s">
        <v>106</v>
      </c>
      <c r="B110" s="36">
        <v>1657255393.9474626</v>
      </c>
    </row>
    <row r="111" spans="1:2" x14ac:dyDescent="0.3">
      <c r="A111" s="34" t="s">
        <v>107</v>
      </c>
      <c r="B111" s="36">
        <v>359132.07681647467</v>
      </c>
    </row>
    <row r="112" spans="1:2" x14ac:dyDescent="0.3">
      <c r="A112" s="34" t="s">
        <v>108</v>
      </c>
      <c r="B112" s="36">
        <v>3485892499.1968436</v>
      </c>
    </row>
    <row r="113" spans="1:2" x14ac:dyDescent="0.3">
      <c r="A113" s="34" t="s">
        <v>109</v>
      </c>
      <c r="B113" s="36">
        <v>2161.6338706493657</v>
      </c>
    </row>
    <row r="114" spans="1:2" x14ac:dyDescent="0.3">
      <c r="A114" s="34" t="s">
        <v>110</v>
      </c>
      <c r="B114" s="36">
        <v>647.93764301084889</v>
      </c>
    </row>
    <row r="115" spans="1:2" x14ac:dyDescent="0.3">
      <c r="A115" s="34" t="s">
        <v>111</v>
      </c>
      <c r="B115" s="36">
        <v>4750498417.5531559</v>
      </c>
    </row>
    <row r="116" spans="1:2" x14ac:dyDescent="0.3">
      <c r="A116" s="34" t="s">
        <v>112</v>
      </c>
      <c r="B116" s="36">
        <v>6573381692.7664509</v>
      </c>
    </row>
    <row r="117" spans="1:2" x14ac:dyDescent="0.3">
      <c r="A117" s="34" t="s">
        <v>113</v>
      </c>
      <c r="B117" s="36">
        <v>308384.172991789</v>
      </c>
    </row>
    <row r="118" spans="1:2" x14ac:dyDescent="0.3">
      <c r="A118" s="34" t="s">
        <v>114</v>
      </c>
      <c r="B118" s="36">
        <v>272735583.56643647</v>
      </c>
    </row>
    <row r="119" spans="1:2" x14ac:dyDescent="0.3">
      <c r="A119" s="34" t="s">
        <v>115</v>
      </c>
      <c r="B119" s="36">
        <v>2798218137.1965599</v>
      </c>
    </row>
    <row r="120" spans="1:2" x14ac:dyDescent="0.3">
      <c r="A120" s="34" t="s">
        <v>116</v>
      </c>
      <c r="B120" s="36">
        <v>253900059.62499139</v>
      </c>
    </row>
    <row r="121" spans="1:2" x14ac:dyDescent="0.3">
      <c r="A121" s="34" t="s">
        <v>117</v>
      </c>
      <c r="B121" s="36">
        <v>15056288727.033476</v>
      </c>
    </row>
    <row r="122" spans="1:2" x14ac:dyDescent="0.3">
      <c r="A122" s="34" t="s">
        <v>118</v>
      </c>
      <c r="B122" s="36">
        <v>5750072.6360874325</v>
      </c>
    </row>
    <row r="123" spans="1:2" x14ac:dyDescent="0.3">
      <c r="A123" s="34" t="s">
        <v>119</v>
      </c>
      <c r="B123" s="36">
        <v>1.6973578292085187E-3</v>
      </c>
    </row>
    <row r="124" spans="1:2" x14ac:dyDescent="0.3">
      <c r="A124" s="34" t="s">
        <v>120</v>
      </c>
      <c r="B124" s="36">
        <v>5002009987.6410732</v>
      </c>
    </row>
    <row r="125" spans="1:2" x14ac:dyDescent="0.3">
      <c r="A125" s="34" t="s">
        <v>121</v>
      </c>
      <c r="B125" s="36">
        <v>34788092.271929614</v>
      </c>
    </row>
    <row r="126" spans="1:2" x14ac:dyDescent="0.3">
      <c r="A126" s="34" t="s">
        <v>122</v>
      </c>
      <c r="B126" s="36">
        <v>2079441157.6912189</v>
      </c>
    </row>
    <row r="127" spans="1:2" x14ac:dyDescent="0.3">
      <c r="A127" s="34" t="s">
        <v>123</v>
      </c>
      <c r="B127" s="36">
        <v>19108.492262174161</v>
      </c>
    </row>
    <row r="128" spans="1:2" x14ac:dyDescent="0.3">
      <c r="A128" s="34" t="s">
        <v>124</v>
      </c>
      <c r="B128" s="36">
        <v>783024.38025539275</v>
      </c>
    </row>
    <row r="129" spans="1:2" x14ac:dyDescent="0.3">
      <c r="A129" s="34" t="s">
        <v>125</v>
      </c>
      <c r="B129" s="36">
        <v>4332.4950004976827</v>
      </c>
    </row>
    <row r="130" spans="1:2" x14ac:dyDescent="0.3">
      <c r="A130" s="34" t="s">
        <v>126</v>
      </c>
      <c r="B130" s="36">
        <v>881122.226414548</v>
      </c>
    </row>
    <row r="131" spans="1:2" x14ac:dyDescent="0.3">
      <c r="A131" s="34" t="s">
        <v>127</v>
      </c>
      <c r="B131" s="36">
        <v>8592443.3681513388</v>
      </c>
    </row>
    <row r="132" spans="1:2" x14ac:dyDescent="0.3">
      <c r="A132" s="34" t="s">
        <v>128</v>
      </c>
      <c r="B132" s="36">
        <v>1257694.8822168796</v>
      </c>
    </row>
    <row r="133" spans="1:2" x14ac:dyDescent="0.3">
      <c r="A133" s="34" t="s">
        <v>129</v>
      </c>
      <c r="B133" s="36">
        <v>9840276.361430306</v>
      </c>
    </row>
    <row r="134" spans="1:2" x14ac:dyDescent="0.3">
      <c r="A134" s="34" t="s">
        <v>130</v>
      </c>
      <c r="B134" s="36">
        <v>57530212.609882511</v>
      </c>
    </row>
    <row r="135" spans="1:2" x14ac:dyDescent="0.3">
      <c r="A135" s="34" t="s">
        <v>131</v>
      </c>
      <c r="B135" s="36">
        <v>1387259.2309138128</v>
      </c>
    </row>
    <row r="136" spans="1:2" x14ac:dyDescent="0.3">
      <c r="A136" s="34" t="s">
        <v>132</v>
      </c>
      <c r="B136" s="36">
        <v>220105769.30291003</v>
      </c>
    </row>
    <row r="137" spans="1:2" x14ac:dyDescent="0.3">
      <c r="A137" s="34" t="s">
        <v>133</v>
      </c>
      <c r="B137" s="36">
        <v>313361.96089830401</v>
      </c>
    </row>
    <row r="138" spans="1:2" x14ac:dyDescent="0.3">
      <c r="A138" s="34" t="s">
        <v>134</v>
      </c>
      <c r="B138" s="36">
        <v>211571.79238133988</v>
      </c>
    </row>
    <row r="139" spans="1:2" x14ac:dyDescent="0.3">
      <c r="A139" s="34" t="s">
        <v>135</v>
      </c>
      <c r="B139" s="36">
        <v>10657844538.930635</v>
      </c>
    </row>
    <row r="140" spans="1:2" x14ac:dyDescent="0.3">
      <c r="A140" s="34" t="s">
        <v>136</v>
      </c>
      <c r="B140" s="36">
        <v>1039285423.4028169</v>
      </c>
    </row>
    <row r="141" spans="1:2" x14ac:dyDescent="0.3">
      <c r="A141" s="34" t="s">
        <v>137</v>
      </c>
      <c r="B141" s="36">
        <v>81455393.296922788</v>
      </c>
    </row>
    <row r="142" spans="1:2" x14ac:dyDescent="0.3">
      <c r="A142" s="34" t="s">
        <v>138</v>
      </c>
      <c r="B142" s="36">
        <v>52658.886335937961</v>
      </c>
    </row>
    <row r="143" spans="1:2" x14ac:dyDescent="0.3">
      <c r="A143" s="34" t="s">
        <v>139</v>
      </c>
      <c r="B143" s="36">
        <v>78434168.160387382</v>
      </c>
    </row>
    <row r="144" spans="1:2" x14ac:dyDescent="0.3">
      <c r="A144" s="34" t="s">
        <v>140</v>
      </c>
      <c r="B144" s="36">
        <v>228176186.80750364</v>
      </c>
    </row>
    <row r="145" spans="1:2" x14ac:dyDescent="0.3">
      <c r="A145" s="34" t="s">
        <v>141</v>
      </c>
      <c r="B145" s="36">
        <v>1153924308.6184139</v>
      </c>
    </row>
    <row r="146" spans="1:2" x14ac:dyDescent="0.3">
      <c r="A146" s="34" t="s">
        <v>142</v>
      </c>
      <c r="B146" s="36">
        <v>612725653.90507662</v>
      </c>
    </row>
    <row r="147" spans="1:2" x14ac:dyDescent="0.3">
      <c r="A147" s="34" t="s">
        <v>143</v>
      </c>
      <c r="B147" s="36">
        <v>246957297.48063508</v>
      </c>
    </row>
    <row r="148" spans="1:2" x14ac:dyDescent="0.3">
      <c r="A148" s="34" t="s">
        <v>144</v>
      </c>
      <c r="B148" s="36">
        <v>17832593093.901913</v>
      </c>
    </row>
    <row r="149" spans="1:2" x14ac:dyDescent="0.3">
      <c r="A149" s="34" t="s">
        <v>145</v>
      </c>
      <c r="B149" s="36">
        <v>185947032.41900131</v>
      </c>
    </row>
    <row r="150" spans="1:2" x14ac:dyDescent="0.3">
      <c r="A150" s="34" t="s">
        <v>146</v>
      </c>
      <c r="B150" s="36">
        <v>1108120023.1784277</v>
      </c>
    </row>
    <row r="151" spans="1:2" x14ac:dyDescent="0.3">
      <c r="A151" s="34" t="s">
        <v>147</v>
      </c>
      <c r="B151" s="36">
        <v>493960972.73187941</v>
      </c>
    </row>
    <row r="152" spans="1:2" x14ac:dyDescent="0.3">
      <c r="A152" s="34" t="s">
        <v>148</v>
      </c>
      <c r="B152" s="36">
        <v>144942579.57079366</v>
      </c>
    </row>
    <row r="153" spans="1:2" x14ac:dyDescent="0.3">
      <c r="A153" s="34" t="s">
        <v>149</v>
      </c>
      <c r="B153" s="36">
        <v>1101918975.6782672</v>
      </c>
    </row>
    <row r="154" spans="1:2" x14ac:dyDescent="0.3">
      <c r="A154" s="34" t="s">
        <v>150</v>
      </c>
      <c r="B154" s="36">
        <v>669145991.36724544</v>
      </c>
    </row>
    <row r="155" spans="1:2" x14ac:dyDescent="0.3">
      <c r="A155" s="34" t="s">
        <v>151</v>
      </c>
      <c r="B155" s="36">
        <v>0</v>
      </c>
    </row>
    <row r="156" spans="1:2" x14ac:dyDescent="0.3">
      <c r="A156" s="34" t="s">
        <v>152</v>
      </c>
      <c r="B156" s="36">
        <v>2205098313.046679</v>
      </c>
    </row>
    <row r="157" spans="1:2" x14ac:dyDescent="0.3">
      <c r="A157" s="34" t="s">
        <v>153</v>
      </c>
      <c r="B157" s="36">
        <v>605985705.17020726</v>
      </c>
    </row>
    <row r="158" spans="1:2" x14ac:dyDescent="0.3">
      <c r="A158" s="34" t="s">
        <v>154</v>
      </c>
      <c r="B158" s="36">
        <v>52253.599699142302</v>
      </c>
    </row>
    <row r="159" spans="1:2" x14ac:dyDescent="0.3">
      <c r="A159" s="34" t="s">
        <v>155</v>
      </c>
      <c r="B159" s="36">
        <v>124493.11453308754</v>
      </c>
    </row>
    <row r="160" spans="1:2" x14ac:dyDescent="0.3">
      <c r="A160" s="34" t="s">
        <v>156</v>
      </c>
      <c r="B160" s="36">
        <v>2305707.8588731051</v>
      </c>
    </row>
    <row r="161" spans="1:2" x14ac:dyDescent="0.3">
      <c r="A161" s="34" t="s">
        <v>157</v>
      </c>
      <c r="B161" s="36">
        <v>12191620803.744844</v>
      </c>
    </row>
    <row r="162" spans="1:2" x14ac:dyDescent="0.3">
      <c r="A162" s="34" t="s">
        <v>158</v>
      </c>
      <c r="B162" s="36">
        <v>774902437.06644988</v>
      </c>
    </row>
    <row r="163" spans="1:2" x14ac:dyDescent="0.3">
      <c r="A163" s="34" t="s">
        <v>159</v>
      </c>
      <c r="B163" s="36">
        <v>21201090.395545956</v>
      </c>
    </row>
    <row r="164" spans="1:2" x14ac:dyDescent="0.3">
      <c r="A164" s="34" t="s">
        <v>160</v>
      </c>
      <c r="B164" s="36">
        <v>14705463213.020668</v>
      </c>
    </row>
    <row r="165" spans="1:2" x14ac:dyDescent="0.3">
      <c r="A165" s="34" t="s">
        <v>161</v>
      </c>
      <c r="B165" s="36">
        <v>201185590.88561195</v>
      </c>
    </row>
    <row r="166" spans="1:2" x14ac:dyDescent="0.3">
      <c r="A166" s="34" t="s">
        <v>162</v>
      </c>
      <c r="B166" s="36">
        <v>24837639.509240631</v>
      </c>
    </row>
    <row r="167" spans="1:2" x14ac:dyDescent="0.3">
      <c r="A167" s="34" t="s">
        <v>163</v>
      </c>
      <c r="B167" s="36">
        <v>49157293523.150818</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35750994.02668117</v>
      </c>
    </row>
    <row r="180" spans="1:2" x14ac:dyDescent="0.3">
      <c r="A180" s="34" t="s">
        <v>176</v>
      </c>
      <c r="B180" s="36">
        <v>3061291.4347963664</v>
      </c>
    </row>
    <row r="181" spans="1:2" x14ac:dyDescent="0.3">
      <c r="A181" s="34" t="s">
        <v>177</v>
      </c>
      <c r="B181" s="36">
        <v>0</v>
      </c>
    </row>
    <row r="182" spans="1:2" x14ac:dyDescent="0.3">
      <c r="A182" s="34" t="s">
        <v>178</v>
      </c>
      <c r="B182" s="36">
        <v>15897520.846513186</v>
      </c>
    </row>
    <row r="183" spans="1:2" x14ac:dyDescent="0.3">
      <c r="A183" s="34" t="s">
        <v>179</v>
      </c>
      <c r="B183" s="36">
        <v>66773134.915271819</v>
      </c>
    </row>
    <row r="184" spans="1:2" x14ac:dyDescent="0.3">
      <c r="A184" s="34" t="s">
        <v>180</v>
      </c>
      <c r="B184" s="36">
        <v>964306661.90988922</v>
      </c>
    </row>
    <row r="185" spans="1:2" x14ac:dyDescent="0.3">
      <c r="A185" s="34" t="s">
        <v>181</v>
      </c>
      <c r="B185" s="36">
        <v>76255.565377963881</v>
      </c>
    </row>
    <row r="186" spans="1:2" x14ac:dyDescent="0.3">
      <c r="A186" s="34" t="s">
        <v>182</v>
      </c>
      <c r="B186" s="36">
        <v>2557680527.5547919</v>
      </c>
    </row>
    <row r="187" spans="1:2" x14ac:dyDescent="0.3">
      <c r="A187" s="34" t="s">
        <v>183</v>
      </c>
      <c r="B187" s="36">
        <v>16329509131.160147</v>
      </c>
    </row>
    <row r="188" spans="1:2" x14ac:dyDescent="0.3">
      <c r="A188" s="34" t="s">
        <v>184</v>
      </c>
      <c r="B188" s="36">
        <v>203207.83385516793</v>
      </c>
    </row>
    <row r="189" spans="1:2" x14ac:dyDescent="0.3">
      <c r="A189" s="34" t="s">
        <v>185</v>
      </c>
      <c r="B189" s="36">
        <v>156433.01482077703</v>
      </c>
    </row>
    <row r="190" spans="1:2" x14ac:dyDescent="0.3">
      <c r="A190" s="34" t="s">
        <v>186</v>
      </c>
      <c r="B190" s="36">
        <v>359093168.44852799</v>
      </c>
    </row>
    <row r="191" spans="1:2" x14ac:dyDescent="0.3">
      <c r="A191" s="34" t="s">
        <v>187</v>
      </c>
      <c r="B191" s="36">
        <v>0</v>
      </c>
    </row>
    <row r="192" spans="1:2" x14ac:dyDescent="0.3">
      <c r="A192" s="34" t="s">
        <v>188</v>
      </c>
      <c r="B192" s="36">
        <v>84632753.547685176</v>
      </c>
    </row>
    <row r="193" spans="1:2" x14ac:dyDescent="0.3">
      <c r="A193" s="34" t="s">
        <v>189</v>
      </c>
      <c r="B193" s="36">
        <v>0</v>
      </c>
    </row>
    <row r="194" spans="1:2" x14ac:dyDescent="0.3">
      <c r="A194" s="34" t="s">
        <v>190</v>
      </c>
      <c r="B194" s="36">
        <v>13336537411.866899</v>
      </c>
    </row>
    <row r="195" spans="1:2" x14ac:dyDescent="0.3">
      <c r="A195" s="34" t="s">
        <v>191</v>
      </c>
      <c r="B195" s="36">
        <v>43402789443.571449</v>
      </c>
    </row>
    <row r="196" spans="1:2" x14ac:dyDescent="0.3">
      <c r="A196" s="34" t="s">
        <v>192</v>
      </c>
      <c r="B196" s="36">
        <v>790266201.85191083</v>
      </c>
    </row>
    <row r="197" spans="1:2" x14ac:dyDescent="0.3">
      <c r="A197" s="34" t="s">
        <v>193</v>
      </c>
      <c r="B197" s="36">
        <v>6995981.5169281876</v>
      </c>
    </row>
    <row r="198" spans="1:2" x14ac:dyDescent="0.3">
      <c r="A198" s="34" t="s">
        <v>194</v>
      </c>
      <c r="B198" s="36">
        <v>47380415.262712553</v>
      </c>
    </row>
    <row r="199" spans="1:2" x14ac:dyDescent="0.3">
      <c r="A199" s="34" t="s">
        <v>195</v>
      </c>
      <c r="B199" s="36">
        <v>1638277719.07709</v>
      </c>
    </row>
    <row r="200" spans="1:2" x14ac:dyDescent="0.3">
      <c r="A200" s="34" t="s">
        <v>196</v>
      </c>
      <c r="B200" s="36">
        <v>0</v>
      </c>
    </row>
    <row r="201" spans="1:2" x14ac:dyDescent="0.3">
      <c r="A201" s="34" t="s">
        <v>197</v>
      </c>
      <c r="B201" s="36">
        <v>258791.9254585102</v>
      </c>
    </row>
    <row r="202" spans="1:2" x14ac:dyDescent="0.3">
      <c r="A202" s="34" t="s">
        <v>198</v>
      </c>
      <c r="B202" s="36">
        <v>209269.77890570095</v>
      </c>
    </row>
    <row r="203" spans="1:2" x14ac:dyDescent="0.3">
      <c r="A203" s="34" t="s">
        <v>199</v>
      </c>
      <c r="B203" s="36">
        <v>103646840.88745421</v>
      </c>
    </row>
    <row r="204" spans="1:2" x14ac:dyDescent="0.3">
      <c r="A204" s="34" t="s">
        <v>200</v>
      </c>
      <c r="B204" s="36">
        <v>1769901684.2762952</v>
      </c>
    </row>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1F471-EB9A-48BF-B83F-2888E04C493C}">
  <sheetPr codeName="Sheet8"/>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258</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310516197.64352447</v>
      </c>
    </row>
    <row r="6" spans="1:2" x14ac:dyDescent="0.3">
      <c r="A6" s="34" t="s">
        <v>2</v>
      </c>
      <c r="B6" s="36">
        <v>23255212307.975014</v>
      </c>
    </row>
    <row r="7" spans="1:2" x14ac:dyDescent="0.3">
      <c r="A7" s="34" t="s">
        <v>3</v>
      </c>
      <c r="B7" s="36">
        <v>28690428768.93644</v>
      </c>
    </row>
    <row r="8" spans="1:2" x14ac:dyDescent="0.3">
      <c r="A8" s="34" t="s">
        <v>4</v>
      </c>
      <c r="B8" s="36">
        <v>9520573.5084815789</v>
      </c>
    </row>
    <row r="9" spans="1:2" x14ac:dyDescent="0.3">
      <c r="A9" s="34" t="s">
        <v>5</v>
      </c>
      <c r="B9" s="36">
        <v>574553567.60241854</v>
      </c>
    </row>
    <row r="10" spans="1:2" x14ac:dyDescent="0.3">
      <c r="A10" s="34" t="s">
        <v>6</v>
      </c>
      <c r="B10" s="36">
        <v>2691369748.9515657</v>
      </c>
    </row>
    <row r="11" spans="1:2" x14ac:dyDescent="0.3">
      <c r="A11" s="34" t="s">
        <v>7</v>
      </c>
      <c r="B11" s="36">
        <v>0</v>
      </c>
    </row>
    <row r="12" spans="1:2" x14ac:dyDescent="0.3">
      <c r="A12" s="34" t="s">
        <v>8</v>
      </c>
      <c r="B12" s="36">
        <v>4152249.123015156</v>
      </c>
    </row>
    <row r="13" spans="1:2" x14ac:dyDescent="0.3">
      <c r="A13" s="34" t="s">
        <v>9</v>
      </c>
      <c r="B13" s="36">
        <v>18871711.135552753</v>
      </c>
    </row>
    <row r="14" spans="1:2" x14ac:dyDescent="0.3">
      <c r="A14" s="34" t="s">
        <v>10</v>
      </c>
      <c r="B14" s="36">
        <v>100591572982.13377</v>
      </c>
    </row>
    <row r="15" spans="1:2" x14ac:dyDescent="0.3">
      <c r="A15" s="34" t="s">
        <v>11</v>
      </c>
      <c r="B15" s="36">
        <v>2886197487.1172261</v>
      </c>
    </row>
    <row r="16" spans="1:2" x14ac:dyDescent="0.3">
      <c r="A16" s="34" t="s">
        <v>12</v>
      </c>
      <c r="B16" s="36">
        <v>592629877.89171386</v>
      </c>
    </row>
    <row r="17" spans="1:2" x14ac:dyDescent="0.3">
      <c r="A17" s="34" t="s">
        <v>13</v>
      </c>
      <c r="B17" s="36">
        <v>284154.39877691917</v>
      </c>
    </row>
    <row r="18" spans="1:2" x14ac:dyDescent="0.3">
      <c r="A18" s="34" t="s">
        <v>14</v>
      </c>
      <c r="B18" s="36">
        <v>420262447.91567969</v>
      </c>
    </row>
    <row r="19" spans="1:2" x14ac:dyDescent="0.3">
      <c r="A19" s="34" t="s">
        <v>15</v>
      </c>
      <c r="B19" s="36">
        <v>485936008.45562118</v>
      </c>
    </row>
    <row r="20" spans="1:2" x14ac:dyDescent="0.3">
      <c r="A20" s="34" t="s">
        <v>16</v>
      </c>
      <c r="B20" s="36">
        <v>5025483.2087181797</v>
      </c>
    </row>
    <row r="21" spans="1:2" x14ac:dyDescent="0.3">
      <c r="A21" s="34" t="s">
        <v>17</v>
      </c>
      <c r="B21" s="36">
        <v>0</v>
      </c>
    </row>
    <row r="22" spans="1:2" x14ac:dyDescent="0.3">
      <c r="A22" s="34" t="s">
        <v>18</v>
      </c>
      <c r="B22" s="36">
        <v>332558362.85420471</v>
      </c>
    </row>
    <row r="23" spans="1:2" x14ac:dyDescent="0.3">
      <c r="A23" s="34" t="s">
        <v>19</v>
      </c>
      <c r="B23" s="36">
        <v>51801153.113231659</v>
      </c>
    </row>
    <row r="24" spans="1:2" x14ac:dyDescent="0.3">
      <c r="A24" s="34" t="s">
        <v>20</v>
      </c>
      <c r="B24" s="36">
        <v>13234846342.343023</v>
      </c>
    </row>
    <row r="25" spans="1:2" x14ac:dyDescent="0.3">
      <c r="A25" s="34" t="s">
        <v>21</v>
      </c>
      <c r="B25" s="36">
        <v>9365529548.842514</v>
      </c>
    </row>
    <row r="26" spans="1:2" x14ac:dyDescent="0.3">
      <c r="A26" s="34" t="s">
        <v>22</v>
      </c>
      <c r="B26" s="36">
        <v>5368883822.2275295</v>
      </c>
    </row>
    <row r="27" spans="1:2" x14ac:dyDescent="0.3">
      <c r="A27" s="34" t="s">
        <v>23</v>
      </c>
      <c r="B27" s="36">
        <v>485902797.61651903</v>
      </c>
    </row>
    <row r="28" spans="1:2" x14ac:dyDescent="0.3">
      <c r="A28" s="34" t="s">
        <v>24</v>
      </c>
      <c r="B28" s="36">
        <v>359497994.73739481</v>
      </c>
    </row>
    <row r="29" spans="1:2" x14ac:dyDescent="0.3">
      <c r="A29" s="34" t="s">
        <v>25</v>
      </c>
      <c r="B29" s="36">
        <v>77987966017.695786</v>
      </c>
    </row>
    <row r="30" spans="1:2" x14ac:dyDescent="0.3">
      <c r="A30" s="34" t="s">
        <v>26</v>
      </c>
      <c r="B30" s="36">
        <v>220771698.67559966</v>
      </c>
    </row>
    <row r="31" spans="1:2" x14ac:dyDescent="0.3">
      <c r="A31" s="34" t="s">
        <v>27</v>
      </c>
      <c r="B31" s="36">
        <v>961891555.4358691</v>
      </c>
    </row>
    <row r="32" spans="1:2" x14ac:dyDescent="0.3">
      <c r="A32" s="34" t="s">
        <v>28</v>
      </c>
      <c r="B32" s="36">
        <v>2297927.7382276971</v>
      </c>
    </row>
    <row r="33" spans="1:2" x14ac:dyDescent="0.3">
      <c r="A33" s="34" t="s">
        <v>29</v>
      </c>
      <c r="B33" s="36">
        <v>1698620956.2271492</v>
      </c>
    </row>
    <row r="34" spans="1:2" x14ac:dyDescent="0.3">
      <c r="A34" s="34" t="s">
        <v>30</v>
      </c>
      <c r="B34" s="36">
        <v>0</v>
      </c>
    </row>
    <row r="35" spans="1:2" x14ac:dyDescent="0.3">
      <c r="A35" s="34" t="s">
        <v>31</v>
      </c>
      <c r="B35" s="36">
        <v>3226642756.9980907</v>
      </c>
    </row>
    <row r="36" spans="1:2" x14ac:dyDescent="0.3">
      <c r="A36" s="34" t="s">
        <v>32</v>
      </c>
      <c r="B36" s="36">
        <v>8078179943.1973524</v>
      </c>
    </row>
    <row r="37" spans="1:2" x14ac:dyDescent="0.3">
      <c r="A37" s="34" t="s">
        <v>33</v>
      </c>
      <c r="B37" s="36">
        <v>268683390.14287472</v>
      </c>
    </row>
    <row r="38" spans="1:2" x14ac:dyDescent="0.3">
      <c r="A38" s="34" t="s">
        <v>34</v>
      </c>
      <c r="B38" s="36">
        <v>9383204546.6137257</v>
      </c>
    </row>
    <row r="39" spans="1:2" x14ac:dyDescent="0.3">
      <c r="A39" s="34" t="s">
        <v>35</v>
      </c>
      <c r="B39" s="36">
        <v>7550397137.9934158</v>
      </c>
    </row>
    <row r="40" spans="1:2" x14ac:dyDescent="0.3">
      <c r="A40" s="34" t="s">
        <v>36</v>
      </c>
      <c r="B40" s="36">
        <v>218422472303.35385</v>
      </c>
    </row>
    <row r="41" spans="1:2" x14ac:dyDescent="0.3">
      <c r="A41" s="34" t="s">
        <v>37</v>
      </c>
      <c r="B41" s="36">
        <v>2591229928.705071</v>
      </c>
    </row>
    <row r="42" spans="1:2" x14ac:dyDescent="0.3">
      <c r="A42" s="34" t="s">
        <v>38</v>
      </c>
      <c r="B42" s="36">
        <v>0</v>
      </c>
    </row>
    <row r="43" spans="1:2" x14ac:dyDescent="0.3">
      <c r="A43" s="34" t="s">
        <v>39</v>
      </c>
      <c r="B43" s="36">
        <v>0</v>
      </c>
    </row>
    <row r="44" spans="1:2" x14ac:dyDescent="0.3">
      <c r="A44" s="34" t="s">
        <v>40</v>
      </c>
      <c r="B44" s="36">
        <v>1359065352.2697563</v>
      </c>
    </row>
    <row r="45" spans="1:2" x14ac:dyDescent="0.3">
      <c r="A45" s="34" t="s">
        <v>41</v>
      </c>
      <c r="B45" s="36">
        <v>36013156737.456444</v>
      </c>
    </row>
    <row r="46" spans="1:2" x14ac:dyDescent="0.3">
      <c r="A46" s="34" t="s">
        <v>42</v>
      </c>
      <c r="B46" s="36">
        <v>23661721.112870395</v>
      </c>
    </row>
    <row r="47" spans="1:2" x14ac:dyDescent="0.3">
      <c r="A47" s="34" t="s">
        <v>43</v>
      </c>
      <c r="B47" s="36">
        <v>33142432.526239779</v>
      </c>
    </row>
    <row r="48" spans="1:2" x14ac:dyDescent="0.3">
      <c r="A48" s="34" t="s">
        <v>44</v>
      </c>
      <c r="B48" s="36">
        <v>16609265498.583902</v>
      </c>
    </row>
    <row r="49" spans="1:2" x14ac:dyDescent="0.3">
      <c r="A49" s="34" t="s">
        <v>45</v>
      </c>
      <c r="B49" s="36">
        <v>10133734102.870649</v>
      </c>
    </row>
    <row r="50" spans="1:2" x14ac:dyDescent="0.3">
      <c r="A50" s="34" t="s">
        <v>46</v>
      </c>
      <c r="B50" s="36">
        <v>406438483.95280445</v>
      </c>
    </row>
    <row r="51" spans="1:2" x14ac:dyDescent="0.3">
      <c r="A51" s="34" t="s">
        <v>47</v>
      </c>
      <c r="B51" s="36">
        <v>358651677.3658269</v>
      </c>
    </row>
    <row r="52" spans="1:2" x14ac:dyDescent="0.3">
      <c r="A52" s="34" t="s">
        <v>48</v>
      </c>
      <c r="B52" s="36">
        <v>197631565.79903397</v>
      </c>
    </row>
    <row r="53" spans="1:2" x14ac:dyDescent="0.3">
      <c r="A53" s="34" t="s">
        <v>49</v>
      </c>
      <c r="B53" s="36">
        <v>35747039.720676638</v>
      </c>
    </row>
    <row r="54" spans="1:2" x14ac:dyDescent="0.3">
      <c r="A54" s="34" t="s">
        <v>50</v>
      </c>
      <c r="B54" s="36">
        <v>355747.31026767311</v>
      </c>
    </row>
    <row r="55" spans="1:2" x14ac:dyDescent="0.3">
      <c r="A55" s="34" t="s">
        <v>51</v>
      </c>
      <c r="B55" s="36">
        <v>14073.183577928196</v>
      </c>
    </row>
    <row r="56" spans="1:2" x14ac:dyDescent="0.3">
      <c r="A56" s="34" t="s">
        <v>52</v>
      </c>
      <c r="B56" s="36">
        <v>37158678.339190118</v>
      </c>
    </row>
    <row r="57" spans="1:2" x14ac:dyDescent="0.3">
      <c r="A57" s="34" t="s">
        <v>53</v>
      </c>
      <c r="B57" s="36">
        <v>306802.14559252548</v>
      </c>
    </row>
    <row r="58" spans="1:2" x14ac:dyDescent="0.3">
      <c r="A58" s="34" t="s">
        <v>54</v>
      </c>
      <c r="B58" s="36">
        <v>259057092.8168447</v>
      </c>
    </row>
    <row r="59" spans="1:2" x14ac:dyDescent="0.3">
      <c r="A59" s="34" t="s">
        <v>55</v>
      </c>
      <c r="B59" s="36">
        <v>0</v>
      </c>
    </row>
    <row r="60" spans="1:2" x14ac:dyDescent="0.3">
      <c r="A60" s="34" t="s">
        <v>56</v>
      </c>
      <c r="B60" s="36">
        <v>46871050702.47422</v>
      </c>
    </row>
    <row r="61" spans="1:2" x14ac:dyDescent="0.3">
      <c r="A61" s="34" t="s">
        <v>57</v>
      </c>
      <c r="B61" s="36">
        <v>3465507734.8000288</v>
      </c>
    </row>
    <row r="62" spans="1:2" x14ac:dyDescent="0.3">
      <c r="A62" s="34" t="s">
        <v>58</v>
      </c>
      <c r="B62" s="36">
        <v>1972581622.8517969</v>
      </c>
    </row>
    <row r="63" spans="1:2" x14ac:dyDescent="0.3">
      <c r="A63" s="34" t="s">
        <v>59</v>
      </c>
      <c r="B63" s="36">
        <v>4802315897.1128273</v>
      </c>
    </row>
    <row r="64" spans="1:2" x14ac:dyDescent="0.3">
      <c r="A64" s="34" t="s">
        <v>60</v>
      </c>
      <c r="B64" s="36">
        <v>5977810237.9473038</v>
      </c>
    </row>
    <row r="65" spans="1:2" x14ac:dyDescent="0.3">
      <c r="A65" s="34" t="s">
        <v>61</v>
      </c>
      <c r="B65" s="36">
        <v>3121511.149759118</v>
      </c>
    </row>
    <row r="66" spans="1:2" x14ac:dyDescent="0.3">
      <c r="A66" s="34" t="s">
        <v>62</v>
      </c>
      <c r="B66" s="36">
        <v>125658511.17605029</v>
      </c>
    </row>
    <row r="67" spans="1:2" x14ac:dyDescent="0.3">
      <c r="A67" s="34" t="s">
        <v>63</v>
      </c>
      <c r="B67" s="36">
        <v>36981866.268290564</v>
      </c>
    </row>
    <row r="68" spans="1:2" x14ac:dyDescent="0.3">
      <c r="A68" s="34" t="s">
        <v>64</v>
      </c>
      <c r="B68" s="36">
        <v>54900350.972910643</v>
      </c>
    </row>
    <row r="69" spans="1:2" x14ac:dyDescent="0.3">
      <c r="A69" s="34" t="s">
        <v>65</v>
      </c>
      <c r="B69" s="36">
        <v>273891444.20910019</v>
      </c>
    </row>
    <row r="70" spans="1:2" x14ac:dyDescent="0.3">
      <c r="A70" s="34" t="s">
        <v>66</v>
      </c>
      <c r="B70" s="36">
        <v>0</v>
      </c>
    </row>
    <row r="71" spans="1:2" x14ac:dyDescent="0.3">
      <c r="A71" s="34" t="s">
        <v>67</v>
      </c>
      <c r="B71" s="36">
        <v>24283412804.588287</v>
      </c>
    </row>
    <row r="72" spans="1:2" x14ac:dyDescent="0.3">
      <c r="A72" s="34" t="s">
        <v>68</v>
      </c>
      <c r="B72" s="36">
        <v>0</v>
      </c>
    </row>
    <row r="73" spans="1:2" x14ac:dyDescent="0.3">
      <c r="A73" s="34" t="s">
        <v>69</v>
      </c>
      <c r="B73" s="36">
        <v>18814.413109665478</v>
      </c>
    </row>
    <row r="74" spans="1:2" x14ac:dyDescent="0.3">
      <c r="A74" s="34" t="s">
        <v>70</v>
      </c>
      <c r="B74" s="36">
        <v>30288380174.739788</v>
      </c>
    </row>
    <row r="75" spans="1:2" x14ac:dyDescent="0.3">
      <c r="A75" s="34" t="s">
        <v>71</v>
      </c>
      <c r="B75" s="36">
        <v>0</v>
      </c>
    </row>
    <row r="76" spans="1:2" x14ac:dyDescent="0.3">
      <c r="A76" s="34" t="s">
        <v>72</v>
      </c>
      <c r="B76" s="36">
        <v>11728315103.488846</v>
      </c>
    </row>
    <row r="77" spans="1:2" x14ac:dyDescent="0.3">
      <c r="A77" s="34" t="s">
        <v>73</v>
      </c>
      <c r="B77" s="36">
        <v>2155693438.3364372</v>
      </c>
    </row>
    <row r="78" spans="1:2" x14ac:dyDescent="0.3">
      <c r="A78" s="34" t="s">
        <v>74</v>
      </c>
      <c r="B78" s="36">
        <v>12271442778.318096</v>
      </c>
    </row>
    <row r="79" spans="1:2" x14ac:dyDescent="0.3">
      <c r="A79" s="34" t="s">
        <v>75</v>
      </c>
      <c r="B79" s="36">
        <v>26069825554.727409</v>
      </c>
    </row>
    <row r="80" spans="1:2" x14ac:dyDescent="0.3">
      <c r="A80" s="34" t="s">
        <v>76</v>
      </c>
      <c r="B80" s="36">
        <v>33739576.045942277</v>
      </c>
    </row>
    <row r="81" spans="1:2" x14ac:dyDescent="0.3">
      <c r="A81" s="34" t="s">
        <v>77</v>
      </c>
      <c r="B81" s="36">
        <v>684560880.80262363</v>
      </c>
    </row>
    <row r="82" spans="1:2" x14ac:dyDescent="0.3">
      <c r="A82" s="34" t="s">
        <v>78</v>
      </c>
      <c r="B82" s="36">
        <v>1095614945.0594335</v>
      </c>
    </row>
    <row r="83" spans="1:2" x14ac:dyDescent="0.3">
      <c r="A83" s="34" t="s">
        <v>79</v>
      </c>
      <c r="B83" s="36">
        <v>113807058.68590732</v>
      </c>
    </row>
    <row r="84" spans="1:2" x14ac:dyDescent="0.3">
      <c r="A84" s="34" t="s">
        <v>80</v>
      </c>
      <c r="B84" s="36">
        <v>1935917.4029742747</v>
      </c>
    </row>
    <row r="85" spans="1:2" x14ac:dyDescent="0.3">
      <c r="A85" s="34" t="s">
        <v>81</v>
      </c>
      <c r="B85" s="36">
        <v>124757623.05996002</v>
      </c>
    </row>
    <row r="86" spans="1:2" x14ac:dyDescent="0.3">
      <c r="A86" s="34" t="s">
        <v>82</v>
      </c>
      <c r="B86" s="36">
        <v>23182792636.317196</v>
      </c>
    </row>
    <row r="87" spans="1:2" x14ac:dyDescent="0.3">
      <c r="A87" s="34" t="s">
        <v>83</v>
      </c>
      <c r="B87" s="36">
        <v>5283885349.4185324</v>
      </c>
    </row>
    <row r="88" spans="1:2" x14ac:dyDescent="0.3">
      <c r="A88" s="34" t="s">
        <v>84</v>
      </c>
      <c r="B88" s="36">
        <v>55367065.16535861</v>
      </c>
    </row>
    <row r="89" spans="1:2" x14ac:dyDescent="0.3">
      <c r="A89" s="34" t="s">
        <v>85</v>
      </c>
      <c r="B89" s="36">
        <v>7489383305.705719</v>
      </c>
    </row>
    <row r="90" spans="1:2" x14ac:dyDescent="0.3">
      <c r="A90" s="34" t="s">
        <v>86</v>
      </c>
      <c r="B90" s="36">
        <v>24488813.001317497</v>
      </c>
    </row>
    <row r="91" spans="1:2" x14ac:dyDescent="0.3">
      <c r="A91" s="34" t="s">
        <v>87</v>
      </c>
      <c r="B91" s="36">
        <v>10169076217.454029</v>
      </c>
    </row>
    <row r="92" spans="1:2" x14ac:dyDescent="0.3">
      <c r="A92" s="34" t="s">
        <v>88</v>
      </c>
      <c r="B92" s="36">
        <v>32821076.645775363</v>
      </c>
    </row>
    <row r="93" spans="1:2" x14ac:dyDescent="0.3">
      <c r="A93" s="34" t="s">
        <v>89</v>
      </c>
      <c r="B93" s="36">
        <v>387635690.28643578</v>
      </c>
    </row>
    <row r="94" spans="1:2" x14ac:dyDescent="0.3">
      <c r="A94" s="34" t="s">
        <v>90</v>
      </c>
      <c r="B94" s="36">
        <v>0</v>
      </c>
    </row>
    <row r="95" spans="1:2" x14ac:dyDescent="0.3">
      <c r="A95" s="34" t="s">
        <v>91</v>
      </c>
      <c r="B95" s="36">
        <v>0</v>
      </c>
    </row>
    <row r="96" spans="1:2" x14ac:dyDescent="0.3">
      <c r="A96" s="34" t="s">
        <v>92</v>
      </c>
      <c r="B96" s="36">
        <v>1343282343.4487457</v>
      </c>
    </row>
    <row r="97" spans="1:2" x14ac:dyDescent="0.3">
      <c r="A97" s="34" t="s">
        <v>93</v>
      </c>
      <c r="B97" s="36">
        <v>415334783.91662133</v>
      </c>
    </row>
    <row r="98" spans="1:2" x14ac:dyDescent="0.3">
      <c r="A98" s="34" t="s">
        <v>94</v>
      </c>
      <c r="B98" s="36">
        <v>4597647448.3502855</v>
      </c>
    </row>
    <row r="99" spans="1:2" x14ac:dyDescent="0.3">
      <c r="A99" s="34" t="s">
        <v>95</v>
      </c>
      <c r="B99" s="36">
        <v>298761959.58350098</v>
      </c>
    </row>
    <row r="100" spans="1:2" x14ac:dyDescent="0.3">
      <c r="A100" s="34" t="s">
        <v>96</v>
      </c>
      <c r="B100" s="36">
        <v>8263744735.9587841</v>
      </c>
    </row>
    <row r="101" spans="1:2" x14ac:dyDescent="0.3">
      <c r="A101" s="34" t="s">
        <v>97</v>
      </c>
      <c r="B101" s="36">
        <v>26223162734.618626</v>
      </c>
    </row>
    <row r="102" spans="1:2" x14ac:dyDescent="0.3">
      <c r="A102" s="34" t="s">
        <v>98</v>
      </c>
      <c r="B102" s="36">
        <v>504183654.68171704</v>
      </c>
    </row>
    <row r="103" spans="1:2" x14ac:dyDescent="0.3">
      <c r="A103" s="34" t="s">
        <v>99</v>
      </c>
      <c r="B103" s="36">
        <v>3796011851.7231312</v>
      </c>
    </row>
    <row r="104" spans="1:2" x14ac:dyDescent="0.3">
      <c r="A104" s="34" t="s">
        <v>100</v>
      </c>
      <c r="B104" s="36">
        <v>8461112379.82687</v>
      </c>
    </row>
    <row r="105" spans="1:2" x14ac:dyDescent="0.3">
      <c r="A105" s="34" t="s">
        <v>101</v>
      </c>
      <c r="B105" s="36">
        <v>49632274071.695908</v>
      </c>
    </row>
    <row r="106" spans="1:2" x14ac:dyDescent="0.3">
      <c r="A106" s="34" t="s">
        <v>102</v>
      </c>
      <c r="B106" s="36">
        <v>713600.35458665318</v>
      </c>
    </row>
    <row r="107" spans="1:2" x14ac:dyDescent="0.3">
      <c r="A107" s="34" t="s">
        <v>103</v>
      </c>
      <c r="B107" s="36">
        <v>607535699.96522748</v>
      </c>
    </row>
    <row r="108" spans="1:2" x14ac:dyDescent="0.3">
      <c r="A108" s="34" t="s">
        <v>104</v>
      </c>
      <c r="B108" s="36">
        <v>91920724.564028695</v>
      </c>
    </row>
    <row r="109" spans="1:2" x14ac:dyDescent="0.3">
      <c r="A109" s="34" t="s">
        <v>105</v>
      </c>
      <c r="B109" s="36">
        <v>30852386343.191292</v>
      </c>
    </row>
    <row r="110" spans="1:2" x14ac:dyDescent="0.3">
      <c r="A110" s="34" t="s">
        <v>106</v>
      </c>
      <c r="B110" s="36">
        <v>9696603059.4929905</v>
      </c>
    </row>
    <row r="111" spans="1:2" x14ac:dyDescent="0.3">
      <c r="A111" s="34" t="s">
        <v>107</v>
      </c>
      <c r="B111" s="36">
        <v>24668780.432618357</v>
      </c>
    </row>
    <row r="112" spans="1:2" x14ac:dyDescent="0.3">
      <c r="A112" s="34" t="s">
        <v>108</v>
      </c>
      <c r="B112" s="36">
        <v>54719553916.663795</v>
      </c>
    </row>
    <row r="113" spans="1:2" x14ac:dyDescent="0.3">
      <c r="A113" s="34" t="s">
        <v>109</v>
      </c>
      <c r="B113" s="36">
        <v>30856.747242083529</v>
      </c>
    </row>
    <row r="114" spans="1:2" x14ac:dyDescent="0.3">
      <c r="A114" s="34" t="s">
        <v>110</v>
      </c>
      <c r="B114" s="36">
        <v>34765.419737897428</v>
      </c>
    </row>
    <row r="115" spans="1:2" x14ac:dyDescent="0.3">
      <c r="A115" s="34" t="s">
        <v>111</v>
      </c>
      <c r="B115" s="36">
        <v>19382260707.506287</v>
      </c>
    </row>
    <row r="116" spans="1:2" x14ac:dyDescent="0.3">
      <c r="A116" s="34" t="s">
        <v>112</v>
      </c>
      <c r="B116" s="36">
        <v>14297936007.506178</v>
      </c>
    </row>
    <row r="117" spans="1:2" x14ac:dyDescent="0.3">
      <c r="A117" s="34" t="s">
        <v>113</v>
      </c>
      <c r="B117" s="36">
        <v>2881583.6883947784</v>
      </c>
    </row>
    <row r="118" spans="1:2" x14ac:dyDescent="0.3">
      <c r="A118" s="34" t="s">
        <v>114</v>
      </c>
      <c r="B118" s="36">
        <v>9804042616.8085709</v>
      </c>
    </row>
    <row r="119" spans="1:2" x14ac:dyDescent="0.3">
      <c r="A119" s="34" t="s">
        <v>115</v>
      </c>
      <c r="B119" s="36">
        <v>8527703648.7326698</v>
      </c>
    </row>
    <row r="120" spans="1:2" x14ac:dyDescent="0.3">
      <c r="A120" s="34" t="s">
        <v>116</v>
      </c>
      <c r="B120" s="36">
        <v>431485053.52950913</v>
      </c>
    </row>
    <row r="121" spans="1:2" x14ac:dyDescent="0.3">
      <c r="A121" s="34" t="s">
        <v>117</v>
      </c>
      <c r="B121" s="36">
        <v>9852564593.6298084</v>
      </c>
    </row>
    <row r="122" spans="1:2" x14ac:dyDescent="0.3">
      <c r="A122" s="34" t="s">
        <v>118</v>
      </c>
      <c r="B122" s="36">
        <v>138005862.03187844</v>
      </c>
    </row>
    <row r="123" spans="1:2" x14ac:dyDescent="0.3">
      <c r="A123" s="34" t="s">
        <v>119</v>
      </c>
      <c r="B123" s="36">
        <v>17796.840223080049</v>
      </c>
    </row>
    <row r="124" spans="1:2" x14ac:dyDescent="0.3">
      <c r="A124" s="34" t="s">
        <v>120</v>
      </c>
      <c r="B124" s="36">
        <v>10851433146.614788</v>
      </c>
    </row>
    <row r="125" spans="1:2" x14ac:dyDescent="0.3">
      <c r="A125" s="34" t="s">
        <v>121</v>
      </c>
      <c r="B125" s="36">
        <v>203144026.25509465</v>
      </c>
    </row>
    <row r="126" spans="1:2" x14ac:dyDescent="0.3">
      <c r="A126" s="34" t="s">
        <v>122</v>
      </c>
      <c r="B126" s="36">
        <v>6091015154.2740469</v>
      </c>
    </row>
    <row r="127" spans="1:2" x14ac:dyDescent="0.3">
      <c r="A127" s="34" t="s">
        <v>123</v>
      </c>
      <c r="B127" s="36">
        <v>256159.47282817887</v>
      </c>
    </row>
    <row r="128" spans="1:2" x14ac:dyDescent="0.3">
      <c r="A128" s="34" t="s">
        <v>124</v>
      </c>
      <c r="B128" s="36">
        <v>17654456.211368263</v>
      </c>
    </row>
    <row r="129" spans="1:2" x14ac:dyDescent="0.3">
      <c r="A129" s="34" t="s">
        <v>125</v>
      </c>
      <c r="B129" s="36">
        <v>397532.55103650526</v>
      </c>
    </row>
    <row r="130" spans="1:2" x14ac:dyDescent="0.3">
      <c r="A130" s="34" t="s">
        <v>126</v>
      </c>
      <c r="B130" s="36">
        <v>35205910.982717395</v>
      </c>
    </row>
    <row r="131" spans="1:2" x14ac:dyDescent="0.3">
      <c r="A131" s="34" t="s">
        <v>127</v>
      </c>
      <c r="B131" s="36">
        <v>169854130.03023872</v>
      </c>
    </row>
    <row r="132" spans="1:2" x14ac:dyDescent="0.3">
      <c r="A132" s="34" t="s">
        <v>128</v>
      </c>
      <c r="B132" s="36">
        <v>21464111.395216569</v>
      </c>
    </row>
    <row r="133" spans="1:2" x14ac:dyDescent="0.3">
      <c r="A133" s="34" t="s">
        <v>129</v>
      </c>
      <c r="B133" s="36">
        <v>22937311.418066014</v>
      </c>
    </row>
    <row r="134" spans="1:2" x14ac:dyDescent="0.3">
      <c r="A134" s="34" t="s">
        <v>130</v>
      </c>
      <c r="B134" s="36">
        <v>464587235.99817342</v>
      </c>
    </row>
    <row r="135" spans="1:2" x14ac:dyDescent="0.3">
      <c r="A135" s="34" t="s">
        <v>131</v>
      </c>
      <c r="B135" s="36">
        <v>7007892.1003120309</v>
      </c>
    </row>
    <row r="136" spans="1:2" x14ac:dyDescent="0.3">
      <c r="A136" s="34" t="s">
        <v>132</v>
      </c>
      <c r="B136" s="36">
        <v>408632182.33571732</v>
      </c>
    </row>
    <row r="137" spans="1:2" x14ac:dyDescent="0.3">
      <c r="A137" s="34" t="s">
        <v>133</v>
      </c>
      <c r="B137" s="36">
        <v>16682765.21753837</v>
      </c>
    </row>
    <row r="138" spans="1:2" x14ac:dyDescent="0.3">
      <c r="A138" s="34" t="s">
        <v>134</v>
      </c>
      <c r="B138" s="36">
        <v>5520606.9678953383</v>
      </c>
    </row>
    <row r="139" spans="1:2" x14ac:dyDescent="0.3">
      <c r="A139" s="34" t="s">
        <v>135</v>
      </c>
      <c r="B139" s="36">
        <v>6194110195.6678038</v>
      </c>
    </row>
    <row r="140" spans="1:2" x14ac:dyDescent="0.3">
      <c r="A140" s="34" t="s">
        <v>136</v>
      </c>
      <c r="B140" s="36">
        <v>2352512627.9519501</v>
      </c>
    </row>
    <row r="141" spans="1:2" x14ac:dyDescent="0.3">
      <c r="A141" s="34" t="s">
        <v>137</v>
      </c>
      <c r="B141" s="36">
        <v>130430580.78989218</v>
      </c>
    </row>
    <row r="142" spans="1:2" x14ac:dyDescent="0.3">
      <c r="A142" s="34" t="s">
        <v>138</v>
      </c>
      <c r="B142" s="36">
        <v>645470781.9313333</v>
      </c>
    </row>
    <row r="143" spans="1:2" x14ac:dyDescent="0.3">
      <c r="A143" s="34" t="s">
        <v>139</v>
      </c>
      <c r="B143" s="36">
        <v>1019768386.2750816</v>
      </c>
    </row>
    <row r="144" spans="1:2" x14ac:dyDescent="0.3">
      <c r="A144" s="34" t="s">
        <v>140</v>
      </c>
      <c r="B144" s="36">
        <v>1665179868.06513</v>
      </c>
    </row>
    <row r="145" spans="1:2" x14ac:dyDescent="0.3">
      <c r="A145" s="34" t="s">
        <v>141</v>
      </c>
      <c r="B145" s="36">
        <v>4431920790.5682669</v>
      </c>
    </row>
    <row r="146" spans="1:2" x14ac:dyDescent="0.3">
      <c r="A146" s="34" t="s">
        <v>142</v>
      </c>
      <c r="B146" s="36">
        <v>659667322.95853043</v>
      </c>
    </row>
    <row r="147" spans="1:2" x14ac:dyDescent="0.3">
      <c r="A147" s="34" t="s">
        <v>143</v>
      </c>
      <c r="B147" s="36">
        <v>1001291645.596043</v>
      </c>
    </row>
    <row r="148" spans="1:2" x14ac:dyDescent="0.3">
      <c r="A148" s="34" t="s">
        <v>144</v>
      </c>
      <c r="B148" s="36">
        <v>5481818975.9539099</v>
      </c>
    </row>
    <row r="149" spans="1:2" x14ac:dyDescent="0.3">
      <c r="A149" s="34" t="s">
        <v>145</v>
      </c>
      <c r="B149" s="36">
        <v>45355700.732670955</v>
      </c>
    </row>
    <row r="150" spans="1:2" x14ac:dyDescent="0.3">
      <c r="A150" s="34" t="s">
        <v>146</v>
      </c>
      <c r="B150" s="36">
        <v>666633277.11693048</v>
      </c>
    </row>
    <row r="151" spans="1:2" x14ac:dyDescent="0.3">
      <c r="A151" s="34" t="s">
        <v>147</v>
      </c>
      <c r="B151" s="36">
        <v>3068257065.5632324</v>
      </c>
    </row>
    <row r="152" spans="1:2" x14ac:dyDescent="0.3">
      <c r="A152" s="34" t="s">
        <v>148</v>
      </c>
      <c r="B152" s="36">
        <v>2042603486.890141</v>
      </c>
    </row>
    <row r="153" spans="1:2" x14ac:dyDescent="0.3">
      <c r="A153" s="34" t="s">
        <v>149</v>
      </c>
      <c r="B153" s="36">
        <v>4048679963.718924</v>
      </c>
    </row>
    <row r="154" spans="1:2" x14ac:dyDescent="0.3">
      <c r="A154" s="34" t="s">
        <v>150</v>
      </c>
      <c r="B154" s="36">
        <v>4278724588.2300172</v>
      </c>
    </row>
    <row r="155" spans="1:2" x14ac:dyDescent="0.3">
      <c r="A155" s="34" t="s">
        <v>151</v>
      </c>
      <c r="B155" s="36">
        <v>0</v>
      </c>
    </row>
    <row r="156" spans="1:2" x14ac:dyDescent="0.3">
      <c r="A156" s="34" t="s">
        <v>152</v>
      </c>
      <c r="B156" s="36">
        <v>4342807665.1335983</v>
      </c>
    </row>
    <row r="157" spans="1:2" x14ac:dyDescent="0.3">
      <c r="A157" s="34" t="s">
        <v>153</v>
      </c>
      <c r="B157" s="36">
        <v>1096157779.1268687</v>
      </c>
    </row>
    <row r="158" spans="1:2" x14ac:dyDescent="0.3">
      <c r="A158" s="34" t="s">
        <v>154</v>
      </c>
      <c r="B158" s="36">
        <v>3782564.2569738873</v>
      </c>
    </row>
    <row r="159" spans="1:2" x14ac:dyDescent="0.3">
      <c r="A159" s="34" t="s">
        <v>155</v>
      </c>
      <c r="B159" s="36">
        <v>3888334.6757426434</v>
      </c>
    </row>
    <row r="160" spans="1:2" x14ac:dyDescent="0.3">
      <c r="A160" s="34" t="s">
        <v>156</v>
      </c>
      <c r="B160" s="36">
        <v>260212230.18565184</v>
      </c>
    </row>
    <row r="161" spans="1:2" x14ac:dyDescent="0.3">
      <c r="A161" s="34" t="s">
        <v>157</v>
      </c>
      <c r="B161" s="36">
        <v>3487162063.4117198</v>
      </c>
    </row>
    <row r="162" spans="1:2" x14ac:dyDescent="0.3">
      <c r="A162" s="34" t="s">
        <v>158</v>
      </c>
      <c r="B162" s="36">
        <v>4528988424.4656429</v>
      </c>
    </row>
    <row r="163" spans="1:2" x14ac:dyDescent="0.3">
      <c r="A163" s="34" t="s">
        <v>159</v>
      </c>
      <c r="B163" s="36">
        <v>379040139.53448492</v>
      </c>
    </row>
    <row r="164" spans="1:2" x14ac:dyDescent="0.3">
      <c r="A164" s="34" t="s">
        <v>160</v>
      </c>
      <c r="B164" s="36">
        <v>35661783258.320404</v>
      </c>
    </row>
    <row r="165" spans="1:2" x14ac:dyDescent="0.3">
      <c r="A165" s="34" t="s">
        <v>161</v>
      </c>
      <c r="B165" s="36">
        <v>1707277589.7049408</v>
      </c>
    </row>
    <row r="166" spans="1:2" x14ac:dyDescent="0.3">
      <c r="A166" s="34" t="s">
        <v>162</v>
      </c>
      <c r="B166" s="36">
        <v>219984912.51143399</v>
      </c>
    </row>
    <row r="167" spans="1:2" x14ac:dyDescent="0.3">
      <c r="A167" s="34" t="s">
        <v>163</v>
      </c>
      <c r="B167" s="36">
        <v>100208412700.98203</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663269081.6421361</v>
      </c>
    </row>
    <row r="180" spans="1:2" x14ac:dyDescent="0.3">
      <c r="A180" s="34" t="s">
        <v>176</v>
      </c>
      <c r="B180" s="36">
        <v>50218230.329449534</v>
      </c>
    </row>
    <row r="181" spans="1:2" x14ac:dyDescent="0.3">
      <c r="A181" s="34" t="s">
        <v>177</v>
      </c>
      <c r="B181" s="36">
        <v>0</v>
      </c>
    </row>
    <row r="182" spans="1:2" x14ac:dyDescent="0.3">
      <c r="A182" s="34" t="s">
        <v>178</v>
      </c>
      <c r="B182" s="36">
        <v>48490148.916193247</v>
      </c>
    </row>
    <row r="183" spans="1:2" x14ac:dyDescent="0.3">
      <c r="A183" s="34" t="s">
        <v>179</v>
      </c>
      <c r="B183" s="36">
        <v>175689112.57270998</v>
      </c>
    </row>
    <row r="184" spans="1:2" x14ac:dyDescent="0.3">
      <c r="A184" s="34" t="s">
        <v>180</v>
      </c>
      <c r="B184" s="36">
        <v>674601855.65914488</v>
      </c>
    </row>
    <row r="185" spans="1:2" x14ac:dyDescent="0.3">
      <c r="A185" s="34" t="s">
        <v>181</v>
      </c>
      <c r="B185" s="36">
        <v>1067906.441584514</v>
      </c>
    </row>
    <row r="186" spans="1:2" x14ac:dyDescent="0.3">
      <c r="A186" s="34" t="s">
        <v>182</v>
      </c>
      <c r="B186" s="36">
        <v>6964189622.4111509</v>
      </c>
    </row>
    <row r="187" spans="1:2" x14ac:dyDescent="0.3">
      <c r="A187" s="34" t="s">
        <v>183</v>
      </c>
      <c r="B187" s="36">
        <v>12485740510.123882</v>
      </c>
    </row>
    <row r="188" spans="1:2" x14ac:dyDescent="0.3">
      <c r="A188" s="34" t="s">
        <v>184</v>
      </c>
      <c r="B188" s="36">
        <v>7114953.2486492451</v>
      </c>
    </row>
    <row r="189" spans="1:2" x14ac:dyDescent="0.3">
      <c r="A189" s="34" t="s">
        <v>185</v>
      </c>
      <c r="B189" s="36">
        <v>2788400.1966151353</v>
      </c>
    </row>
    <row r="190" spans="1:2" x14ac:dyDescent="0.3">
      <c r="A190" s="34" t="s">
        <v>186</v>
      </c>
      <c r="B190" s="36">
        <v>156550301.77783579</v>
      </c>
    </row>
    <row r="191" spans="1:2" x14ac:dyDescent="0.3">
      <c r="A191" s="34" t="s">
        <v>187</v>
      </c>
      <c r="B191" s="36">
        <v>0</v>
      </c>
    </row>
    <row r="192" spans="1:2" x14ac:dyDescent="0.3">
      <c r="A192" s="34" t="s">
        <v>188</v>
      </c>
      <c r="B192" s="36">
        <v>11869587945.962896</v>
      </c>
    </row>
    <row r="193" spans="1:2" x14ac:dyDescent="0.3">
      <c r="A193" s="34" t="s">
        <v>189</v>
      </c>
      <c r="B193" s="36">
        <v>0</v>
      </c>
    </row>
    <row r="194" spans="1:2" x14ac:dyDescent="0.3">
      <c r="A194" s="34" t="s">
        <v>190</v>
      </c>
      <c r="B194" s="36">
        <v>9916910037.4017067</v>
      </c>
    </row>
    <row r="195" spans="1:2" x14ac:dyDescent="0.3">
      <c r="A195" s="34" t="s">
        <v>191</v>
      </c>
      <c r="B195" s="36">
        <v>6007802358.6505842</v>
      </c>
    </row>
    <row r="196" spans="1:2" x14ac:dyDescent="0.3">
      <c r="A196" s="34" t="s">
        <v>192</v>
      </c>
      <c r="B196" s="36">
        <v>1996233013.1513383</v>
      </c>
    </row>
    <row r="197" spans="1:2" x14ac:dyDescent="0.3">
      <c r="A197" s="34" t="s">
        <v>193</v>
      </c>
      <c r="B197" s="36">
        <v>85798323.516691789</v>
      </c>
    </row>
    <row r="198" spans="1:2" x14ac:dyDescent="0.3">
      <c r="A198" s="34" t="s">
        <v>194</v>
      </c>
      <c r="B198" s="36">
        <v>7784367752.6921759</v>
      </c>
    </row>
    <row r="199" spans="1:2" x14ac:dyDescent="0.3">
      <c r="A199" s="34" t="s">
        <v>195</v>
      </c>
      <c r="B199" s="36">
        <v>13972265797.192354</v>
      </c>
    </row>
    <row r="200" spans="1:2" x14ac:dyDescent="0.3">
      <c r="A200" s="34" t="s">
        <v>196</v>
      </c>
      <c r="B200" s="36">
        <v>0</v>
      </c>
    </row>
    <row r="201" spans="1:2" x14ac:dyDescent="0.3">
      <c r="A201" s="34" t="s">
        <v>197</v>
      </c>
      <c r="B201" s="36">
        <v>19596500.178080939</v>
      </c>
    </row>
    <row r="202" spans="1:2" x14ac:dyDescent="0.3">
      <c r="A202" s="34" t="s">
        <v>198</v>
      </c>
      <c r="B202" s="36">
        <v>4371770.9933877699</v>
      </c>
    </row>
    <row r="203" spans="1:2" x14ac:dyDescent="0.3">
      <c r="A203" s="34" t="s">
        <v>199</v>
      </c>
      <c r="B203" s="36">
        <v>373788810.88160378</v>
      </c>
    </row>
    <row r="204" spans="1:2" x14ac:dyDescent="0.3">
      <c r="A204" s="34" t="s">
        <v>200</v>
      </c>
      <c r="B204" s="36">
        <v>10485022844.701454</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CFF49-908A-4BAC-B33F-CCC3840F4FEC}">
  <sheetPr codeName="Sheet9"/>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259</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176970464.08079711</v>
      </c>
    </row>
    <row r="6" spans="1:2" x14ac:dyDescent="0.3">
      <c r="A6" s="34" t="s">
        <v>2</v>
      </c>
      <c r="B6" s="36">
        <v>87382105306.737564</v>
      </c>
    </row>
    <row r="7" spans="1:2" x14ac:dyDescent="0.3">
      <c r="A7" s="34" t="s">
        <v>3</v>
      </c>
      <c r="B7" s="36">
        <v>3305469401.7575884</v>
      </c>
    </row>
    <row r="8" spans="1:2" x14ac:dyDescent="0.3">
      <c r="A8" s="34" t="s">
        <v>4</v>
      </c>
      <c r="B8" s="36">
        <v>1384348.7518199603</v>
      </c>
    </row>
    <row r="9" spans="1:2" x14ac:dyDescent="0.3">
      <c r="A9" s="34" t="s">
        <v>5</v>
      </c>
      <c r="B9" s="36">
        <v>3072485782.0001183</v>
      </c>
    </row>
    <row r="10" spans="1:2" x14ac:dyDescent="0.3">
      <c r="A10" s="34" t="s">
        <v>6</v>
      </c>
      <c r="B10" s="36">
        <v>12678936.499840736</v>
      </c>
    </row>
    <row r="11" spans="1:2" x14ac:dyDescent="0.3">
      <c r="A11" s="34" t="s">
        <v>7</v>
      </c>
      <c r="B11" s="36">
        <v>0</v>
      </c>
    </row>
    <row r="12" spans="1:2" x14ac:dyDescent="0.3">
      <c r="A12" s="34" t="s">
        <v>8</v>
      </c>
      <c r="B12" s="36">
        <v>72881.588390798323</v>
      </c>
    </row>
    <row r="13" spans="1:2" x14ac:dyDescent="0.3">
      <c r="A13" s="34" t="s">
        <v>9</v>
      </c>
      <c r="B13" s="36">
        <v>577174548.84674454</v>
      </c>
    </row>
    <row r="14" spans="1:2" x14ac:dyDescent="0.3">
      <c r="A14" s="34" t="s">
        <v>10</v>
      </c>
      <c r="B14" s="36">
        <v>6580886426.631855</v>
      </c>
    </row>
    <row r="15" spans="1:2" x14ac:dyDescent="0.3">
      <c r="A15" s="34" t="s">
        <v>11</v>
      </c>
      <c r="B15" s="36">
        <v>30879893116.447895</v>
      </c>
    </row>
    <row r="16" spans="1:2" x14ac:dyDescent="0.3">
      <c r="A16" s="34" t="s">
        <v>12</v>
      </c>
      <c r="B16" s="36">
        <v>4165046487.9016676</v>
      </c>
    </row>
    <row r="17" spans="1:2" x14ac:dyDescent="0.3">
      <c r="A17" s="34" t="s">
        <v>13</v>
      </c>
      <c r="B17" s="36">
        <v>14839407.22831222</v>
      </c>
    </row>
    <row r="18" spans="1:2" x14ac:dyDescent="0.3">
      <c r="A18" s="34" t="s">
        <v>14</v>
      </c>
      <c r="B18" s="36">
        <v>2694290856.6611094</v>
      </c>
    </row>
    <row r="19" spans="1:2" x14ac:dyDescent="0.3">
      <c r="A19" s="34" t="s">
        <v>15</v>
      </c>
      <c r="B19" s="36">
        <v>89586927.811488286</v>
      </c>
    </row>
    <row r="20" spans="1:2" x14ac:dyDescent="0.3">
      <c r="A20" s="34" t="s">
        <v>16</v>
      </c>
      <c r="B20" s="36">
        <v>43037349.595282055</v>
      </c>
    </row>
    <row r="21" spans="1:2" x14ac:dyDescent="0.3">
      <c r="A21" s="34" t="s">
        <v>17</v>
      </c>
      <c r="B21" s="36">
        <v>0</v>
      </c>
    </row>
    <row r="22" spans="1:2" x14ac:dyDescent="0.3">
      <c r="A22" s="34" t="s">
        <v>18</v>
      </c>
      <c r="B22" s="36">
        <v>1222823764.0423677</v>
      </c>
    </row>
    <row r="23" spans="1:2" x14ac:dyDescent="0.3">
      <c r="A23" s="34" t="s">
        <v>19</v>
      </c>
      <c r="B23" s="36">
        <v>21328080807.863388</v>
      </c>
    </row>
    <row r="24" spans="1:2" x14ac:dyDescent="0.3">
      <c r="A24" s="34" t="s">
        <v>20</v>
      </c>
      <c r="B24" s="36">
        <v>7640052607.914587</v>
      </c>
    </row>
    <row r="25" spans="1:2" x14ac:dyDescent="0.3">
      <c r="A25" s="34" t="s">
        <v>21</v>
      </c>
      <c r="B25" s="36">
        <v>5791665257.3165436</v>
      </c>
    </row>
    <row r="26" spans="1:2" x14ac:dyDescent="0.3">
      <c r="A26" s="34" t="s">
        <v>22</v>
      </c>
      <c r="B26" s="36">
        <v>6115420117.1572018</v>
      </c>
    </row>
    <row r="27" spans="1:2" x14ac:dyDescent="0.3">
      <c r="A27" s="34" t="s">
        <v>23</v>
      </c>
      <c r="B27" s="36">
        <v>70793897.22091721</v>
      </c>
    </row>
    <row r="28" spans="1:2" x14ac:dyDescent="0.3">
      <c r="A28" s="34" t="s">
        <v>24</v>
      </c>
      <c r="B28" s="36">
        <v>400677575.80885541</v>
      </c>
    </row>
    <row r="29" spans="1:2" x14ac:dyDescent="0.3">
      <c r="A29" s="34" t="s">
        <v>25</v>
      </c>
      <c r="B29" s="36">
        <v>35832447357.165359</v>
      </c>
    </row>
    <row r="30" spans="1:2" x14ac:dyDescent="0.3">
      <c r="A30" s="34" t="s">
        <v>26</v>
      </c>
      <c r="B30" s="36">
        <v>156946875.64491671</v>
      </c>
    </row>
    <row r="31" spans="1:2" x14ac:dyDescent="0.3">
      <c r="A31" s="34" t="s">
        <v>27</v>
      </c>
      <c r="B31" s="36">
        <v>1269004970.0881994</v>
      </c>
    </row>
    <row r="32" spans="1:2" x14ac:dyDescent="0.3">
      <c r="A32" s="34" t="s">
        <v>28</v>
      </c>
      <c r="B32" s="36">
        <v>80052452.900128111</v>
      </c>
    </row>
    <row r="33" spans="1:2" x14ac:dyDescent="0.3">
      <c r="A33" s="34" t="s">
        <v>29</v>
      </c>
      <c r="B33" s="36">
        <v>728574057.43001807</v>
      </c>
    </row>
    <row r="34" spans="1:2" x14ac:dyDescent="0.3">
      <c r="A34" s="34" t="s">
        <v>30</v>
      </c>
      <c r="B34" s="36">
        <v>7690621492.4664927</v>
      </c>
    </row>
    <row r="35" spans="1:2" x14ac:dyDescent="0.3">
      <c r="A35" s="34" t="s">
        <v>31</v>
      </c>
      <c r="B35" s="36">
        <v>26429855763.723576</v>
      </c>
    </row>
    <row r="36" spans="1:2" x14ac:dyDescent="0.3">
      <c r="A36" s="34" t="s">
        <v>32</v>
      </c>
      <c r="B36" s="36">
        <v>419482650526.82281</v>
      </c>
    </row>
    <row r="37" spans="1:2" x14ac:dyDescent="0.3">
      <c r="A37" s="34" t="s">
        <v>33</v>
      </c>
      <c r="B37" s="36">
        <v>15441740.31757565</v>
      </c>
    </row>
    <row r="38" spans="1:2" x14ac:dyDescent="0.3">
      <c r="A38" s="34" t="s">
        <v>34</v>
      </c>
      <c r="B38" s="36">
        <v>1909385809.433506</v>
      </c>
    </row>
    <row r="39" spans="1:2" x14ac:dyDescent="0.3">
      <c r="A39" s="34" t="s">
        <v>35</v>
      </c>
      <c r="B39" s="36">
        <v>1711494056.7179687</v>
      </c>
    </row>
    <row r="40" spans="1:2" x14ac:dyDescent="0.3">
      <c r="A40" s="34" t="s">
        <v>36</v>
      </c>
      <c r="B40" s="36">
        <v>3681709611.1333156</v>
      </c>
    </row>
    <row r="41" spans="1:2" x14ac:dyDescent="0.3">
      <c r="A41" s="34" t="s">
        <v>37</v>
      </c>
      <c r="B41" s="36">
        <v>93450319288.432968</v>
      </c>
    </row>
    <row r="42" spans="1:2" x14ac:dyDescent="0.3">
      <c r="A42" s="34" t="s">
        <v>38</v>
      </c>
      <c r="B42" s="36">
        <v>33561376410.921688</v>
      </c>
    </row>
    <row r="43" spans="1:2" x14ac:dyDescent="0.3">
      <c r="A43" s="34" t="s">
        <v>39</v>
      </c>
      <c r="B43" s="36">
        <v>36906147236.118614</v>
      </c>
    </row>
    <row r="44" spans="1:2" x14ac:dyDescent="0.3">
      <c r="A44" s="34" t="s">
        <v>40</v>
      </c>
      <c r="B44" s="36">
        <v>40389432521.786591</v>
      </c>
    </row>
    <row r="45" spans="1:2" x14ac:dyDescent="0.3">
      <c r="A45" s="34" t="s">
        <v>41</v>
      </c>
      <c r="B45" s="36">
        <v>942626170.17861795</v>
      </c>
    </row>
    <row r="46" spans="1:2" x14ac:dyDescent="0.3">
      <c r="A46" s="34" t="s">
        <v>42</v>
      </c>
      <c r="B46" s="36">
        <v>11455035.659437459</v>
      </c>
    </row>
    <row r="47" spans="1:2" x14ac:dyDescent="0.3">
      <c r="A47" s="34" t="s">
        <v>43</v>
      </c>
      <c r="B47" s="36">
        <v>1813764418.652015</v>
      </c>
    </row>
    <row r="48" spans="1:2" x14ac:dyDescent="0.3">
      <c r="A48" s="34" t="s">
        <v>44</v>
      </c>
      <c r="B48" s="36">
        <v>111224752588.56972</v>
      </c>
    </row>
    <row r="49" spans="1:2" x14ac:dyDescent="0.3">
      <c r="A49" s="34" t="s">
        <v>45</v>
      </c>
      <c r="B49" s="36">
        <v>57171870837.53553</v>
      </c>
    </row>
    <row r="50" spans="1:2" x14ac:dyDescent="0.3">
      <c r="A50" s="34" t="s">
        <v>46</v>
      </c>
      <c r="B50" s="36">
        <v>812914680.4233191</v>
      </c>
    </row>
    <row r="51" spans="1:2" x14ac:dyDescent="0.3">
      <c r="A51" s="34" t="s">
        <v>47</v>
      </c>
      <c r="B51" s="36">
        <v>4564077249.0656948</v>
      </c>
    </row>
    <row r="52" spans="1:2" x14ac:dyDescent="0.3">
      <c r="A52" s="34" t="s">
        <v>48</v>
      </c>
      <c r="B52" s="36">
        <v>6430548410.3391333</v>
      </c>
    </row>
    <row r="53" spans="1:2" x14ac:dyDescent="0.3">
      <c r="A53" s="34" t="s">
        <v>49</v>
      </c>
      <c r="B53" s="36">
        <v>248931002.21682054</v>
      </c>
    </row>
    <row r="54" spans="1:2" x14ac:dyDescent="0.3">
      <c r="A54" s="34" t="s">
        <v>50</v>
      </c>
      <c r="B54" s="36">
        <v>4245956.6279182043</v>
      </c>
    </row>
    <row r="55" spans="1:2" x14ac:dyDescent="0.3">
      <c r="A55" s="34" t="s">
        <v>51</v>
      </c>
      <c r="B55" s="36">
        <v>2867376.9465601714</v>
      </c>
    </row>
    <row r="56" spans="1:2" x14ac:dyDescent="0.3">
      <c r="A56" s="34" t="s">
        <v>52</v>
      </c>
      <c r="B56" s="36">
        <v>1070459390.2821681</v>
      </c>
    </row>
    <row r="57" spans="1:2" x14ac:dyDescent="0.3">
      <c r="A57" s="34" t="s">
        <v>53</v>
      </c>
      <c r="B57" s="36">
        <v>28975393.11847721</v>
      </c>
    </row>
    <row r="58" spans="1:2" x14ac:dyDescent="0.3">
      <c r="A58" s="34" t="s">
        <v>54</v>
      </c>
      <c r="B58" s="36">
        <v>150073.07853287572</v>
      </c>
    </row>
    <row r="59" spans="1:2" x14ac:dyDescent="0.3">
      <c r="A59" s="34" t="s">
        <v>55</v>
      </c>
      <c r="B59" s="36">
        <v>0</v>
      </c>
    </row>
    <row r="60" spans="1:2" x14ac:dyDescent="0.3">
      <c r="A60" s="34" t="s">
        <v>56</v>
      </c>
      <c r="B60" s="36">
        <v>37170123030.579407</v>
      </c>
    </row>
    <row r="61" spans="1:2" x14ac:dyDescent="0.3">
      <c r="A61" s="34" t="s">
        <v>57</v>
      </c>
      <c r="B61" s="36">
        <v>11878203594.201801</v>
      </c>
    </row>
    <row r="62" spans="1:2" x14ac:dyDescent="0.3">
      <c r="A62" s="34" t="s">
        <v>58</v>
      </c>
      <c r="B62" s="36">
        <v>4904465788.4824638</v>
      </c>
    </row>
    <row r="63" spans="1:2" x14ac:dyDescent="0.3">
      <c r="A63" s="34" t="s">
        <v>59</v>
      </c>
      <c r="B63" s="36">
        <v>9399807867.71772</v>
      </c>
    </row>
    <row r="64" spans="1:2" x14ac:dyDescent="0.3">
      <c r="A64" s="34" t="s">
        <v>60</v>
      </c>
      <c r="B64" s="36">
        <v>171574587939.16086</v>
      </c>
    </row>
    <row r="65" spans="1:2" x14ac:dyDescent="0.3">
      <c r="A65" s="34" t="s">
        <v>61</v>
      </c>
      <c r="B65" s="36">
        <v>323802023.81314963</v>
      </c>
    </row>
    <row r="66" spans="1:2" x14ac:dyDescent="0.3">
      <c r="A66" s="34" t="s">
        <v>62</v>
      </c>
      <c r="B66" s="36">
        <v>2403132490.9085169</v>
      </c>
    </row>
    <row r="67" spans="1:2" x14ac:dyDescent="0.3">
      <c r="A67" s="34" t="s">
        <v>63</v>
      </c>
      <c r="B67" s="36">
        <v>1092883836.689142</v>
      </c>
    </row>
    <row r="68" spans="1:2" x14ac:dyDescent="0.3">
      <c r="A68" s="34" t="s">
        <v>64</v>
      </c>
      <c r="B68" s="36">
        <v>3172765476.5470948</v>
      </c>
    </row>
    <row r="69" spans="1:2" x14ac:dyDescent="0.3">
      <c r="A69" s="34" t="s">
        <v>65</v>
      </c>
      <c r="B69" s="36">
        <v>3676927996.2146187</v>
      </c>
    </row>
    <row r="70" spans="1:2" x14ac:dyDescent="0.3">
      <c r="A70" s="34" t="s">
        <v>66</v>
      </c>
      <c r="B70" s="36">
        <v>2079340089.8815298</v>
      </c>
    </row>
    <row r="71" spans="1:2" x14ac:dyDescent="0.3">
      <c r="A71" s="34" t="s">
        <v>67</v>
      </c>
      <c r="B71" s="36">
        <v>39706471260.124237</v>
      </c>
    </row>
    <row r="72" spans="1:2" x14ac:dyDescent="0.3">
      <c r="A72" s="34" t="s">
        <v>68</v>
      </c>
      <c r="B72" s="36">
        <v>0</v>
      </c>
    </row>
    <row r="73" spans="1:2" x14ac:dyDescent="0.3">
      <c r="A73" s="34" t="s">
        <v>69</v>
      </c>
      <c r="B73" s="36">
        <v>950022.72457695391</v>
      </c>
    </row>
    <row r="74" spans="1:2" x14ac:dyDescent="0.3">
      <c r="A74" s="34" t="s">
        <v>70</v>
      </c>
      <c r="B74" s="36">
        <v>46037792410.889145</v>
      </c>
    </row>
    <row r="75" spans="1:2" x14ac:dyDescent="0.3">
      <c r="A75" s="34" t="s">
        <v>71</v>
      </c>
      <c r="B75" s="36">
        <v>0</v>
      </c>
    </row>
    <row r="76" spans="1:2" x14ac:dyDescent="0.3">
      <c r="A76" s="34" t="s">
        <v>72</v>
      </c>
      <c r="B76" s="36">
        <v>1638464183.3365455</v>
      </c>
    </row>
    <row r="77" spans="1:2" x14ac:dyDescent="0.3">
      <c r="A77" s="34" t="s">
        <v>73</v>
      </c>
      <c r="B77" s="36">
        <v>148396912241.63004</v>
      </c>
    </row>
    <row r="78" spans="1:2" x14ac:dyDescent="0.3">
      <c r="A78" s="34" t="s">
        <v>74</v>
      </c>
      <c r="B78" s="36">
        <v>2555814532.7809958</v>
      </c>
    </row>
    <row r="79" spans="1:2" x14ac:dyDescent="0.3">
      <c r="A79" s="34" t="s">
        <v>75</v>
      </c>
      <c r="B79" s="36">
        <v>109330189157.82344</v>
      </c>
    </row>
    <row r="80" spans="1:2" x14ac:dyDescent="0.3">
      <c r="A80" s="34" t="s">
        <v>76</v>
      </c>
      <c r="B80" s="36">
        <v>2176297848.2894793</v>
      </c>
    </row>
    <row r="81" spans="1:2" x14ac:dyDescent="0.3">
      <c r="A81" s="34" t="s">
        <v>77</v>
      </c>
      <c r="B81" s="36">
        <v>3650420133.5400176</v>
      </c>
    </row>
    <row r="82" spans="1:2" x14ac:dyDescent="0.3">
      <c r="A82" s="34" t="s">
        <v>78</v>
      </c>
      <c r="B82" s="36">
        <v>14450731457.635006</v>
      </c>
    </row>
    <row r="83" spans="1:2" x14ac:dyDescent="0.3">
      <c r="A83" s="34" t="s">
        <v>79</v>
      </c>
      <c r="B83" s="36">
        <v>1811524412.7006357</v>
      </c>
    </row>
    <row r="84" spans="1:2" x14ac:dyDescent="0.3">
      <c r="A84" s="34" t="s">
        <v>80</v>
      </c>
      <c r="B84" s="36">
        <v>21357376.277288225</v>
      </c>
    </row>
    <row r="85" spans="1:2" x14ac:dyDescent="0.3">
      <c r="A85" s="34" t="s">
        <v>81</v>
      </c>
      <c r="B85" s="36">
        <v>101143681.67581043</v>
      </c>
    </row>
    <row r="86" spans="1:2" x14ac:dyDescent="0.3">
      <c r="A86" s="34" t="s">
        <v>82</v>
      </c>
      <c r="B86" s="36">
        <v>9421442945.5341702</v>
      </c>
    </row>
    <row r="87" spans="1:2" x14ac:dyDescent="0.3">
      <c r="A87" s="34" t="s">
        <v>83</v>
      </c>
      <c r="B87" s="36">
        <v>1687463976.844825</v>
      </c>
    </row>
    <row r="88" spans="1:2" x14ac:dyDescent="0.3">
      <c r="A88" s="34" t="s">
        <v>84</v>
      </c>
      <c r="B88" s="36">
        <v>173073594.44374576</v>
      </c>
    </row>
    <row r="89" spans="1:2" x14ac:dyDescent="0.3">
      <c r="A89" s="34" t="s">
        <v>85</v>
      </c>
      <c r="B89" s="36">
        <v>15911120160.770334</v>
      </c>
    </row>
    <row r="90" spans="1:2" x14ac:dyDescent="0.3">
      <c r="A90" s="34" t="s">
        <v>86</v>
      </c>
      <c r="B90" s="36">
        <v>247864204.34314436</v>
      </c>
    </row>
    <row r="91" spans="1:2" x14ac:dyDescent="0.3">
      <c r="A91" s="34" t="s">
        <v>87</v>
      </c>
      <c r="B91" s="36">
        <v>2701912894.210113</v>
      </c>
    </row>
    <row r="92" spans="1:2" x14ac:dyDescent="0.3">
      <c r="A92" s="34" t="s">
        <v>88</v>
      </c>
      <c r="B92" s="36">
        <v>11875249.465261705</v>
      </c>
    </row>
    <row r="93" spans="1:2" x14ac:dyDescent="0.3">
      <c r="A93" s="34" t="s">
        <v>89</v>
      </c>
      <c r="B93" s="36">
        <v>99542478292.495941</v>
      </c>
    </row>
    <row r="94" spans="1:2" x14ac:dyDescent="0.3">
      <c r="A94" s="34" t="s">
        <v>90</v>
      </c>
      <c r="B94" s="36">
        <v>0</v>
      </c>
    </row>
    <row r="95" spans="1:2" x14ac:dyDescent="0.3">
      <c r="A95" s="34" t="s">
        <v>91</v>
      </c>
      <c r="B95" s="36">
        <v>0</v>
      </c>
    </row>
    <row r="96" spans="1:2" x14ac:dyDescent="0.3">
      <c r="A96" s="34" t="s">
        <v>92</v>
      </c>
      <c r="B96" s="36">
        <v>7016501937.9191132</v>
      </c>
    </row>
    <row r="97" spans="1:2" x14ac:dyDescent="0.3">
      <c r="A97" s="34" t="s">
        <v>93</v>
      </c>
      <c r="B97" s="36">
        <v>3892439916.7060471</v>
      </c>
    </row>
    <row r="98" spans="1:2" x14ac:dyDescent="0.3">
      <c r="A98" s="34" t="s">
        <v>94</v>
      </c>
      <c r="B98" s="36">
        <v>2164311106.6832747</v>
      </c>
    </row>
    <row r="99" spans="1:2" x14ac:dyDescent="0.3">
      <c r="A99" s="34" t="s">
        <v>95</v>
      </c>
      <c r="B99" s="36">
        <v>10066784452.693588</v>
      </c>
    </row>
    <row r="100" spans="1:2" x14ac:dyDescent="0.3">
      <c r="A100" s="34" t="s">
        <v>96</v>
      </c>
      <c r="B100" s="36">
        <v>88657042638.726547</v>
      </c>
    </row>
    <row r="101" spans="1:2" x14ac:dyDescent="0.3">
      <c r="A101" s="34" t="s">
        <v>97</v>
      </c>
      <c r="B101" s="36">
        <v>136581524244.1218</v>
      </c>
    </row>
    <row r="102" spans="1:2" x14ac:dyDescent="0.3">
      <c r="A102" s="34" t="s">
        <v>98</v>
      </c>
      <c r="B102" s="36">
        <v>3690100903.8640151</v>
      </c>
    </row>
    <row r="103" spans="1:2" x14ac:dyDescent="0.3">
      <c r="A103" s="34" t="s">
        <v>99</v>
      </c>
      <c r="B103" s="36">
        <v>311102709.73761928</v>
      </c>
    </row>
    <row r="104" spans="1:2" x14ac:dyDescent="0.3">
      <c r="A104" s="34" t="s">
        <v>100</v>
      </c>
      <c r="B104" s="36">
        <v>10446289.630371992</v>
      </c>
    </row>
    <row r="105" spans="1:2" x14ac:dyDescent="0.3">
      <c r="A105" s="34" t="s">
        <v>101</v>
      </c>
      <c r="B105" s="36">
        <v>8310942162.1035109</v>
      </c>
    </row>
    <row r="106" spans="1:2" x14ac:dyDescent="0.3">
      <c r="A106" s="34" t="s">
        <v>102</v>
      </c>
      <c r="B106" s="36">
        <v>748806354.8968817</v>
      </c>
    </row>
    <row r="107" spans="1:2" x14ac:dyDescent="0.3">
      <c r="A107" s="34" t="s">
        <v>103</v>
      </c>
      <c r="B107" s="36">
        <v>47150177.122630335</v>
      </c>
    </row>
    <row r="108" spans="1:2" x14ac:dyDescent="0.3">
      <c r="A108" s="34" t="s">
        <v>104</v>
      </c>
      <c r="B108" s="36">
        <v>4178486901.7166057</v>
      </c>
    </row>
    <row r="109" spans="1:2" x14ac:dyDescent="0.3">
      <c r="A109" s="34" t="s">
        <v>105</v>
      </c>
      <c r="B109" s="36">
        <v>56317722159.263565</v>
      </c>
    </row>
    <row r="110" spans="1:2" x14ac:dyDescent="0.3">
      <c r="A110" s="34" t="s">
        <v>106</v>
      </c>
      <c r="B110" s="36">
        <v>5418786546.008709</v>
      </c>
    </row>
    <row r="111" spans="1:2" x14ac:dyDescent="0.3">
      <c r="A111" s="34" t="s">
        <v>107</v>
      </c>
      <c r="B111" s="36">
        <v>1395325299.5632217</v>
      </c>
    </row>
    <row r="112" spans="1:2" x14ac:dyDescent="0.3">
      <c r="A112" s="34" t="s">
        <v>108</v>
      </c>
      <c r="B112" s="36">
        <v>3943568775.5641842</v>
      </c>
    </row>
    <row r="113" spans="1:2" x14ac:dyDescent="0.3">
      <c r="A113" s="34" t="s">
        <v>109</v>
      </c>
      <c r="B113" s="36">
        <v>1036701.5243051838</v>
      </c>
    </row>
    <row r="114" spans="1:2" x14ac:dyDescent="0.3">
      <c r="A114" s="34" t="s">
        <v>110</v>
      </c>
      <c r="B114" s="36">
        <v>3421240.8478793451</v>
      </c>
    </row>
    <row r="115" spans="1:2" x14ac:dyDescent="0.3">
      <c r="A115" s="34" t="s">
        <v>111</v>
      </c>
      <c r="B115" s="36">
        <v>35626182804.881378</v>
      </c>
    </row>
    <row r="116" spans="1:2" x14ac:dyDescent="0.3">
      <c r="A116" s="34" t="s">
        <v>112</v>
      </c>
      <c r="B116" s="36">
        <v>60776790879.234177</v>
      </c>
    </row>
    <row r="117" spans="1:2" x14ac:dyDescent="0.3">
      <c r="A117" s="34" t="s">
        <v>113</v>
      </c>
      <c r="B117" s="36">
        <v>15247184.113698475</v>
      </c>
    </row>
    <row r="118" spans="1:2" x14ac:dyDescent="0.3">
      <c r="A118" s="34" t="s">
        <v>114</v>
      </c>
      <c r="B118" s="36">
        <v>469896377.84002668</v>
      </c>
    </row>
    <row r="119" spans="1:2" x14ac:dyDescent="0.3">
      <c r="A119" s="34" t="s">
        <v>115</v>
      </c>
      <c r="B119" s="36">
        <v>7182137735.2856855</v>
      </c>
    </row>
    <row r="120" spans="1:2" x14ac:dyDescent="0.3">
      <c r="A120" s="34" t="s">
        <v>116</v>
      </c>
      <c r="B120" s="36">
        <v>17563815854.039013</v>
      </c>
    </row>
    <row r="121" spans="1:2" x14ac:dyDescent="0.3">
      <c r="A121" s="34" t="s">
        <v>117</v>
      </c>
      <c r="B121" s="36">
        <v>39763201339.960396</v>
      </c>
    </row>
    <row r="122" spans="1:2" x14ac:dyDescent="0.3">
      <c r="A122" s="34" t="s">
        <v>118</v>
      </c>
      <c r="B122" s="36">
        <v>5545715262.8172293</v>
      </c>
    </row>
    <row r="123" spans="1:2" x14ac:dyDescent="0.3">
      <c r="A123" s="34" t="s">
        <v>119</v>
      </c>
      <c r="B123" s="36">
        <v>196938.42157712759</v>
      </c>
    </row>
    <row r="124" spans="1:2" x14ac:dyDescent="0.3">
      <c r="A124" s="34" t="s">
        <v>120</v>
      </c>
      <c r="B124" s="36">
        <v>6047443843.132782</v>
      </c>
    </row>
    <row r="125" spans="1:2" x14ac:dyDescent="0.3">
      <c r="A125" s="34" t="s">
        <v>121</v>
      </c>
      <c r="B125" s="36">
        <v>1331530506.2720444</v>
      </c>
    </row>
    <row r="126" spans="1:2" x14ac:dyDescent="0.3">
      <c r="A126" s="34" t="s">
        <v>122</v>
      </c>
      <c r="B126" s="36">
        <v>12633708716.664473</v>
      </c>
    </row>
    <row r="127" spans="1:2" x14ac:dyDescent="0.3">
      <c r="A127" s="34" t="s">
        <v>123</v>
      </c>
      <c r="B127" s="36">
        <v>7476146.8576765014</v>
      </c>
    </row>
    <row r="128" spans="1:2" x14ac:dyDescent="0.3">
      <c r="A128" s="34" t="s">
        <v>124</v>
      </c>
      <c r="B128" s="36">
        <v>1051511635.7468554</v>
      </c>
    </row>
    <row r="129" spans="1:2" x14ac:dyDescent="0.3">
      <c r="A129" s="34" t="s">
        <v>125</v>
      </c>
      <c r="B129" s="36">
        <v>66543053.956500009</v>
      </c>
    </row>
    <row r="130" spans="1:2" x14ac:dyDescent="0.3">
      <c r="A130" s="34" t="s">
        <v>126</v>
      </c>
      <c r="B130" s="36">
        <v>1294016481.5356188</v>
      </c>
    </row>
    <row r="131" spans="1:2" x14ac:dyDescent="0.3">
      <c r="A131" s="34" t="s">
        <v>127</v>
      </c>
      <c r="B131" s="36">
        <v>14139508.088958878</v>
      </c>
    </row>
    <row r="132" spans="1:2" x14ac:dyDescent="0.3">
      <c r="A132" s="34" t="s">
        <v>128</v>
      </c>
      <c r="B132" s="36">
        <v>1055099.2592049225</v>
      </c>
    </row>
    <row r="133" spans="1:2" x14ac:dyDescent="0.3">
      <c r="A133" s="34" t="s">
        <v>129</v>
      </c>
      <c r="B133" s="36">
        <v>10957728.043311369</v>
      </c>
    </row>
    <row r="134" spans="1:2" x14ac:dyDescent="0.3">
      <c r="A134" s="34" t="s">
        <v>130</v>
      </c>
      <c r="B134" s="36">
        <v>24628182.914162107</v>
      </c>
    </row>
    <row r="135" spans="1:2" x14ac:dyDescent="0.3">
      <c r="A135" s="34" t="s">
        <v>131</v>
      </c>
      <c r="B135" s="36">
        <v>4742812181.771678</v>
      </c>
    </row>
    <row r="136" spans="1:2" x14ac:dyDescent="0.3">
      <c r="A136" s="34" t="s">
        <v>132</v>
      </c>
      <c r="B136" s="36">
        <v>172683490.79968816</v>
      </c>
    </row>
    <row r="137" spans="1:2" x14ac:dyDescent="0.3">
      <c r="A137" s="34" t="s">
        <v>133</v>
      </c>
      <c r="B137" s="36">
        <v>984071860.7717911</v>
      </c>
    </row>
    <row r="138" spans="1:2" x14ac:dyDescent="0.3">
      <c r="A138" s="34" t="s">
        <v>134</v>
      </c>
      <c r="B138" s="36">
        <v>210461421.87602064</v>
      </c>
    </row>
    <row r="139" spans="1:2" x14ac:dyDescent="0.3">
      <c r="A139" s="34" t="s">
        <v>135</v>
      </c>
      <c r="B139" s="36">
        <v>45409985340.37101</v>
      </c>
    </row>
    <row r="140" spans="1:2" x14ac:dyDescent="0.3">
      <c r="A140" s="34" t="s">
        <v>136</v>
      </c>
      <c r="B140" s="36">
        <v>22661216932.841362</v>
      </c>
    </row>
    <row r="141" spans="1:2" x14ac:dyDescent="0.3">
      <c r="A141" s="34" t="s">
        <v>137</v>
      </c>
      <c r="B141" s="36">
        <v>15054074162.508705</v>
      </c>
    </row>
    <row r="142" spans="1:2" x14ac:dyDescent="0.3">
      <c r="A142" s="34" t="s">
        <v>138</v>
      </c>
      <c r="B142" s="36">
        <v>837942655.49762547</v>
      </c>
    </row>
    <row r="143" spans="1:2" x14ac:dyDescent="0.3">
      <c r="A143" s="34" t="s">
        <v>139</v>
      </c>
      <c r="B143" s="36">
        <v>762501931.33319068</v>
      </c>
    </row>
    <row r="144" spans="1:2" x14ac:dyDescent="0.3">
      <c r="A144" s="34" t="s">
        <v>140</v>
      </c>
      <c r="B144" s="36">
        <v>10568477356.668236</v>
      </c>
    </row>
    <row r="145" spans="1:2" x14ac:dyDescent="0.3">
      <c r="A145" s="34" t="s">
        <v>141</v>
      </c>
      <c r="B145" s="36">
        <v>2008412753.3929107</v>
      </c>
    </row>
    <row r="146" spans="1:2" x14ac:dyDescent="0.3">
      <c r="A146" s="34" t="s">
        <v>142</v>
      </c>
      <c r="B146" s="36">
        <v>796129326.23373795</v>
      </c>
    </row>
    <row r="147" spans="1:2" x14ac:dyDescent="0.3">
      <c r="A147" s="34" t="s">
        <v>143</v>
      </c>
      <c r="B147" s="36">
        <v>3870276070.3284974</v>
      </c>
    </row>
    <row r="148" spans="1:2" x14ac:dyDescent="0.3">
      <c r="A148" s="34" t="s">
        <v>144</v>
      </c>
      <c r="B148" s="36">
        <v>41935799535.0923</v>
      </c>
    </row>
    <row r="149" spans="1:2" x14ac:dyDescent="0.3">
      <c r="A149" s="34" t="s">
        <v>145</v>
      </c>
      <c r="B149" s="36">
        <v>24062366458.792358</v>
      </c>
    </row>
    <row r="150" spans="1:2" x14ac:dyDescent="0.3">
      <c r="A150" s="34" t="s">
        <v>146</v>
      </c>
      <c r="B150" s="36">
        <v>11564170248.364323</v>
      </c>
    </row>
    <row r="151" spans="1:2" x14ac:dyDescent="0.3">
      <c r="A151" s="34" t="s">
        <v>147</v>
      </c>
      <c r="B151" s="36">
        <v>95068052478.681992</v>
      </c>
    </row>
    <row r="152" spans="1:2" x14ac:dyDescent="0.3">
      <c r="A152" s="34" t="s">
        <v>148</v>
      </c>
      <c r="B152" s="36">
        <v>2685016036.0941782</v>
      </c>
    </row>
    <row r="153" spans="1:2" x14ac:dyDescent="0.3">
      <c r="A153" s="34" t="s">
        <v>149</v>
      </c>
      <c r="B153" s="36">
        <v>1887730792.5198483</v>
      </c>
    </row>
    <row r="154" spans="1:2" x14ac:dyDescent="0.3">
      <c r="A154" s="34" t="s">
        <v>150</v>
      </c>
      <c r="B154" s="36">
        <v>28102700884.016632</v>
      </c>
    </row>
    <row r="155" spans="1:2" x14ac:dyDescent="0.3">
      <c r="A155" s="34" t="s">
        <v>151</v>
      </c>
      <c r="B155" s="36">
        <v>29427863313.02293</v>
      </c>
    </row>
    <row r="156" spans="1:2" x14ac:dyDescent="0.3">
      <c r="A156" s="34" t="s">
        <v>152</v>
      </c>
      <c r="B156" s="36">
        <v>90034866952.591812</v>
      </c>
    </row>
    <row r="157" spans="1:2" x14ac:dyDescent="0.3">
      <c r="A157" s="34" t="s">
        <v>153</v>
      </c>
      <c r="B157" s="36">
        <v>41287143554.013527</v>
      </c>
    </row>
    <row r="158" spans="1:2" x14ac:dyDescent="0.3">
      <c r="A158" s="34" t="s">
        <v>154</v>
      </c>
      <c r="B158" s="36">
        <v>232147557.24777961</v>
      </c>
    </row>
    <row r="159" spans="1:2" x14ac:dyDescent="0.3">
      <c r="A159" s="34" t="s">
        <v>155</v>
      </c>
      <c r="B159" s="36">
        <v>76930.9918938177</v>
      </c>
    </row>
    <row r="160" spans="1:2" x14ac:dyDescent="0.3">
      <c r="A160" s="34" t="s">
        <v>156</v>
      </c>
      <c r="B160" s="36">
        <v>10185340192.596472</v>
      </c>
    </row>
    <row r="161" spans="1:2" x14ac:dyDescent="0.3">
      <c r="A161" s="34" t="s">
        <v>157</v>
      </c>
      <c r="B161" s="36">
        <v>66573071823.443047</v>
      </c>
    </row>
    <row r="162" spans="1:2" x14ac:dyDescent="0.3">
      <c r="A162" s="34" t="s">
        <v>158</v>
      </c>
      <c r="B162" s="36">
        <v>114415448101.25404</v>
      </c>
    </row>
    <row r="163" spans="1:2" x14ac:dyDescent="0.3">
      <c r="A163" s="34" t="s">
        <v>159</v>
      </c>
      <c r="B163" s="36">
        <v>1908152967.8148971</v>
      </c>
    </row>
    <row r="164" spans="1:2" x14ac:dyDescent="0.3">
      <c r="A164" s="34" t="s">
        <v>160</v>
      </c>
      <c r="B164" s="36">
        <v>26228589067.005253</v>
      </c>
    </row>
    <row r="165" spans="1:2" x14ac:dyDescent="0.3">
      <c r="A165" s="34" t="s">
        <v>161</v>
      </c>
      <c r="B165" s="36">
        <v>35839850188.275421</v>
      </c>
    </row>
    <row r="166" spans="1:2" x14ac:dyDescent="0.3">
      <c r="A166" s="34" t="s">
        <v>162</v>
      </c>
      <c r="B166" s="36">
        <v>295370559.93263346</v>
      </c>
    </row>
    <row r="167" spans="1:2" x14ac:dyDescent="0.3">
      <c r="A167" s="34" t="s">
        <v>163</v>
      </c>
      <c r="B167" s="36">
        <v>109663896959.04375</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304747872.93608803</v>
      </c>
    </row>
    <row r="178" spans="1:2" x14ac:dyDescent="0.3">
      <c r="A178" s="34" t="s">
        <v>174</v>
      </c>
      <c r="B178" s="36">
        <v>0</v>
      </c>
    </row>
    <row r="179" spans="1:2" x14ac:dyDescent="0.3">
      <c r="A179" s="34" t="s">
        <v>175</v>
      </c>
      <c r="B179" s="36">
        <v>3092372274.5872002</v>
      </c>
    </row>
    <row r="180" spans="1:2" x14ac:dyDescent="0.3">
      <c r="A180" s="34" t="s">
        <v>176</v>
      </c>
      <c r="B180" s="36">
        <v>1183233939.9094157</v>
      </c>
    </row>
    <row r="181" spans="1:2" x14ac:dyDescent="0.3">
      <c r="A181" s="34" t="s">
        <v>177</v>
      </c>
      <c r="B181" s="36">
        <v>17787857801.879688</v>
      </c>
    </row>
    <row r="182" spans="1:2" x14ac:dyDescent="0.3">
      <c r="A182" s="34" t="s">
        <v>178</v>
      </c>
      <c r="B182" s="36">
        <v>624777610.72607458</v>
      </c>
    </row>
    <row r="183" spans="1:2" x14ac:dyDescent="0.3">
      <c r="A183" s="34" t="s">
        <v>179</v>
      </c>
      <c r="B183" s="36">
        <v>784.0610709064407</v>
      </c>
    </row>
    <row r="184" spans="1:2" x14ac:dyDescent="0.3">
      <c r="A184" s="34" t="s">
        <v>180</v>
      </c>
      <c r="B184" s="36">
        <v>4241506186.6408687</v>
      </c>
    </row>
    <row r="185" spans="1:2" x14ac:dyDescent="0.3">
      <c r="A185" s="34" t="s">
        <v>181</v>
      </c>
      <c r="B185" s="36">
        <v>1715827682.2927744</v>
      </c>
    </row>
    <row r="186" spans="1:2" x14ac:dyDescent="0.3">
      <c r="A186" s="34" t="s">
        <v>182</v>
      </c>
      <c r="B186" s="36">
        <v>57935282898.684685</v>
      </c>
    </row>
    <row r="187" spans="1:2" x14ac:dyDescent="0.3">
      <c r="A187" s="34" t="s">
        <v>183</v>
      </c>
      <c r="B187" s="36">
        <v>14891750265.231352</v>
      </c>
    </row>
    <row r="188" spans="1:2" x14ac:dyDescent="0.3">
      <c r="A188" s="34" t="s">
        <v>184</v>
      </c>
      <c r="B188" s="36">
        <v>311581095.53844696</v>
      </c>
    </row>
    <row r="189" spans="1:2" x14ac:dyDescent="0.3">
      <c r="A189" s="34" t="s">
        <v>185</v>
      </c>
      <c r="B189" s="36">
        <v>269564386.28606874</v>
      </c>
    </row>
    <row r="190" spans="1:2" x14ac:dyDescent="0.3">
      <c r="A190" s="34" t="s">
        <v>186</v>
      </c>
      <c r="B190" s="36">
        <v>5511056552.1095409</v>
      </c>
    </row>
    <row r="191" spans="1:2" x14ac:dyDescent="0.3">
      <c r="A191" s="34" t="s">
        <v>187</v>
      </c>
      <c r="B191" s="36">
        <v>6503948086.9865866</v>
      </c>
    </row>
    <row r="192" spans="1:2" x14ac:dyDescent="0.3">
      <c r="A192" s="34" t="s">
        <v>188</v>
      </c>
      <c r="B192" s="36">
        <v>1136224085.2246332</v>
      </c>
    </row>
    <row r="193" spans="1:2" x14ac:dyDescent="0.3">
      <c r="A193" s="34" t="s">
        <v>189</v>
      </c>
      <c r="B193" s="36">
        <v>2170917.2498894562</v>
      </c>
    </row>
    <row r="194" spans="1:2" x14ac:dyDescent="0.3">
      <c r="A194" s="34" t="s">
        <v>190</v>
      </c>
      <c r="B194" s="36">
        <v>35660797174.723541</v>
      </c>
    </row>
    <row r="195" spans="1:2" x14ac:dyDescent="0.3">
      <c r="A195" s="34" t="s">
        <v>191</v>
      </c>
      <c r="B195" s="36">
        <v>18694484114.164356</v>
      </c>
    </row>
    <row r="196" spans="1:2" x14ac:dyDescent="0.3">
      <c r="A196" s="34" t="s">
        <v>192</v>
      </c>
      <c r="B196" s="36">
        <v>13191191532.015129</v>
      </c>
    </row>
    <row r="197" spans="1:2" x14ac:dyDescent="0.3">
      <c r="A197" s="34" t="s">
        <v>193</v>
      </c>
      <c r="B197" s="36">
        <v>165006457.20392036</v>
      </c>
    </row>
    <row r="198" spans="1:2" x14ac:dyDescent="0.3">
      <c r="A198" s="34" t="s">
        <v>194</v>
      </c>
      <c r="B198" s="36">
        <v>115918862393.31093</v>
      </c>
    </row>
    <row r="199" spans="1:2" x14ac:dyDescent="0.3">
      <c r="A199" s="34" t="s">
        <v>195</v>
      </c>
      <c r="B199" s="36">
        <v>19773734504.68663</v>
      </c>
    </row>
    <row r="200" spans="1:2" x14ac:dyDescent="0.3">
      <c r="A200" s="34" t="s">
        <v>196</v>
      </c>
      <c r="B200" s="36">
        <v>0</v>
      </c>
    </row>
    <row r="201" spans="1:2" x14ac:dyDescent="0.3">
      <c r="A201" s="34" t="s">
        <v>197</v>
      </c>
      <c r="B201" s="36">
        <v>551452959.14459825</v>
      </c>
    </row>
    <row r="202" spans="1:2" x14ac:dyDescent="0.3">
      <c r="A202" s="34" t="s">
        <v>198</v>
      </c>
      <c r="B202" s="36">
        <v>345483309.35506463</v>
      </c>
    </row>
    <row r="203" spans="1:2" x14ac:dyDescent="0.3">
      <c r="A203" s="34" t="s">
        <v>199</v>
      </c>
      <c r="B203" s="36">
        <v>25081657.63089522</v>
      </c>
    </row>
    <row r="204" spans="1:2" x14ac:dyDescent="0.3">
      <c r="A204" s="34" t="s">
        <v>200</v>
      </c>
      <c r="B204" s="36">
        <v>2648045383.8055391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DEC93-338F-48DA-A7FB-C99E1E698748}">
  <sheetPr codeName="Sheet10"/>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260</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2648110422.1227803</v>
      </c>
    </row>
    <row r="6" spans="1:2" x14ac:dyDescent="0.3">
      <c r="A6" s="34" t="s">
        <v>2</v>
      </c>
      <c r="B6" s="36">
        <v>61547151424.291946</v>
      </c>
    </row>
    <row r="7" spans="1:2" x14ac:dyDescent="0.3">
      <c r="A7" s="34" t="s">
        <v>3</v>
      </c>
      <c r="B7" s="36">
        <v>53250375787.164642</v>
      </c>
    </row>
    <row r="8" spans="1:2" x14ac:dyDescent="0.3">
      <c r="A8" s="34" t="s">
        <v>4</v>
      </c>
      <c r="B8" s="36">
        <v>155764831.63642278</v>
      </c>
    </row>
    <row r="9" spans="1:2" x14ac:dyDescent="0.3">
      <c r="A9" s="34" t="s">
        <v>5</v>
      </c>
      <c r="B9" s="36">
        <v>1350934712.0829661</v>
      </c>
    </row>
    <row r="10" spans="1:2" x14ac:dyDescent="0.3">
      <c r="A10" s="34" t="s">
        <v>6</v>
      </c>
      <c r="B10" s="36">
        <v>215599241.93167499</v>
      </c>
    </row>
    <row r="11" spans="1:2" x14ac:dyDescent="0.3">
      <c r="A11" s="34" t="s">
        <v>7</v>
      </c>
      <c r="B11" s="36">
        <v>0</v>
      </c>
    </row>
    <row r="12" spans="1:2" x14ac:dyDescent="0.3">
      <c r="A12" s="34" t="s">
        <v>8</v>
      </c>
      <c r="B12" s="36">
        <v>503970374.94384652</v>
      </c>
    </row>
    <row r="13" spans="1:2" x14ac:dyDescent="0.3">
      <c r="A13" s="34" t="s">
        <v>9</v>
      </c>
      <c r="B13" s="36">
        <v>1633430179.0253243</v>
      </c>
    </row>
    <row r="14" spans="1:2" x14ac:dyDescent="0.3">
      <c r="A14" s="34" t="s">
        <v>10</v>
      </c>
      <c r="B14" s="36">
        <v>207356082425.22293</v>
      </c>
    </row>
    <row r="15" spans="1:2" x14ac:dyDescent="0.3">
      <c r="A15" s="34" t="s">
        <v>11</v>
      </c>
      <c r="B15" s="36">
        <v>34201637064.85165</v>
      </c>
    </row>
    <row r="16" spans="1:2" x14ac:dyDescent="0.3">
      <c r="A16" s="34" t="s">
        <v>12</v>
      </c>
      <c r="B16" s="36">
        <v>9650167262.7712936</v>
      </c>
    </row>
    <row r="17" spans="1:2" x14ac:dyDescent="0.3">
      <c r="A17" s="34" t="s">
        <v>13</v>
      </c>
      <c r="B17" s="36">
        <v>1411411414.1827059</v>
      </c>
    </row>
    <row r="18" spans="1:2" x14ac:dyDescent="0.3">
      <c r="A18" s="34" t="s">
        <v>14</v>
      </c>
      <c r="B18" s="36">
        <v>1071236066.2846609</v>
      </c>
    </row>
    <row r="19" spans="1:2" x14ac:dyDescent="0.3">
      <c r="A19" s="34" t="s">
        <v>15</v>
      </c>
      <c r="B19" s="36">
        <v>2177507850.715034</v>
      </c>
    </row>
    <row r="20" spans="1:2" x14ac:dyDescent="0.3">
      <c r="A20" s="34" t="s">
        <v>16</v>
      </c>
      <c r="B20" s="36">
        <v>1392723554.9263463</v>
      </c>
    </row>
    <row r="21" spans="1:2" x14ac:dyDescent="0.3">
      <c r="A21" s="34" t="s">
        <v>17</v>
      </c>
      <c r="B21" s="36">
        <v>0</v>
      </c>
    </row>
    <row r="22" spans="1:2" x14ac:dyDescent="0.3">
      <c r="A22" s="34" t="s">
        <v>18</v>
      </c>
      <c r="B22" s="36">
        <v>11887214188.750889</v>
      </c>
    </row>
    <row r="23" spans="1:2" x14ac:dyDescent="0.3">
      <c r="A23" s="34" t="s">
        <v>19</v>
      </c>
      <c r="B23" s="36">
        <v>98454715603.679428</v>
      </c>
    </row>
    <row r="24" spans="1:2" x14ac:dyDescent="0.3">
      <c r="A24" s="34" t="s">
        <v>20</v>
      </c>
      <c r="B24" s="36">
        <v>144854202187.77713</v>
      </c>
    </row>
    <row r="25" spans="1:2" x14ac:dyDescent="0.3">
      <c r="A25" s="34" t="s">
        <v>21</v>
      </c>
      <c r="B25" s="36">
        <v>16219686514.044376</v>
      </c>
    </row>
    <row r="26" spans="1:2" x14ac:dyDescent="0.3">
      <c r="A26" s="34" t="s">
        <v>22</v>
      </c>
      <c r="B26" s="36">
        <v>53208497657.237556</v>
      </c>
    </row>
    <row r="27" spans="1:2" x14ac:dyDescent="0.3">
      <c r="A27" s="34" t="s">
        <v>23</v>
      </c>
      <c r="B27" s="36">
        <v>24731597.238339096</v>
      </c>
    </row>
    <row r="28" spans="1:2" x14ac:dyDescent="0.3">
      <c r="A28" s="34" t="s">
        <v>24</v>
      </c>
      <c r="B28" s="36">
        <v>2705116299.7997251</v>
      </c>
    </row>
    <row r="29" spans="1:2" x14ac:dyDescent="0.3">
      <c r="A29" s="34" t="s">
        <v>25</v>
      </c>
      <c r="B29" s="36">
        <v>72473493330.44133</v>
      </c>
    </row>
    <row r="30" spans="1:2" x14ac:dyDescent="0.3">
      <c r="A30" s="34" t="s">
        <v>26</v>
      </c>
      <c r="B30" s="36">
        <v>962995165.65617704</v>
      </c>
    </row>
    <row r="31" spans="1:2" x14ac:dyDescent="0.3">
      <c r="A31" s="34" t="s">
        <v>27</v>
      </c>
      <c r="B31" s="36">
        <v>15838746634.914299</v>
      </c>
    </row>
    <row r="32" spans="1:2" x14ac:dyDescent="0.3">
      <c r="A32" s="34" t="s">
        <v>28</v>
      </c>
      <c r="B32" s="36">
        <v>386463331.51362693</v>
      </c>
    </row>
    <row r="33" spans="1:2" x14ac:dyDescent="0.3">
      <c r="A33" s="34" t="s">
        <v>29</v>
      </c>
      <c r="B33" s="36">
        <v>793962519.08680558</v>
      </c>
    </row>
    <row r="34" spans="1:2" x14ac:dyDescent="0.3">
      <c r="A34" s="34" t="s">
        <v>30</v>
      </c>
      <c r="B34" s="36">
        <v>7360605316.4553947</v>
      </c>
    </row>
    <row r="35" spans="1:2" x14ac:dyDescent="0.3">
      <c r="A35" s="34" t="s">
        <v>31</v>
      </c>
      <c r="B35" s="36">
        <v>46218325084.686378</v>
      </c>
    </row>
    <row r="36" spans="1:2" x14ac:dyDescent="0.3">
      <c r="A36" s="34" t="s">
        <v>32</v>
      </c>
      <c r="B36" s="36">
        <v>214626387351.1825</v>
      </c>
    </row>
    <row r="37" spans="1:2" x14ac:dyDescent="0.3">
      <c r="A37" s="34" t="s">
        <v>33</v>
      </c>
      <c r="B37" s="36">
        <v>4822234857.6377783</v>
      </c>
    </row>
    <row r="38" spans="1:2" x14ac:dyDescent="0.3">
      <c r="A38" s="34" t="s">
        <v>34</v>
      </c>
      <c r="B38" s="36">
        <v>34589267069.08094</v>
      </c>
    </row>
    <row r="39" spans="1:2" x14ac:dyDescent="0.3">
      <c r="A39" s="34" t="s">
        <v>35</v>
      </c>
      <c r="B39" s="36">
        <v>8725171150.6926041</v>
      </c>
    </row>
    <row r="40" spans="1:2" x14ac:dyDescent="0.3">
      <c r="A40" s="34" t="s">
        <v>36</v>
      </c>
      <c r="B40" s="36">
        <v>22653997310.174461</v>
      </c>
    </row>
    <row r="41" spans="1:2" x14ac:dyDescent="0.3">
      <c r="A41" s="34" t="s">
        <v>37</v>
      </c>
      <c r="B41" s="36">
        <v>89921289278.514404</v>
      </c>
    </row>
    <row r="42" spans="1:2" x14ac:dyDescent="0.3">
      <c r="A42" s="34" t="s">
        <v>38</v>
      </c>
      <c r="B42" s="36">
        <v>51586267584.889641</v>
      </c>
    </row>
    <row r="43" spans="1:2" x14ac:dyDescent="0.3">
      <c r="A43" s="34" t="s">
        <v>39</v>
      </c>
      <c r="B43" s="36">
        <v>54653603321.015625</v>
      </c>
    </row>
    <row r="44" spans="1:2" x14ac:dyDescent="0.3">
      <c r="A44" s="34" t="s">
        <v>40</v>
      </c>
      <c r="B44" s="36">
        <v>5705993913.0437326</v>
      </c>
    </row>
    <row r="45" spans="1:2" x14ac:dyDescent="0.3">
      <c r="A45" s="34" t="s">
        <v>41</v>
      </c>
      <c r="B45" s="36">
        <v>14377807445.304403</v>
      </c>
    </row>
    <row r="46" spans="1:2" x14ac:dyDescent="0.3">
      <c r="A46" s="34" t="s">
        <v>42</v>
      </c>
      <c r="B46" s="36">
        <v>64238112.975202598</v>
      </c>
    </row>
    <row r="47" spans="1:2" x14ac:dyDescent="0.3">
      <c r="A47" s="34" t="s">
        <v>43</v>
      </c>
      <c r="B47" s="36">
        <v>8322180845.3715191</v>
      </c>
    </row>
    <row r="48" spans="1:2" x14ac:dyDescent="0.3">
      <c r="A48" s="34" t="s">
        <v>44</v>
      </c>
      <c r="B48" s="36">
        <v>287449592585.88708</v>
      </c>
    </row>
    <row r="49" spans="1:2" x14ac:dyDescent="0.3">
      <c r="A49" s="34" t="s">
        <v>45</v>
      </c>
      <c r="B49" s="36">
        <v>139253193952.88129</v>
      </c>
    </row>
    <row r="50" spans="1:2" x14ac:dyDescent="0.3">
      <c r="A50" s="34" t="s">
        <v>46</v>
      </c>
      <c r="B50" s="36">
        <v>3272894448.8709354</v>
      </c>
    </row>
    <row r="51" spans="1:2" x14ac:dyDescent="0.3">
      <c r="A51" s="34" t="s">
        <v>47</v>
      </c>
      <c r="B51" s="36">
        <v>6130353401.9423428</v>
      </c>
    </row>
    <row r="52" spans="1:2" x14ac:dyDescent="0.3">
      <c r="A52" s="34" t="s">
        <v>48</v>
      </c>
      <c r="B52" s="36">
        <v>28656091019.504269</v>
      </c>
    </row>
    <row r="53" spans="1:2" x14ac:dyDescent="0.3">
      <c r="A53" s="34" t="s">
        <v>49</v>
      </c>
      <c r="B53" s="36">
        <v>1256735813.5799286</v>
      </c>
    </row>
    <row r="54" spans="1:2" x14ac:dyDescent="0.3">
      <c r="A54" s="34" t="s">
        <v>50</v>
      </c>
      <c r="B54" s="36">
        <v>27993760.334060606</v>
      </c>
    </row>
    <row r="55" spans="1:2" x14ac:dyDescent="0.3">
      <c r="A55" s="34" t="s">
        <v>51</v>
      </c>
      <c r="B55" s="36">
        <v>5493588.7307255995</v>
      </c>
    </row>
    <row r="56" spans="1:2" x14ac:dyDescent="0.3">
      <c r="A56" s="34" t="s">
        <v>52</v>
      </c>
      <c r="B56" s="36">
        <v>3483859943.3206735</v>
      </c>
    </row>
    <row r="57" spans="1:2" x14ac:dyDescent="0.3">
      <c r="A57" s="34" t="s">
        <v>53</v>
      </c>
      <c r="B57" s="36">
        <v>252566676.59703991</v>
      </c>
    </row>
    <row r="58" spans="1:2" x14ac:dyDescent="0.3">
      <c r="A58" s="34" t="s">
        <v>54</v>
      </c>
      <c r="B58" s="36">
        <v>1561634.3654425861</v>
      </c>
    </row>
    <row r="59" spans="1:2" x14ac:dyDescent="0.3">
      <c r="A59" s="34" t="s">
        <v>55</v>
      </c>
      <c r="B59" s="36">
        <v>0</v>
      </c>
    </row>
    <row r="60" spans="1:2" x14ac:dyDescent="0.3">
      <c r="A60" s="34" t="s">
        <v>56</v>
      </c>
      <c r="B60" s="36">
        <v>149097743607.87415</v>
      </c>
    </row>
    <row r="61" spans="1:2" x14ac:dyDescent="0.3">
      <c r="A61" s="34" t="s">
        <v>57</v>
      </c>
      <c r="B61" s="36">
        <v>40811236312.596985</v>
      </c>
    </row>
    <row r="62" spans="1:2" x14ac:dyDescent="0.3">
      <c r="A62" s="34" t="s">
        <v>58</v>
      </c>
      <c r="B62" s="36">
        <v>5364647813.6612396</v>
      </c>
    </row>
    <row r="63" spans="1:2" x14ac:dyDescent="0.3">
      <c r="A63" s="34" t="s">
        <v>59</v>
      </c>
      <c r="B63" s="36">
        <v>13177729188.94389</v>
      </c>
    </row>
    <row r="64" spans="1:2" x14ac:dyDescent="0.3">
      <c r="A64" s="34" t="s">
        <v>60</v>
      </c>
      <c r="B64" s="36">
        <v>83934190370.734695</v>
      </c>
    </row>
    <row r="65" spans="1:2" x14ac:dyDescent="0.3">
      <c r="A65" s="34" t="s">
        <v>61</v>
      </c>
      <c r="B65" s="36">
        <v>721179580.53860235</v>
      </c>
    </row>
    <row r="66" spans="1:2" x14ac:dyDescent="0.3">
      <c r="A66" s="34" t="s">
        <v>62</v>
      </c>
      <c r="B66" s="36">
        <v>6523108671.2503252</v>
      </c>
    </row>
    <row r="67" spans="1:2" x14ac:dyDescent="0.3">
      <c r="A67" s="34" t="s">
        <v>63</v>
      </c>
      <c r="B67" s="36">
        <v>3149884387.2965183</v>
      </c>
    </row>
    <row r="68" spans="1:2" x14ac:dyDescent="0.3">
      <c r="A68" s="34" t="s">
        <v>64</v>
      </c>
      <c r="B68" s="36">
        <v>8608383772.95961</v>
      </c>
    </row>
    <row r="69" spans="1:2" x14ac:dyDescent="0.3">
      <c r="A69" s="34" t="s">
        <v>65</v>
      </c>
      <c r="B69" s="36">
        <v>8653281244.5679474</v>
      </c>
    </row>
    <row r="70" spans="1:2" x14ac:dyDescent="0.3">
      <c r="A70" s="34" t="s">
        <v>66</v>
      </c>
      <c r="B70" s="36">
        <v>34451123093.756218</v>
      </c>
    </row>
    <row r="71" spans="1:2" x14ac:dyDescent="0.3">
      <c r="A71" s="34" t="s">
        <v>67</v>
      </c>
      <c r="B71" s="36">
        <v>25715919876.064705</v>
      </c>
    </row>
    <row r="72" spans="1:2" x14ac:dyDescent="0.3">
      <c r="A72" s="34" t="s">
        <v>68</v>
      </c>
      <c r="B72" s="36">
        <v>0</v>
      </c>
    </row>
    <row r="73" spans="1:2" x14ac:dyDescent="0.3">
      <c r="A73" s="34" t="s">
        <v>69</v>
      </c>
      <c r="B73" s="36">
        <v>429968225.43967932</v>
      </c>
    </row>
    <row r="74" spans="1:2" x14ac:dyDescent="0.3">
      <c r="A74" s="34" t="s">
        <v>70</v>
      </c>
      <c r="B74" s="36">
        <v>81298919017.811493</v>
      </c>
    </row>
    <row r="75" spans="1:2" x14ac:dyDescent="0.3">
      <c r="A75" s="34" t="s">
        <v>71</v>
      </c>
      <c r="B75" s="36">
        <v>0</v>
      </c>
    </row>
    <row r="76" spans="1:2" x14ac:dyDescent="0.3">
      <c r="A76" s="34" t="s">
        <v>72</v>
      </c>
      <c r="B76" s="36">
        <v>25793008081.528568</v>
      </c>
    </row>
    <row r="77" spans="1:2" x14ac:dyDescent="0.3">
      <c r="A77" s="34" t="s">
        <v>73</v>
      </c>
      <c r="B77" s="36">
        <v>12125459980.178019</v>
      </c>
    </row>
    <row r="78" spans="1:2" x14ac:dyDescent="0.3">
      <c r="A78" s="34" t="s">
        <v>74</v>
      </c>
      <c r="B78" s="36">
        <v>20882184033.408028</v>
      </c>
    </row>
    <row r="79" spans="1:2" x14ac:dyDescent="0.3">
      <c r="A79" s="34" t="s">
        <v>75</v>
      </c>
      <c r="B79" s="36">
        <v>67454519043.333786</v>
      </c>
    </row>
    <row r="80" spans="1:2" x14ac:dyDescent="0.3">
      <c r="A80" s="34" t="s">
        <v>76</v>
      </c>
      <c r="B80" s="36">
        <v>4851856624.2065573</v>
      </c>
    </row>
    <row r="81" spans="1:2" x14ac:dyDescent="0.3">
      <c r="A81" s="34" t="s">
        <v>77</v>
      </c>
      <c r="B81" s="36">
        <v>5015746231.9001617</v>
      </c>
    </row>
    <row r="82" spans="1:2" x14ac:dyDescent="0.3">
      <c r="A82" s="34" t="s">
        <v>78</v>
      </c>
      <c r="B82" s="36">
        <v>8003570759.4042454</v>
      </c>
    </row>
    <row r="83" spans="1:2" x14ac:dyDescent="0.3">
      <c r="A83" s="34" t="s">
        <v>79</v>
      </c>
      <c r="B83" s="36">
        <v>6937414599.1675568</v>
      </c>
    </row>
    <row r="84" spans="1:2" x14ac:dyDescent="0.3">
      <c r="A84" s="34" t="s">
        <v>80</v>
      </c>
      <c r="B84" s="36">
        <v>579945182.02305233</v>
      </c>
    </row>
    <row r="85" spans="1:2" x14ac:dyDescent="0.3">
      <c r="A85" s="34" t="s">
        <v>81</v>
      </c>
      <c r="B85" s="36">
        <v>6130870527.566308</v>
      </c>
    </row>
    <row r="86" spans="1:2" x14ac:dyDescent="0.3">
      <c r="A86" s="34" t="s">
        <v>82</v>
      </c>
      <c r="B86" s="36">
        <v>43866904514.201073</v>
      </c>
    </row>
    <row r="87" spans="1:2" x14ac:dyDescent="0.3">
      <c r="A87" s="34" t="s">
        <v>83</v>
      </c>
      <c r="B87" s="36">
        <v>10955025362.660723</v>
      </c>
    </row>
    <row r="88" spans="1:2" x14ac:dyDescent="0.3">
      <c r="A88" s="34" t="s">
        <v>84</v>
      </c>
      <c r="B88" s="36">
        <v>1190698678.9215369</v>
      </c>
    </row>
    <row r="89" spans="1:2" x14ac:dyDescent="0.3">
      <c r="A89" s="34" t="s">
        <v>85</v>
      </c>
      <c r="B89" s="36">
        <v>9152369460.2725964</v>
      </c>
    </row>
    <row r="90" spans="1:2" x14ac:dyDescent="0.3">
      <c r="A90" s="34" t="s">
        <v>86</v>
      </c>
      <c r="B90" s="36">
        <v>4392631833.5168715</v>
      </c>
    </row>
    <row r="91" spans="1:2" x14ac:dyDescent="0.3">
      <c r="A91" s="34" t="s">
        <v>87</v>
      </c>
      <c r="B91" s="36">
        <v>6413842926.6859446</v>
      </c>
    </row>
    <row r="92" spans="1:2" x14ac:dyDescent="0.3">
      <c r="A92" s="34" t="s">
        <v>88</v>
      </c>
      <c r="B92" s="36">
        <v>4599822549.0969925</v>
      </c>
    </row>
    <row r="93" spans="1:2" x14ac:dyDescent="0.3">
      <c r="A93" s="34" t="s">
        <v>89</v>
      </c>
      <c r="B93" s="36">
        <v>96157117914.325455</v>
      </c>
    </row>
    <row r="94" spans="1:2" x14ac:dyDescent="0.3">
      <c r="A94" s="34" t="s">
        <v>90</v>
      </c>
      <c r="B94" s="36">
        <v>0</v>
      </c>
    </row>
    <row r="95" spans="1:2" x14ac:dyDescent="0.3">
      <c r="A95" s="34" t="s">
        <v>91</v>
      </c>
      <c r="B95" s="36">
        <v>0</v>
      </c>
    </row>
    <row r="96" spans="1:2" x14ac:dyDescent="0.3">
      <c r="A96" s="34" t="s">
        <v>92</v>
      </c>
      <c r="B96" s="36">
        <v>7475897813.4604654</v>
      </c>
    </row>
    <row r="97" spans="1:2" x14ac:dyDescent="0.3">
      <c r="A97" s="34" t="s">
        <v>93</v>
      </c>
      <c r="B97" s="36">
        <v>2706585424.645256</v>
      </c>
    </row>
    <row r="98" spans="1:2" x14ac:dyDescent="0.3">
      <c r="A98" s="34" t="s">
        <v>94</v>
      </c>
      <c r="B98" s="36">
        <v>4578457013.7872047</v>
      </c>
    </row>
    <row r="99" spans="1:2" x14ac:dyDescent="0.3">
      <c r="A99" s="34" t="s">
        <v>95</v>
      </c>
      <c r="B99" s="36">
        <v>3492182182.7794981</v>
      </c>
    </row>
    <row r="100" spans="1:2" x14ac:dyDescent="0.3">
      <c r="A100" s="34" t="s">
        <v>96</v>
      </c>
      <c r="B100" s="36">
        <v>32041081846.675278</v>
      </c>
    </row>
    <row r="101" spans="1:2" x14ac:dyDescent="0.3">
      <c r="A101" s="34" t="s">
        <v>97</v>
      </c>
      <c r="B101" s="36">
        <v>95257746589.705368</v>
      </c>
    </row>
    <row r="102" spans="1:2" x14ac:dyDescent="0.3">
      <c r="A102" s="34" t="s">
        <v>98</v>
      </c>
      <c r="B102" s="36">
        <v>3693202255.457376</v>
      </c>
    </row>
    <row r="103" spans="1:2" x14ac:dyDescent="0.3">
      <c r="A103" s="34" t="s">
        <v>99</v>
      </c>
      <c r="B103" s="36">
        <v>10526531934.674606</v>
      </c>
    </row>
    <row r="104" spans="1:2" x14ac:dyDescent="0.3">
      <c r="A104" s="34" t="s">
        <v>100</v>
      </c>
      <c r="B104" s="36">
        <v>326677833.88164425</v>
      </c>
    </row>
    <row r="105" spans="1:2" x14ac:dyDescent="0.3">
      <c r="A105" s="34" t="s">
        <v>101</v>
      </c>
      <c r="B105" s="36">
        <v>11513143229.329573</v>
      </c>
    </row>
    <row r="106" spans="1:2" x14ac:dyDescent="0.3">
      <c r="A106" s="34" t="s">
        <v>102</v>
      </c>
      <c r="B106" s="36">
        <v>756617361.6894896</v>
      </c>
    </row>
    <row r="107" spans="1:2" x14ac:dyDescent="0.3">
      <c r="A107" s="34" t="s">
        <v>103</v>
      </c>
      <c r="B107" s="36">
        <v>1436491254.3132479</v>
      </c>
    </row>
    <row r="108" spans="1:2" x14ac:dyDescent="0.3">
      <c r="A108" s="34" t="s">
        <v>104</v>
      </c>
      <c r="B108" s="36">
        <v>1287196237.2238207</v>
      </c>
    </row>
    <row r="109" spans="1:2" x14ac:dyDescent="0.3">
      <c r="A109" s="34" t="s">
        <v>105</v>
      </c>
      <c r="B109" s="36">
        <v>57520128924.104469</v>
      </c>
    </row>
    <row r="110" spans="1:2" x14ac:dyDescent="0.3">
      <c r="A110" s="34" t="s">
        <v>106</v>
      </c>
      <c r="B110" s="36">
        <v>19299417391.274082</v>
      </c>
    </row>
    <row r="111" spans="1:2" x14ac:dyDescent="0.3">
      <c r="A111" s="34" t="s">
        <v>107</v>
      </c>
      <c r="B111" s="36">
        <v>3801182346.6632481</v>
      </c>
    </row>
    <row r="112" spans="1:2" x14ac:dyDescent="0.3">
      <c r="A112" s="34" t="s">
        <v>108</v>
      </c>
      <c r="B112" s="36">
        <v>10621228068.128983</v>
      </c>
    </row>
    <row r="113" spans="1:2" x14ac:dyDescent="0.3">
      <c r="A113" s="34" t="s">
        <v>109</v>
      </c>
      <c r="B113" s="36">
        <v>346158044.58394706</v>
      </c>
    </row>
    <row r="114" spans="1:2" x14ac:dyDescent="0.3">
      <c r="A114" s="34" t="s">
        <v>110</v>
      </c>
      <c r="B114" s="36">
        <v>561448685.03050208</v>
      </c>
    </row>
    <row r="115" spans="1:2" x14ac:dyDescent="0.3">
      <c r="A115" s="34" t="s">
        <v>111</v>
      </c>
      <c r="B115" s="36">
        <v>260660092477.08932</v>
      </c>
    </row>
    <row r="116" spans="1:2" x14ac:dyDescent="0.3">
      <c r="A116" s="34" t="s">
        <v>112</v>
      </c>
      <c r="B116" s="36">
        <v>117168428042.5358</v>
      </c>
    </row>
    <row r="117" spans="1:2" x14ac:dyDescent="0.3">
      <c r="A117" s="34" t="s">
        <v>113</v>
      </c>
      <c r="B117" s="36">
        <v>1222068138.058507</v>
      </c>
    </row>
    <row r="118" spans="1:2" x14ac:dyDescent="0.3">
      <c r="A118" s="34" t="s">
        <v>114</v>
      </c>
      <c r="B118" s="36">
        <v>10887649725.761993</v>
      </c>
    </row>
    <row r="119" spans="1:2" x14ac:dyDescent="0.3">
      <c r="A119" s="34" t="s">
        <v>115</v>
      </c>
      <c r="B119" s="36">
        <v>19580641906.213409</v>
      </c>
    </row>
    <row r="120" spans="1:2" x14ac:dyDescent="0.3">
      <c r="A120" s="34" t="s">
        <v>116</v>
      </c>
      <c r="B120" s="36">
        <v>4246779825.4760289</v>
      </c>
    </row>
    <row r="121" spans="1:2" x14ac:dyDescent="0.3">
      <c r="A121" s="34" t="s">
        <v>117</v>
      </c>
      <c r="B121" s="36">
        <v>26397085339.161888</v>
      </c>
    </row>
    <row r="122" spans="1:2" x14ac:dyDescent="0.3">
      <c r="A122" s="34" t="s">
        <v>118</v>
      </c>
      <c r="B122" s="36">
        <v>12926498378.955168</v>
      </c>
    </row>
    <row r="123" spans="1:2" x14ac:dyDescent="0.3">
      <c r="A123" s="34" t="s">
        <v>119</v>
      </c>
      <c r="B123" s="36">
        <v>50915729.757367194</v>
      </c>
    </row>
    <row r="124" spans="1:2" x14ac:dyDescent="0.3">
      <c r="A124" s="34" t="s">
        <v>120</v>
      </c>
      <c r="B124" s="36">
        <v>14407908565.94873</v>
      </c>
    </row>
    <row r="125" spans="1:2" x14ac:dyDescent="0.3">
      <c r="A125" s="34" t="s">
        <v>121</v>
      </c>
      <c r="B125" s="36">
        <v>3142648023.170752</v>
      </c>
    </row>
    <row r="126" spans="1:2" x14ac:dyDescent="0.3">
      <c r="A126" s="34" t="s">
        <v>122</v>
      </c>
      <c r="B126" s="36">
        <v>42154278775.509949</v>
      </c>
    </row>
    <row r="127" spans="1:2" x14ac:dyDescent="0.3">
      <c r="A127" s="34" t="s">
        <v>123</v>
      </c>
      <c r="B127" s="36">
        <v>31073231.761241909</v>
      </c>
    </row>
    <row r="128" spans="1:2" x14ac:dyDescent="0.3">
      <c r="A128" s="34" t="s">
        <v>124</v>
      </c>
      <c r="B128" s="36">
        <v>2766195173.0211296</v>
      </c>
    </row>
    <row r="129" spans="1:2" x14ac:dyDescent="0.3">
      <c r="A129" s="34" t="s">
        <v>125</v>
      </c>
      <c r="B129" s="36">
        <v>172594830.507792</v>
      </c>
    </row>
    <row r="130" spans="1:2" x14ac:dyDescent="0.3">
      <c r="A130" s="34" t="s">
        <v>126</v>
      </c>
      <c r="B130" s="36">
        <v>3409116216.4706898</v>
      </c>
    </row>
    <row r="131" spans="1:2" x14ac:dyDescent="0.3">
      <c r="A131" s="34" t="s">
        <v>127</v>
      </c>
      <c r="B131" s="36">
        <v>297514576.86434966</v>
      </c>
    </row>
    <row r="132" spans="1:2" x14ac:dyDescent="0.3">
      <c r="A132" s="34" t="s">
        <v>128</v>
      </c>
      <c r="B132" s="36">
        <v>2619941.6215041969</v>
      </c>
    </row>
    <row r="133" spans="1:2" x14ac:dyDescent="0.3">
      <c r="A133" s="34" t="s">
        <v>129</v>
      </c>
      <c r="B133" s="36">
        <v>99797709.260755569</v>
      </c>
    </row>
    <row r="134" spans="1:2" x14ac:dyDescent="0.3">
      <c r="A134" s="34" t="s">
        <v>130</v>
      </c>
      <c r="B134" s="36">
        <v>478997768.45579106</v>
      </c>
    </row>
    <row r="135" spans="1:2" x14ac:dyDescent="0.3">
      <c r="A135" s="34" t="s">
        <v>131</v>
      </c>
      <c r="B135" s="36">
        <v>33381670292.368633</v>
      </c>
    </row>
    <row r="136" spans="1:2" x14ac:dyDescent="0.3">
      <c r="A136" s="34" t="s">
        <v>132</v>
      </c>
      <c r="B136" s="36">
        <v>612852226.2354579</v>
      </c>
    </row>
    <row r="137" spans="1:2" x14ac:dyDescent="0.3">
      <c r="A137" s="34" t="s">
        <v>133</v>
      </c>
      <c r="B137" s="36">
        <v>2901567901.7160645</v>
      </c>
    </row>
    <row r="138" spans="1:2" x14ac:dyDescent="0.3">
      <c r="A138" s="34" t="s">
        <v>134</v>
      </c>
      <c r="B138" s="36">
        <v>664973071.78692663</v>
      </c>
    </row>
    <row r="139" spans="1:2" x14ac:dyDescent="0.3">
      <c r="A139" s="34" t="s">
        <v>135</v>
      </c>
      <c r="B139" s="36">
        <v>95940531285.930359</v>
      </c>
    </row>
    <row r="140" spans="1:2" x14ac:dyDescent="0.3">
      <c r="A140" s="34" t="s">
        <v>136</v>
      </c>
      <c r="B140" s="36">
        <v>29979114913.197708</v>
      </c>
    </row>
    <row r="141" spans="1:2" x14ac:dyDescent="0.3">
      <c r="A141" s="34" t="s">
        <v>137</v>
      </c>
      <c r="B141" s="36">
        <v>11532529947.364464</v>
      </c>
    </row>
    <row r="142" spans="1:2" x14ac:dyDescent="0.3">
      <c r="A142" s="34" t="s">
        <v>138</v>
      </c>
      <c r="B142" s="36">
        <v>751196492.5766871</v>
      </c>
    </row>
    <row r="143" spans="1:2" x14ac:dyDescent="0.3">
      <c r="A143" s="34" t="s">
        <v>139</v>
      </c>
      <c r="B143" s="36">
        <v>15572109935.441858</v>
      </c>
    </row>
    <row r="144" spans="1:2" x14ac:dyDescent="0.3">
      <c r="A144" s="34" t="s">
        <v>140</v>
      </c>
      <c r="B144" s="36">
        <v>16909854375.531738</v>
      </c>
    </row>
    <row r="145" spans="1:2" x14ac:dyDescent="0.3">
      <c r="A145" s="34" t="s">
        <v>141</v>
      </c>
      <c r="B145" s="36">
        <v>7511533245.1260195</v>
      </c>
    </row>
    <row r="146" spans="1:2" x14ac:dyDescent="0.3">
      <c r="A146" s="34" t="s">
        <v>142</v>
      </c>
      <c r="B146" s="36">
        <v>1252190099.5588119</v>
      </c>
    </row>
    <row r="147" spans="1:2" x14ac:dyDescent="0.3">
      <c r="A147" s="34" t="s">
        <v>143</v>
      </c>
      <c r="B147" s="36">
        <v>18792539229.971558</v>
      </c>
    </row>
    <row r="148" spans="1:2" x14ac:dyDescent="0.3">
      <c r="A148" s="34" t="s">
        <v>144</v>
      </c>
      <c r="B148" s="36">
        <v>25451283533.613613</v>
      </c>
    </row>
    <row r="149" spans="1:2" x14ac:dyDescent="0.3">
      <c r="A149" s="34" t="s">
        <v>145</v>
      </c>
      <c r="B149" s="36">
        <v>17675194419.563839</v>
      </c>
    </row>
    <row r="150" spans="1:2" x14ac:dyDescent="0.3">
      <c r="A150" s="34" t="s">
        <v>146</v>
      </c>
      <c r="B150" s="36">
        <v>2891714095.0332618</v>
      </c>
    </row>
    <row r="151" spans="1:2" x14ac:dyDescent="0.3">
      <c r="A151" s="34" t="s">
        <v>147</v>
      </c>
      <c r="B151" s="36">
        <v>10842924911.657669</v>
      </c>
    </row>
    <row r="152" spans="1:2" x14ac:dyDescent="0.3">
      <c r="A152" s="34" t="s">
        <v>148</v>
      </c>
      <c r="B152" s="36">
        <v>21035876114.307671</v>
      </c>
    </row>
    <row r="153" spans="1:2" x14ac:dyDescent="0.3">
      <c r="A153" s="34" t="s">
        <v>149</v>
      </c>
      <c r="B153" s="36">
        <v>5332200140.4454708</v>
      </c>
    </row>
    <row r="154" spans="1:2" x14ac:dyDescent="0.3">
      <c r="A154" s="34" t="s">
        <v>150</v>
      </c>
      <c r="B154" s="36">
        <v>33009869234.594246</v>
      </c>
    </row>
    <row r="155" spans="1:2" x14ac:dyDescent="0.3">
      <c r="A155" s="34" t="s">
        <v>151</v>
      </c>
      <c r="B155" s="36">
        <v>166066031574.28967</v>
      </c>
    </row>
    <row r="156" spans="1:2" x14ac:dyDescent="0.3">
      <c r="A156" s="34" t="s">
        <v>152</v>
      </c>
      <c r="B156" s="36">
        <v>53632674227.178513</v>
      </c>
    </row>
    <row r="157" spans="1:2" x14ac:dyDescent="0.3">
      <c r="A157" s="34" t="s">
        <v>153</v>
      </c>
      <c r="B157" s="36">
        <v>20649949117.796169</v>
      </c>
    </row>
    <row r="158" spans="1:2" x14ac:dyDescent="0.3">
      <c r="A158" s="34" t="s">
        <v>154</v>
      </c>
      <c r="B158" s="36">
        <v>3791115215.5713682</v>
      </c>
    </row>
    <row r="159" spans="1:2" x14ac:dyDescent="0.3">
      <c r="A159" s="34" t="s">
        <v>155</v>
      </c>
      <c r="B159" s="36">
        <v>708985213.18020725</v>
      </c>
    </row>
    <row r="160" spans="1:2" x14ac:dyDescent="0.3">
      <c r="A160" s="34" t="s">
        <v>156</v>
      </c>
      <c r="B160" s="36">
        <v>46080148899.329514</v>
      </c>
    </row>
    <row r="161" spans="1:2" x14ac:dyDescent="0.3">
      <c r="A161" s="34" t="s">
        <v>157</v>
      </c>
      <c r="B161" s="36">
        <v>11913308178.412848</v>
      </c>
    </row>
    <row r="162" spans="1:2" x14ac:dyDescent="0.3">
      <c r="A162" s="34" t="s">
        <v>158</v>
      </c>
      <c r="B162" s="36">
        <v>32305268155.091103</v>
      </c>
    </row>
    <row r="163" spans="1:2" x14ac:dyDescent="0.3">
      <c r="A163" s="34" t="s">
        <v>159</v>
      </c>
      <c r="B163" s="36">
        <v>7485910677.0491295</v>
      </c>
    </row>
    <row r="164" spans="1:2" x14ac:dyDescent="0.3">
      <c r="A164" s="34" t="s">
        <v>160</v>
      </c>
      <c r="B164" s="36">
        <v>106118813060.79668</v>
      </c>
    </row>
    <row r="165" spans="1:2" x14ac:dyDescent="0.3">
      <c r="A165" s="34" t="s">
        <v>161</v>
      </c>
      <c r="B165" s="36">
        <v>18506561837.771152</v>
      </c>
    </row>
    <row r="166" spans="1:2" x14ac:dyDescent="0.3">
      <c r="A166" s="34" t="s">
        <v>162</v>
      </c>
      <c r="B166" s="36">
        <v>13006180365.486973</v>
      </c>
    </row>
    <row r="167" spans="1:2" x14ac:dyDescent="0.3">
      <c r="A167" s="34" t="s">
        <v>163</v>
      </c>
      <c r="B167" s="36">
        <v>197218972616.56534</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10521440511.982124</v>
      </c>
    </row>
    <row r="178" spans="1:2" x14ac:dyDescent="0.3">
      <c r="A178" s="34" t="s">
        <v>174</v>
      </c>
      <c r="B178" s="36">
        <v>0</v>
      </c>
    </row>
    <row r="179" spans="1:2" x14ac:dyDescent="0.3">
      <c r="A179" s="34" t="s">
        <v>175</v>
      </c>
      <c r="B179" s="36">
        <v>26520540454.039356</v>
      </c>
    </row>
    <row r="180" spans="1:2" x14ac:dyDescent="0.3">
      <c r="A180" s="34" t="s">
        <v>176</v>
      </c>
      <c r="B180" s="36">
        <v>2892404258.3256626</v>
      </c>
    </row>
    <row r="181" spans="1:2" x14ac:dyDescent="0.3">
      <c r="A181" s="34" t="s">
        <v>177</v>
      </c>
      <c r="B181" s="36">
        <v>48808294299.632545</v>
      </c>
    </row>
    <row r="182" spans="1:2" x14ac:dyDescent="0.3">
      <c r="A182" s="34" t="s">
        <v>178</v>
      </c>
      <c r="B182" s="36">
        <v>6861521067.226532</v>
      </c>
    </row>
    <row r="183" spans="1:2" x14ac:dyDescent="0.3">
      <c r="A183" s="34" t="s">
        <v>179</v>
      </c>
      <c r="B183" s="36">
        <v>283538510.48780185</v>
      </c>
    </row>
    <row r="184" spans="1:2" x14ac:dyDescent="0.3">
      <c r="A184" s="34" t="s">
        <v>180</v>
      </c>
      <c r="B184" s="36">
        <v>5486924785.3575363</v>
      </c>
    </row>
    <row r="185" spans="1:2" x14ac:dyDescent="0.3">
      <c r="A185" s="34" t="s">
        <v>181</v>
      </c>
      <c r="B185" s="36">
        <v>7153281682.1587105</v>
      </c>
    </row>
    <row r="186" spans="1:2" x14ac:dyDescent="0.3">
      <c r="A186" s="34" t="s">
        <v>182</v>
      </c>
      <c r="B186" s="36">
        <v>91751536731.938751</v>
      </c>
    </row>
    <row r="187" spans="1:2" x14ac:dyDescent="0.3">
      <c r="A187" s="34" t="s">
        <v>183</v>
      </c>
      <c r="B187" s="36">
        <v>19223029789.466045</v>
      </c>
    </row>
    <row r="188" spans="1:2" x14ac:dyDescent="0.3">
      <c r="A188" s="34" t="s">
        <v>184</v>
      </c>
      <c r="B188" s="36">
        <v>1102641330.3845274</v>
      </c>
    </row>
    <row r="189" spans="1:2" x14ac:dyDescent="0.3">
      <c r="A189" s="34" t="s">
        <v>185</v>
      </c>
      <c r="B189" s="36">
        <v>713214181.55502439</v>
      </c>
    </row>
    <row r="190" spans="1:2" x14ac:dyDescent="0.3">
      <c r="A190" s="34" t="s">
        <v>186</v>
      </c>
      <c r="B190" s="36">
        <v>1234738471.6536317</v>
      </c>
    </row>
    <row r="191" spans="1:2" x14ac:dyDescent="0.3">
      <c r="A191" s="34" t="s">
        <v>187</v>
      </c>
      <c r="B191" s="36">
        <v>16221318126.114185</v>
      </c>
    </row>
    <row r="192" spans="1:2" x14ac:dyDescent="0.3">
      <c r="A192" s="34" t="s">
        <v>188</v>
      </c>
      <c r="B192" s="36">
        <v>14953863819.837027</v>
      </c>
    </row>
    <row r="193" spans="1:2" x14ac:dyDescent="0.3">
      <c r="A193" s="34" t="s">
        <v>189</v>
      </c>
      <c r="B193" s="36">
        <v>4706146.8445354588</v>
      </c>
    </row>
    <row r="194" spans="1:2" x14ac:dyDescent="0.3">
      <c r="A194" s="34" t="s">
        <v>190</v>
      </c>
      <c r="B194" s="36">
        <v>24353471802.468555</v>
      </c>
    </row>
    <row r="195" spans="1:2" x14ac:dyDescent="0.3">
      <c r="A195" s="34" t="s">
        <v>191</v>
      </c>
      <c r="B195" s="36">
        <v>5414913910.1211443</v>
      </c>
    </row>
    <row r="196" spans="1:2" x14ac:dyDescent="0.3">
      <c r="A196" s="34" t="s">
        <v>192</v>
      </c>
      <c r="B196" s="36">
        <v>38917151872.598473</v>
      </c>
    </row>
    <row r="197" spans="1:2" x14ac:dyDescent="0.3">
      <c r="A197" s="34" t="s">
        <v>193</v>
      </c>
      <c r="B197" s="36">
        <v>1223213854.654459</v>
      </c>
    </row>
    <row r="198" spans="1:2" x14ac:dyDescent="0.3">
      <c r="A198" s="34" t="s">
        <v>194</v>
      </c>
      <c r="B198" s="36">
        <v>156793756383.00858</v>
      </c>
    </row>
    <row r="199" spans="1:2" x14ac:dyDescent="0.3">
      <c r="A199" s="34" t="s">
        <v>195</v>
      </c>
      <c r="B199" s="36">
        <v>93338402701.44162</v>
      </c>
    </row>
    <row r="200" spans="1:2" x14ac:dyDescent="0.3">
      <c r="A200" s="34" t="s">
        <v>196</v>
      </c>
      <c r="B200" s="36">
        <v>0</v>
      </c>
    </row>
    <row r="201" spans="1:2" x14ac:dyDescent="0.3">
      <c r="A201" s="34" t="s">
        <v>197</v>
      </c>
      <c r="B201" s="36">
        <v>1470148806.777353</v>
      </c>
    </row>
    <row r="202" spans="1:2" x14ac:dyDescent="0.3">
      <c r="A202" s="34" t="s">
        <v>198</v>
      </c>
      <c r="B202" s="36">
        <v>963785951.17574871</v>
      </c>
    </row>
    <row r="203" spans="1:2" x14ac:dyDescent="0.3">
      <c r="A203" s="34" t="s">
        <v>199</v>
      </c>
      <c r="B203" s="36">
        <v>103074046.75888659</v>
      </c>
    </row>
    <row r="204" spans="1:2" x14ac:dyDescent="0.3">
      <c r="A204" s="34" t="s">
        <v>200</v>
      </c>
      <c r="B204" s="36">
        <v>10043140009.400084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38D93-D1DA-49E4-BDDE-F2F848EA9886}">
  <sheetPr codeName="Sheet11"/>
  <dimension ref="A1:N209"/>
  <sheetViews>
    <sheetView zoomScaleNormal="100" workbookViewId="0">
      <selection sqref="A1:B2"/>
    </sheetView>
  </sheetViews>
  <sheetFormatPr defaultRowHeight="14.4" x14ac:dyDescent="0.3"/>
  <cols>
    <col min="1" max="1" width="71.33203125" customWidth="1"/>
    <col min="2" max="2" width="55.6640625" customWidth="1"/>
    <col min="3" max="3" width="25.44140625" customWidth="1"/>
    <col min="4" max="4" width="17.6640625" customWidth="1"/>
    <col min="5" max="5" width="22.109375" customWidth="1"/>
    <col min="6" max="6" width="18.5546875" customWidth="1"/>
    <col min="7" max="8" width="12.6640625" customWidth="1"/>
    <col min="9" max="9" width="12.44140625" customWidth="1"/>
    <col min="10" max="10" width="10" bestFit="1" customWidth="1"/>
  </cols>
  <sheetData>
    <row r="1" spans="1:14" ht="24" thickBot="1" x14ac:dyDescent="0.5">
      <c r="A1" s="10" t="s">
        <v>242</v>
      </c>
      <c r="B1" s="38" t="s">
        <v>262</v>
      </c>
    </row>
    <row r="2" spans="1:14" ht="21" thickTop="1" thickBot="1" x14ac:dyDescent="0.45">
      <c r="A2" s="10" t="s">
        <v>243</v>
      </c>
      <c r="B2" t="s">
        <v>280</v>
      </c>
    </row>
    <row r="3" spans="1:14" ht="15" thickTop="1" x14ac:dyDescent="0.3"/>
    <row r="4" spans="1:14" x14ac:dyDescent="0.3">
      <c r="D4" t="s">
        <v>301</v>
      </c>
      <c r="E4" t="s">
        <v>302</v>
      </c>
    </row>
    <row r="5" spans="1:14" x14ac:dyDescent="0.3">
      <c r="A5" t="s">
        <v>269</v>
      </c>
      <c r="B5" t="s">
        <v>270</v>
      </c>
      <c r="C5" s="37">
        <v>4450000000000</v>
      </c>
      <c r="D5" s="35">
        <f>VLOOKUP("Plastics, basic", $A$10:$B$209, 2, FALSE)/$C5</f>
        <v>3.5551117159752767E-2</v>
      </c>
      <c r="E5" s="35">
        <f>VLOOKUP("Chemicals nec", $A$10:$B$209, 2, FALSE)/$C5</f>
        <v>5.043425912936695E-2</v>
      </c>
    </row>
    <row r="6" spans="1:14" x14ac:dyDescent="0.3">
      <c r="A6" t="s">
        <v>271</v>
      </c>
      <c r="B6" t="s">
        <v>272</v>
      </c>
      <c r="C6" s="37">
        <v>3560000000000</v>
      </c>
      <c r="D6" s="35">
        <f t="shared" ref="D6:D7" si="0">VLOOKUP("Plastics, basic", $A$10:$B$209, 2, FALSE)/$C6</f>
        <v>4.4438896449690957E-2</v>
      </c>
      <c r="E6" s="35">
        <f t="shared" ref="E6:E7" si="1">VLOOKUP("Chemicals nec", $A$10:$B$209, 2, FALSE)/$C6</f>
        <v>6.3042823911708692E-2</v>
      </c>
    </row>
    <row r="7" spans="1:14" x14ac:dyDescent="0.3">
      <c r="A7" t="s">
        <v>273</v>
      </c>
      <c r="B7" t="s">
        <v>274</v>
      </c>
      <c r="C7" s="37">
        <v>660000000000</v>
      </c>
      <c r="D7" s="35">
        <f t="shared" si="0"/>
        <v>0.23970071418318153</v>
      </c>
      <c r="E7" s="35">
        <f t="shared" si="1"/>
        <v>0.34004917140254987</v>
      </c>
    </row>
    <row r="9" spans="1:14" x14ac:dyDescent="0.3">
      <c r="A9" s="8" t="s">
        <v>203</v>
      </c>
      <c r="B9" s="8" t="s">
        <v>244</v>
      </c>
      <c r="C9" s="8" t="s">
        <v>263</v>
      </c>
      <c r="D9" s="8" t="s">
        <v>264</v>
      </c>
      <c r="E9" s="8" t="s">
        <v>265</v>
      </c>
      <c r="F9" s="8" t="s">
        <v>266</v>
      </c>
      <c r="G9" s="8" t="s">
        <v>201</v>
      </c>
      <c r="H9" s="8" t="s">
        <v>202</v>
      </c>
    </row>
    <row r="10" spans="1:14" x14ac:dyDescent="0.3">
      <c r="A10" s="9" t="s">
        <v>32</v>
      </c>
      <c r="B10" s="29">
        <f t="shared" ref="B10:B41" si="2">SUM(C10:F10)</f>
        <v>652538487205.63916</v>
      </c>
      <c r="C10" s="4">
        <f>VLOOKUP(A10,  output_exiobase_v3.10.2_EXIO_IOT_2019_pxp_Y_imports_footprint_EU27[], 2, FALSE)</f>
        <v>10351269384.436415</v>
      </c>
      <c r="D10" s="4">
        <f>VLOOKUP(A10, output_exiobase_v3.10.2_EXIO_IOT_2019_pxp_Z_imports_footprint_EU27[], 2, FALSE)</f>
        <v>8078179943.1973524</v>
      </c>
      <c r="E10" s="4">
        <f>VLOOKUP(A10, output_exiobase_v3.10.2_EXIO_IOT_2019_pxp_Y_production_footprint_EU27[], 2, FALSE)</f>
        <v>419482650526.82281</v>
      </c>
      <c r="F10" s="4">
        <f>VLOOKUP(A10, output_exiobase_v3.10.2_EXIO_IOT_2019_pxp_Z_production_footprint_EU27[], 2, FALSE)</f>
        <v>214626387351.1825</v>
      </c>
      <c r="G10" s="35">
        <f t="shared" ref="G10:G41" si="3">(C10+D10)/B10</f>
        <v>2.8242700911871213E-2</v>
      </c>
      <c r="H10" s="1">
        <f t="shared" ref="H10:H41" si="4">(E10+F10)/B10</f>
        <v>0.9717572990881288</v>
      </c>
      <c r="I10" s="6"/>
      <c r="J10" s="5"/>
      <c r="N10" s="7"/>
    </row>
    <row r="11" spans="1:14" x14ac:dyDescent="0.3">
      <c r="A11" s="9" t="s">
        <v>163</v>
      </c>
      <c r="B11" s="29">
        <f t="shared" si="2"/>
        <v>456248575799.74194</v>
      </c>
      <c r="C11" s="4">
        <f>VLOOKUP(A11,  output_exiobase_v3.10.2_EXIO_IOT_2019_pxp_Y_imports_footprint_EU27[], 2, FALSE)</f>
        <v>49157293523.150818</v>
      </c>
      <c r="D11" s="4">
        <f>VLOOKUP(A11, output_exiobase_v3.10.2_EXIO_IOT_2019_pxp_Z_imports_footprint_EU27[], 2, FALSE)</f>
        <v>100208412700.98203</v>
      </c>
      <c r="E11" s="4">
        <f>VLOOKUP(A11, output_exiobase_v3.10.2_EXIO_IOT_2019_pxp_Y_production_footprint_EU27[], 2, FALSE)</f>
        <v>109663896959.04375</v>
      </c>
      <c r="F11" s="4">
        <f>VLOOKUP(A11, output_exiobase_v3.10.2_EXIO_IOT_2019_pxp_Z_production_footprint_EU27[], 2, FALSE)</f>
        <v>197218972616.56534</v>
      </c>
      <c r="G11" s="35">
        <f t="shared" si="3"/>
        <v>0.3273779122758137</v>
      </c>
      <c r="H11" s="1">
        <f t="shared" si="4"/>
        <v>0.6726220877241863</v>
      </c>
      <c r="I11" s="6"/>
      <c r="N11" s="7"/>
    </row>
    <row r="12" spans="1:14" x14ac:dyDescent="0.3">
      <c r="A12" s="9" t="s">
        <v>44</v>
      </c>
      <c r="B12" s="29">
        <f t="shared" si="2"/>
        <v>421599932582.18475</v>
      </c>
      <c r="C12" s="4">
        <f>VLOOKUP(A12,  output_exiobase_v3.10.2_EXIO_IOT_2019_pxp_Y_imports_footprint_EU27[], 2, FALSE)</f>
        <v>6316321909.1440592</v>
      </c>
      <c r="D12" s="4">
        <f>VLOOKUP(A12, output_exiobase_v3.10.2_EXIO_IOT_2019_pxp_Z_imports_footprint_EU27[], 2, FALSE)</f>
        <v>16609265498.583902</v>
      </c>
      <c r="E12" s="4">
        <f>VLOOKUP(A12, output_exiobase_v3.10.2_EXIO_IOT_2019_pxp_Y_production_footprint_EU27[], 2, FALSE)</f>
        <v>111224752588.56972</v>
      </c>
      <c r="F12" s="4">
        <f>VLOOKUP(A12, output_exiobase_v3.10.2_EXIO_IOT_2019_pxp_Z_production_footprint_EU27[], 2, FALSE)</f>
        <v>287449592585.88708</v>
      </c>
      <c r="G12" s="35">
        <f t="shared" si="3"/>
        <v>5.4377587935830501E-2</v>
      </c>
      <c r="H12" s="1">
        <f t="shared" si="4"/>
        <v>0.94562241206416953</v>
      </c>
      <c r="I12" s="6"/>
      <c r="N12" s="7"/>
    </row>
    <row r="13" spans="1:14" x14ac:dyDescent="0.3">
      <c r="A13" s="9" t="s">
        <v>10</v>
      </c>
      <c r="B13" s="29">
        <f t="shared" si="2"/>
        <v>320494399306.82135</v>
      </c>
      <c r="C13" s="4">
        <f>VLOOKUP(A13,  output_exiobase_v3.10.2_EXIO_IOT_2019_pxp_Y_imports_footprint_EU27[], 2, FALSE)</f>
        <v>5965857472.8328028</v>
      </c>
      <c r="D13" s="4">
        <f>VLOOKUP(A13, output_exiobase_v3.10.2_EXIO_IOT_2019_pxp_Z_imports_footprint_EU27[], 2, FALSE)</f>
        <v>100591572982.13377</v>
      </c>
      <c r="E13" s="4">
        <f>VLOOKUP(A13, output_exiobase_v3.10.2_EXIO_IOT_2019_pxp_Y_production_footprint_EU27[], 2, FALSE)</f>
        <v>6580886426.631855</v>
      </c>
      <c r="F13" s="4">
        <f>VLOOKUP(A13, output_exiobase_v3.10.2_EXIO_IOT_2019_pxp_Z_production_footprint_EU27[], 2, FALSE)</f>
        <v>207356082425.22293</v>
      </c>
      <c r="G13" s="35">
        <f t="shared" si="3"/>
        <v>0.33247829193094619</v>
      </c>
      <c r="H13" s="1">
        <f t="shared" si="4"/>
        <v>0.66752170806905387</v>
      </c>
      <c r="I13" s="6"/>
      <c r="N13" s="7"/>
    </row>
    <row r="14" spans="1:14" x14ac:dyDescent="0.3">
      <c r="A14" s="9" t="s">
        <v>111</v>
      </c>
      <c r="B14" s="29">
        <f t="shared" si="2"/>
        <v>320419034407.03015</v>
      </c>
      <c r="C14" s="4">
        <f>VLOOKUP(A14,  output_exiobase_v3.10.2_EXIO_IOT_2019_pxp_Y_imports_footprint_EU27[], 2, FALSE)</f>
        <v>4750498417.5531559</v>
      </c>
      <c r="D14" s="4">
        <f>VLOOKUP(A14, output_exiobase_v3.10.2_EXIO_IOT_2019_pxp_Z_imports_footprint_EU27[], 2, FALSE)</f>
        <v>19382260707.506287</v>
      </c>
      <c r="E14" s="4">
        <f>VLOOKUP(A14, output_exiobase_v3.10.2_EXIO_IOT_2019_pxp_Y_production_footprint_EU27[], 2, FALSE)</f>
        <v>35626182804.881378</v>
      </c>
      <c r="F14" s="4">
        <f>VLOOKUP(A14, output_exiobase_v3.10.2_EXIO_IOT_2019_pxp_Z_production_footprint_EU27[], 2, FALSE)</f>
        <v>260660092477.08932</v>
      </c>
      <c r="G14" s="35">
        <f t="shared" si="3"/>
        <v>7.5316246956800503E-2</v>
      </c>
      <c r="H14" s="1">
        <f t="shared" si="4"/>
        <v>0.9246837530431995</v>
      </c>
      <c r="I14" s="6"/>
      <c r="N14" s="7"/>
    </row>
    <row r="15" spans="1:14" x14ac:dyDescent="0.3">
      <c r="A15" s="9" t="s">
        <v>97</v>
      </c>
      <c r="B15" s="29">
        <f t="shared" si="2"/>
        <v>301196655633.1604</v>
      </c>
      <c r="C15" s="4">
        <f>VLOOKUP(A15,  output_exiobase_v3.10.2_EXIO_IOT_2019_pxp_Y_imports_footprint_EU27[], 2, FALSE)</f>
        <v>43134222064.714622</v>
      </c>
      <c r="D15" s="4">
        <f>VLOOKUP(A15, output_exiobase_v3.10.2_EXIO_IOT_2019_pxp_Z_imports_footprint_EU27[], 2, FALSE)</f>
        <v>26223162734.618626</v>
      </c>
      <c r="E15" s="4">
        <f>VLOOKUP(A15, output_exiobase_v3.10.2_EXIO_IOT_2019_pxp_Y_production_footprint_EU27[], 2, FALSE)</f>
        <v>136581524244.1218</v>
      </c>
      <c r="F15" s="4">
        <f>VLOOKUP(A15, output_exiobase_v3.10.2_EXIO_IOT_2019_pxp_Z_production_footprint_EU27[], 2, FALSE)</f>
        <v>95257746589.705368</v>
      </c>
      <c r="G15" s="35">
        <f t="shared" si="3"/>
        <v>0.23027275868496502</v>
      </c>
      <c r="H15" s="1">
        <f t="shared" si="4"/>
        <v>0.769727241315035</v>
      </c>
      <c r="I15" s="6"/>
      <c r="N15" s="7"/>
    </row>
    <row r="16" spans="1:14" x14ac:dyDescent="0.3">
      <c r="A16" s="9" t="s">
        <v>60</v>
      </c>
      <c r="B16" s="29">
        <f t="shared" si="2"/>
        <v>287017505554.00488</v>
      </c>
      <c r="C16" s="4">
        <f>VLOOKUP(A16,  output_exiobase_v3.10.2_EXIO_IOT_2019_pxp_Y_imports_footprint_EU27[], 2, FALSE)</f>
        <v>25530917006.162022</v>
      </c>
      <c r="D16" s="4">
        <f>VLOOKUP(A16, output_exiobase_v3.10.2_EXIO_IOT_2019_pxp_Z_imports_footprint_EU27[], 2, FALSE)</f>
        <v>5977810237.9473038</v>
      </c>
      <c r="E16" s="4">
        <f>VLOOKUP(A16, output_exiobase_v3.10.2_EXIO_IOT_2019_pxp_Y_production_footprint_EU27[], 2, FALSE)</f>
        <v>171574587939.16086</v>
      </c>
      <c r="F16" s="4">
        <f>VLOOKUP(A16, output_exiobase_v3.10.2_EXIO_IOT_2019_pxp_Z_production_footprint_EU27[], 2, FALSE)</f>
        <v>83934190370.734695</v>
      </c>
      <c r="G16" s="35">
        <f t="shared" si="3"/>
        <v>0.10977981006172698</v>
      </c>
      <c r="H16" s="1">
        <f t="shared" si="4"/>
        <v>0.89022018993827301</v>
      </c>
      <c r="I16" s="6"/>
      <c r="N16" s="7"/>
    </row>
    <row r="17" spans="1:14" x14ac:dyDescent="0.3">
      <c r="A17" s="9" t="s">
        <v>194</v>
      </c>
      <c r="B17" s="29">
        <f t="shared" si="2"/>
        <v>280544366944.27441</v>
      </c>
      <c r="C17" s="4">
        <f>VLOOKUP(A17,  output_exiobase_v3.10.2_EXIO_IOT_2019_pxp_Y_imports_footprint_EU27[], 2, FALSE)</f>
        <v>47380415.262712553</v>
      </c>
      <c r="D17" s="4">
        <f>VLOOKUP(A17, output_exiobase_v3.10.2_EXIO_IOT_2019_pxp_Z_imports_footprint_EU27[], 2, FALSE)</f>
        <v>7784367752.6921759</v>
      </c>
      <c r="E17" s="4">
        <f>VLOOKUP(A17, output_exiobase_v3.10.2_EXIO_IOT_2019_pxp_Y_production_footprint_EU27[], 2, FALSE)</f>
        <v>115918862393.31093</v>
      </c>
      <c r="F17" s="4">
        <f>VLOOKUP(A17, output_exiobase_v3.10.2_EXIO_IOT_2019_pxp_Z_production_footprint_EU27[], 2, FALSE)</f>
        <v>156793756383.00858</v>
      </c>
      <c r="G17" s="35">
        <f t="shared" si="3"/>
        <v>2.791625529059558E-2</v>
      </c>
      <c r="H17" s="1">
        <f t="shared" si="4"/>
        <v>0.9720837447094044</v>
      </c>
      <c r="I17" s="6"/>
      <c r="N17" s="7"/>
    </row>
    <row r="18" spans="1:14" ht="13.95" customHeight="1" x14ac:dyDescent="0.3">
      <c r="A18" s="9" t="s">
        <v>56</v>
      </c>
      <c r="B18" s="29">
        <f t="shared" si="2"/>
        <v>255050403894.66852</v>
      </c>
      <c r="C18" s="4">
        <f>VLOOKUP(A18,  output_exiobase_v3.10.2_EXIO_IOT_2019_pxp_Y_imports_footprint_EU27[], 2, FALSE)</f>
        <v>21911486553.740738</v>
      </c>
      <c r="D18" s="4">
        <f>VLOOKUP(A18, output_exiobase_v3.10.2_EXIO_IOT_2019_pxp_Z_imports_footprint_EU27[], 2, FALSE)</f>
        <v>46871050702.47422</v>
      </c>
      <c r="E18" s="4">
        <f>VLOOKUP(A18, output_exiobase_v3.10.2_EXIO_IOT_2019_pxp_Y_production_footprint_EU27[], 2, FALSE)</f>
        <v>37170123030.579407</v>
      </c>
      <c r="F18" s="4">
        <f>VLOOKUP(A18, output_exiobase_v3.10.2_EXIO_IOT_2019_pxp_Z_production_footprint_EU27[], 2, FALSE)</f>
        <v>149097743607.87415</v>
      </c>
      <c r="G18" s="35">
        <f t="shared" si="3"/>
        <v>0.26968213422089299</v>
      </c>
      <c r="H18" s="1">
        <f t="shared" si="4"/>
        <v>0.73031786577910696</v>
      </c>
      <c r="I18" s="6"/>
      <c r="N18" s="7"/>
    </row>
    <row r="19" spans="1:14" x14ac:dyDescent="0.3">
      <c r="A19" s="9" t="s">
        <v>36</v>
      </c>
      <c r="B19" s="29">
        <f t="shared" si="2"/>
        <v>245561957960.01025</v>
      </c>
      <c r="C19" s="4">
        <f>VLOOKUP(A19,  output_exiobase_v3.10.2_EXIO_IOT_2019_pxp_Y_imports_footprint_EU27[], 2, FALSE)</f>
        <v>803778735.34864521</v>
      </c>
      <c r="D19" s="4">
        <f>VLOOKUP(A19, output_exiobase_v3.10.2_EXIO_IOT_2019_pxp_Z_imports_footprint_EU27[], 2, FALSE)</f>
        <v>218422472303.35385</v>
      </c>
      <c r="E19" s="4">
        <f>VLOOKUP(A19, output_exiobase_v3.10.2_EXIO_IOT_2019_pxp_Y_production_footprint_EU27[], 2, FALSE)</f>
        <v>3681709611.1333156</v>
      </c>
      <c r="F19" s="4">
        <f>VLOOKUP(A19, output_exiobase_v3.10.2_EXIO_IOT_2019_pxp_Z_production_footprint_EU27[], 2, FALSE)</f>
        <v>22653997310.174461</v>
      </c>
      <c r="G19" s="35">
        <f t="shared" si="3"/>
        <v>0.89275331105807298</v>
      </c>
      <c r="H19" s="1">
        <f t="shared" si="4"/>
        <v>0.10724668894192702</v>
      </c>
      <c r="I19" s="6"/>
      <c r="N19" s="7"/>
    </row>
    <row r="20" spans="1:14" x14ac:dyDescent="0.3">
      <c r="A20" s="9" t="s">
        <v>2</v>
      </c>
      <c r="B20" s="29">
        <f t="shared" si="2"/>
        <v>234426671957.6958</v>
      </c>
      <c r="C20" s="4">
        <f>VLOOKUP(A20,  output_exiobase_v3.10.2_EXIO_IOT_2019_pxp_Y_imports_footprint_EU27[], 2, FALSE)</f>
        <v>62242202918.691315</v>
      </c>
      <c r="D20" s="4">
        <f>VLOOKUP(A20, output_exiobase_v3.10.2_EXIO_IOT_2019_pxp_Z_imports_footprint_EU27[], 2, FALSE)</f>
        <v>23255212307.975014</v>
      </c>
      <c r="E20" s="4">
        <f>VLOOKUP(A20, output_exiobase_v3.10.2_EXIO_IOT_2019_pxp_Y_production_footprint_EU27[], 2, FALSE)</f>
        <v>87382105306.737564</v>
      </c>
      <c r="F20" s="4">
        <f>VLOOKUP(A20, output_exiobase_v3.10.2_EXIO_IOT_2019_pxp_Z_production_footprint_EU27[], 2, FALSE)</f>
        <v>61547151424.291946</v>
      </c>
      <c r="G20" s="35">
        <f t="shared" si="3"/>
        <v>0.36470856542337055</v>
      </c>
      <c r="H20" s="1">
        <f t="shared" si="4"/>
        <v>0.63529143457662962</v>
      </c>
      <c r="I20" s="6"/>
      <c r="N20" s="7"/>
    </row>
    <row r="21" spans="1:14" x14ac:dyDescent="0.3">
      <c r="A21" s="9" t="s">
        <v>25</v>
      </c>
      <c r="B21" s="29">
        <f t="shared" si="2"/>
        <v>224432453125.68292</v>
      </c>
      <c r="C21" s="4">
        <f>VLOOKUP(A21,  output_exiobase_v3.10.2_EXIO_IOT_2019_pxp_Y_imports_footprint_EU27[], 2, FALSE)</f>
        <v>38138546420.380417</v>
      </c>
      <c r="D21" s="4">
        <f>VLOOKUP(A21, output_exiobase_v3.10.2_EXIO_IOT_2019_pxp_Z_imports_footprint_EU27[], 2, FALSE)</f>
        <v>77987966017.695786</v>
      </c>
      <c r="E21" s="4">
        <f>VLOOKUP(A21, output_exiobase_v3.10.2_EXIO_IOT_2019_pxp_Y_production_footprint_EU27[], 2, FALSE)</f>
        <v>35832447357.165359</v>
      </c>
      <c r="F21" s="4">
        <f>VLOOKUP(A21, output_exiobase_v3.10.2_EXIO_IOT_2019_pxp_Z_production_footprint_EU27[], 2, FALSE)</f>
        <v>72473493330.44133</v>
      </c>
      <c r="G21" s="35">
        <f t="shared" si="3"/>
        <v>0.51742299663340119</v>
      </c>
      <c r="H21" s="1">
        <f t="shared" si="4"/>
        <v>0.4825770033665987</v>
      </c>
      <c r="I21" s="6"/>
      <c r="N21" s="7"/>
    </row>
    <row r="22" spans="1:14" x14ac:dyDescent="0.3">
      <c r="A22" s="9" t="s">
        <v>75</v>
      </c>
      <c r="B22" s="29">
        <f t="shared" si="2"/>
        <v>209842618341.1748</v>
      </c>
      <c r="C22" s="4">
        <f>VLOOKUP(A22,  output_exiobase_v3.10.2_EXIO_IOT_2019_pxp_Y_imports_footprint_EU27[], 2, FALSE)</f>
        <v>6988084585.2901955</v>
      </c>
      <c r="D22" s="4">
        <f>VLOOKUP(A22, output_exiobase_v3.10.2_EXIO_IOT_2019_pxp_Z_imports_footprint_EU27[], 2, FALSE)</f>
        <v>26069825554.727409</v>
      </c>
      <c r="E22" s="4">
        <f>VLOOKUP(A22, output_exiobase_v3.10.2_EXIO_IOT_2019_pxp_Y_production_footprint_EU27[], 2, FALSE)</f>
        <v>109330189157.82344</v>
      </c>
      <c r="F22" s="4">
        <f>VLOOKUP(A22, output_exiobase_v3.10.2_EXIO_IOT_2019_pxp_Z_production_footprint_EU27[], 2, FALSE)</f>
        <v>67454519043.333786</v>
      </c>
      <c r="G22" s="35">
        <f t="shared" si="3"/>
        <v>0.15753668345040403</v>
      </c>
      <c r="H22" s="1">
        <f t="shared" si="4"/>
        <v>0.84246331654959605</v>
      </c>
      <c r="I22" s="6"/>
      <c r="N22" s="7"/>
    </row>
    <row r="23" spans="1:14" x14ac:dyDescent="0.3">
      <c r="A23" s="9" t="s">
        <v>45</v>
      </c>
      <c r="B23" s="29">
        <f t="shared" si="2"/>
        <v>209560053317.32031</v>
      </c>
      <c r="C23" s="4">
        <f>VLOOKUP(A23,  output_exiobase_v3.10.2_EXIO_IOT_2019_pxp_Y_imports_footprint_EU27[], 2, FALSE)</f>
        <v>3001254424.0328345</v>
      </c>
      <c r="D23" s="4">
        <f>VLOOKUP(A23, output_exiobase_v3.10.2_EXIO_IOT_2019_pxp_Z_imports_footprint_EU27[], 2, FALSE)</f>
        <v>10133734102.870649</v>
      </c>
      <c r="E23" s="4">
        <f>VLOOKUP(A23, output_exiobase_v3.10.2_EXIO_IOT_2019_pxp_Y_production_footprint_EU27[], 2, FALSE)</f>
        <v>57171870837.53553</v>
      </c>
      <c r="F23" s="4">
        <f>VLOOKUP(A23, output_exiobase_v3.10.2_EXIO_IOT_2019_pxp_Z_production_footprint_EU27[], 2, FALSE)</f>
        <v>139253193952.88129</v>
      </c>
      <c r="G23" s="35">
        <f t="shared" si="3"/>
        <v>6.267887566822769E-2</v>
      </c>
      <c r="H23" s="1">
        <f t="shared" si="4"/>
        <v>0.93732112433177217</v>
      </c>
      <c r="I23" s="6"/>
      <c r="N23" s="7"/>
    </row>
    <row r="24" spans="1:14" x14ac:dyDescent="0.3">
      <c r="A24" s="9" t="s">
        <v>112</v>
      </c>
      <c r="B24" s="29">
        <f t="shared" si="2"/>
        <v>198816536622.0426</v>
      </c>
      <c r="C24" s="4">
        <f>VLOOKUP(A24,  output_exiobase_v3.10.2_EXIO_IOT_2019_pxp_Y_imports_footprint_EU27[], 2, FALSE)</f>
        <v>6573381692.7664509</v>
      </c>
      <c r="D24" s="4">
        <f>VLOOKUP(A24, output_exiobase_v3.10.2_EXIO_IOT_2019_pxp_Z_imports_footprint_EU27[], 2, FALSE)</f>
        <v>14297936007.506178</v>
      </c>
      <c r="E24" s="4">
        <f>VLOOKUP(A24, output_exiobase_v3.10.2_EXIO_IOT_2019_pxp_Y_production_footprint_EU27[], 2, FALSE)</f>
        <v>60776790879.234177</v>
      </c>
      <c r="F24" s="4">
        <f>VLOOKUP(A24, output_exiobase_v3.10.2_EXIO_IOT_2019_pxp_Z_production_footprint_EU27[], 2, FALSE)</f>
        <v>117168428042.5358</v>
      </c>
      <c r="G24" s="35">
        <f t="shared" si="3"/>
        <v>0.10497777526398498</v>
      </c>
      <c r="H24" s="1">
        <f t="shared" si="4"/>
        <v>0.89502222473601489</v>
      </c>
      <c r="I24" s="6"/>
      <c r="N24" s="7"/>
    </row>
    <row r="25" spans="1:14" x14ac:dyDescent="0.3">
      <c r="A25" s="9" t="s">
        <v>89</v>
      </c>
      <c r="B25" s="29">
        <f t="shared" si="2"/>
        <v>197323989321.60614</v>
      </c>
      <c r="C25" s="4">
        <f>VLOOKUP(A25,  output_exiobase_v3.10.2_EXIO_IOT_2019_pxp_Y_imports_footprint_EU27[], 2, FALSE)</f>
        <v>1236757424.4983127</v>
      </c>
      <c r="D25" s="4">
        <f>VLOOKUP(A25, output_exiobase_v3.10.2_EXIO_IOT_2019_pxp_Z_imports_footprint_EU27[], 2, FALSE)</f>
        <v>387635690.28643578</v>
      </c>
      <c r="E25" s="4">
        <f>VLOOKUP(A25, output_exiobase_v3.10.2_EXIO_IOT_2019_pxp_Y_production_footprint_EU27[], 2, FALSE)</f>
        <v>99542478292.495941</v>
      </c>
      <c r="F25" s="4">
        <f>VLOOKUP(A25, output_exiobase_v3.10.2_EXIO_IOT_2019_pxp_Z_production_footprint_EU27[], 2, FALSE)</f>
        <v>96157117914.325455</v>
      </c>
      <c r="G25" s="35">
        <f t="shared" si="3"/>
        <v>8.2321116675644086E-3</v>
      </c>
      <c r="H25" s="1">
        <f t="shared" si="4"/>
        <v>0.99176788833243568</v>
      </c>
      <c r="N25" s="7"/>
    </row>
    <row r="26" spans="1:14" x14ac:dyDescent="0.3">
      <c r="A26" s="9" t="s">
        <v>151</v>
      </c>
      <c r="B26" s="29">
        <f t="shared" si="2"/>
        <v>195493894887.31259</v>
      </c>
      <c r="C26" s="4">
        <f>VLOOKUP(A26,  output_exiobase_v3.10.2_EXIO_IOT_2019_pxp_Y_imports_footprint_EU27[], 2, FALSE)</f>
        <v>0</v>
      </c>
      <c r="D26" s="4">
        <f>VLOOKUP(A26, output_exiobase_v3.10.2_EXIO_IOT_2019_pxp_Z_imports_footprint_EU27[], 2, FALSE)</f>
        <v>0</v>
      </c>
      <c r="E26" s="4">
        <f>VLOOKUP(A26, output_exiobase_v3.10.2_EXIO_IOT_2019_pxp_Y_production_footprint_EU27[], 2, FALSE)</f>
        <v>29427863313.02293</v>
      </c>
      <c r="F26" s="4">
        <f>VLOOKUP(A26, output_exiobase_v3.10.2_EXIO_IOT_2019_pxp_Z_production_footprint_EU27[], 2, FALSE)</f>
        <v>166066031574.28967</v>
      </c>
      <c r="G26" s="35">
        <f t="shared" si="3"/>
        <v>0</v>
      </c>
      <c r="H26" s="1">
        <f t="shared" si="4"/>
        <v>1</v>
      </c>
      <c r="N26" s="7"/>
    </row>
    <row r="27" spans="1:14" x14ac:dyDescent="0.3">
      <c r="A27" s="9" t="s">
        <v>37</v>
      </c>
      <c r="B27" s="29">
        <f t="shared" si="2"/>
        <v>191581613537.17697</v>
      </c>
      <c r="C27" s="4">
        <f>VLOOKUP(A27,  output_exiobase_v3.10.2_EXIO_IOT_2019_pxp_Y_imports_footprint_EU27[], 2, FALSE)</f>
        <v>5618775041.5245209</v>
      </c>
      <c r="D27" s="4">
        <f>VLOOKUP(A27, output_exiobase_v3.10.2_EXIO_IOT_2019_pxp_Z_imports_footprint_EU27[], 2, FALSE)</f>
        <v>2591229928.705071</v>
      </c>
      <c r="E27" s="4">
        <f>VLOOKUP(A27, output_exiobase_v3.10.2_EXIO_IOT_2019_pxp_Y_production_footprint_EU27[], 2, FALSE)</f>
        <v>93450319288.432968</v>
      </c>
      <c r="F27" s="4">
        <f>VLOOKUP(A27, output_exiobase_v3.10.2_EXIO_IOT_2019_pxp_Z_production_footprint_EU27[], 2, FALSE)</f>
        <v>89921289278.514404</v>
      </c>
      <c r="G27" s="35">
        <f t="shared" si="3"/>
        <v>4.2853825159147728E-2</v>
      </c>
      <c r="H27" s="1">
        <f t="shared" si="4"/>
        <v>0.95714617484085229</v>
      </c>
      <c r="N27" s="7"/>
    </row>
    <row r="28" spans="1:14" x14ac:dyDescent="0.3">
      <c r="A28" s="9" t="s">
        <v>105</v>
      </c>
      <c r="B28" s="29">
        <f t="shared" si="2"/>
        <v>185733569310.14417</v>
      </c>
      <c r="C28" s="4">
        <f>VLOOKUP(A28,  output_exiobase_v3.10.2_EXIO_IOT_2019_pxp_Y_imports_footprint_EU27[], 2, FALSE)</f>
        <v>41043331883.584824</v>
      </c>
      <c r="D28" s="4">
        <f>VLOOKUP(A28, output_exiobase_v3.10.2_EXIO_IOT_2019_pxp_Z_imports_footprint_EU27[], 2, FALSE)</f>
        <v>30852386343.191292</v>
      </c>
      <c r="E28" s="4">
        <f>VLOOKUP(A28, output_exiobase_v3.10.2_EXIO_IOT_2019_pxp_Y_production_footprint_EU27[], 2, FALSE)</f>
        <v>56317722159.263565</v>
      </c>
      <c r="F28" s="4">
        <f>VLOOKUP(A28, output_exiobase_v3.10.2_EXIO_IOT_2019_pxp_Z_production_footprint_EU27[], 2, FALSE)</f>
        <v>57520128924.104469</v>
      </c>
      <c r="G28" s="35">
        <f t="shared" si="3"/>
        <v>0.38709059699769316</v>
      </c>
      <c r="H28" s="1">
        <f t="shared" si="4"/>
        <v>0.6129094030023069</v>
      </c>
      <c r="K28" s="6"/>
      <c r="N28" s="7"/>
    </row>
    <row r="29" spans="1:14" x14ac:dyDescent="0.3">
      <c r="A29" s="9" t="s">
        <v>160</v>
      </c>
      <c r="B29" s="29">
        <f t="shared" si="2"/>
        <v>182714648599.14301</v>
      </c>
      <c r="C29" s="4">
        <f>VLOOKUP(A29,  output_exiobase_v3.10.2_EXIO_IOT_2019_pxp_Y_imports_footprint_EU27[], 2, FALSE)</f>
        <v>14705463213.020668</v>
      </c>
      <c r="D29" s="4">
        <f>VLOOKUP(A29, output_exiobase_v3.10.2_EXIO_IOT_2019_pxp_Z_imports_footprint_EU27[], 2, FALSE)</f>
        <v>35661783258.320404</v>
      </c>
      <c r="E29" s="4">
        <f>VLOOKUP(A29, output_exiobase_v3.10.2_EXIO_IOT_2019_pxp_Y_production_footprint_EU27[], 2, FALSE)</f>
        <v>26228589067.005253</v>
      </c>
      <c r="F29" s="4">
        <f>VLOOKUP(A29, output_exiobase_v3.10.2_EXIO_IOT_2019_pxp_Z_production_footprint_EU27[], 2, FALSE)</f>
        <v>106118813060.79668</v>
      </c>
      <c r="G29" s="35">
        <f t="shared" si="3"/>
        <v>0.27566069199980558</v>
      </c>
      <c r="H29" s="1">
        <f t="shared" si="4"/>
        <v>0.7243393080001943</v>
      </c>
      <c r="K29" s="6"/>
      <c r="N29" s="7"/>
    </row>
    <row r="30" spans="1:14" x14ac:dyDescent="0.3">
      <c r="A30" s="9" t="s">
        <v>20</v>
      </c>
      <c r="B30" s="29">
        <f t="shared" si="2"/>
        <v>165934022099.84238</v>
      </c>
      <c r="C30" s="4">
        <f>VLOOKUP(A30,  output_exiobase_v3.10.2_EXIO_IOT_2019_pxp_Y_imports_footprint_EU27[], 2, FALSE)</f>
        <v>204920961.80764845</v>
      </c>
      <c r="D30" s="4">
        <f>VLOOKUP(A30, output_exiobase_v3.10.2_EXIO_IOT_2019_pxp_Z_imports_footprint_EU27[], 2, FALSE)</f>
        <v>13234846342.343023</v>
      </c>
      <c r="E30" s="4">
        <f>VLOOKUP(A30, output_exiobase_v3.10.2_EXIO_IOT_2019_pxp_Y_production_footprint_EU27[], 2, FALSE)</f>
        <v>7640052607.914587</v>
      </c>
      <c r="F30" s="4">
        <f>VLOOKUP(A30, output_exiobase_v3.10.2_EXIO_IOT_2019_pxp_Z_production_footprint_EU27[], 2, FALSE)</f>
        <v>144854202187.77713</v>
      </c>
      <c r="G30" s="35">
        <f t="shared" si="3"/>
        <v>8.0994645546914865E-2</v>
      </c>
      <c r="H30" s="1">
        <f t="shared" si="4"/>
        <v>0.91900535445308518</v>
      </c>
      <c r="K30" s="6"/>
      <c r="N30" s="7"/>
    </row>
    <row r="31" spans="1:14" x14ac:dyDescent="0.3">
      <c r="A31" s="9" t="s">
        <v>70</v>
      </c>
      <c r="B31" s="29">
        <f t="shared" si="2"/>
        <v>164806319825.55878</v>
      </c>
      <c r="C31" s="4">
        <f>VLOOKUP(A31,  output_exiobase_v3.10.2_EXIO_IOT_2019_pxp_Y_imports_footprint_EU27[], 2, FALSE)</f>
        <v>7181228222.1183434</v>
      </c>
      <c r="D31" s="4">
        <f>VLOOKUP(A31, output_exiobase_v3.10.2_EXIO_IOT_2019_pxp_Z_imports_footprint_EU27[], 2, FALSE)</f>
        <v>30288380174.739788</v>
      </c>
      <c r="E31" s="4">
        <f>VLOOKUP(A31, output_exiobase_v3.10.2_EXIO_IOT_2019_pxp_Y_production_footprint_EU27[], 2, FALSE)</f>
        <v>46037792410.889145</v>
      </c>
      <c r="F31" s="4">
        <f>VLOOKUP(A31, output_exiobase_v3.10.2_EXIO_IOT_2019_pxp_Z_production_footprint_EU27[], 2, FALSE)</f>
        <v>81298919017.811493</v>
      </c>
      <c r="G31" s="35">
        <f t="shared" si="3"/>
        <v>0.22735540989276556</v>
      </c>
      <c r="H31" s="1">
        <f t="shared" si="4"/>
        <v>0.77264459010723441</v>
      </c>
      <c r="N31" s="7"/>
    </row>
    <row r="32" spans="1:14" x14ac:dyDescent="0.3">
      <c r="A32" s="9" t="s">
        <v>73</v>
      </c>
      <c r="B32" s="29">
        <f t="shared" si="2"/>
        <v>163269778348.90576</v>
      </c>
      <c r="C32" s="4">
        <f>VLOOKUP(A32,  output_exiobase_v3.10.2_EXIO_IOT_2019_pxp_Y_imports_footprint_EU27[], 2, FALSE)</f>
        <v>591712688.76129103</v>
      </c>
      <c r="D32" s="4">
        <f>VLOOKUP(A32, output_exiobase_v3.10.2_EXIO_IOT_2019_pxp_Z_imports_footprint_EU27[], 2, FALSE)</f>
        <v>2155693438.3364372</v>
      </c>
      <c r="E32" s="4">
        <f>VLOOKUP(A32, output_exiobase_v3.10.2_EXIO_IOT_2019_pxp_Y_production_footprint_EU27[], 2, FALSE)</f>
        <v>148396912241.63004</v>
      </c>
      <c r="F32" s="4">
        <f>VLOOKUP(A32, output_exiobase_v3.10.2_EXIO_IOT_2019_pxp_Z_production_footprint_EU27[], 2, FALSE)</f>
        <v>12125459980.178019</v>
      </c>
      <c r="G32" s="35">
        <f t="shared" si="3"/>
        <v>1.6827401585776339E-2</v>
      </c>
      <c r="H32" s="1">
        <f t="shared" si="4"/>
        <v>0.98317259841422378</v>
      </c>
      <c r="N32" s="7"/>
    </row>
    <row r="33" spans="1:14" x14ac:dyDescent="0.3">
      <c r="A33" s="9" t="s">
        <v>182</v>
      </c>
      <c r="B33" s="29">
        <f t="shared" si="2"/>
        <v>159208689780.58939</v>
      </c>
      <c r="C33" s="4">
        <f>VLOOKUP(A33,  output_exiobase_v3.10.2_EXIO_IOT_2019_pxp_Y_imports_footprint_EU27[], 2, FALSE)</f>
        <v>2557680527.5547919</v>
      </c>
      <c r="D33" s="4">
        <f>VLOOKUP(A33, output_exiobase_v3.10.2_EXIO_IOT_2019_pxp_Z_imports_footprint_EU27[], 2, FALSE)</f>
        <v>6964189622.4111509</v>
      </c>
      <c r="E33" s="4">
        <f>VLOOKUP(A33, output_exiobase_v3.10.2_EXIO_IOT_2019_pxp_Y_production_footprint_EU27[], 2, FALSE)</f>
        <v>57935282898.684685</v>
      </c>
      <c r="F33" s="4">
        <f>VLOOKUP(A33, output_exiobase_v3.10.2_EXIO_IOT_2019_pxp_Z_production_footprint_EU27[], 2, FALSE)</f>
        <v>91751536731.938751</v>
      </c>
      <c r="G33" s="35">
        <f t="shared" si="3"/>
        <v>5.9807477613742929E-2</v>
      </c>
      <c r="H33" s="1">
        <f t="shared" si="4"/>
        <v>0.94019252238625706</v>
      </c>
      <c r="N33" s="7"/>
    </row>
    <row r="34" spans="1:14" x14ac:dyDescent="0.3">
      <c r="A34" s="9" t="s">
        <v>135</v>
      </c>
      <c r="B34" s="29">
        <f t="shared" si="2"/>
        <v>158202471360.89981</v>
      </c>
      <c r="C34" s="4">
        <f>VLOOKUP(A34,  output_exiobase_v3.10.2_EXIO_IOT_2019_pxp_Y_imports_footprint_EU27[], 2, FALSE)</f>
        <v>10657844538.930635</v>
      </c>
      <c r="D34" s="4">
        <f>VLOOKUP(A34, output_exiobase_v3.10.2_EXIO_IOT_2019_pxp_Z_imports_footprint_EU27[], 2, FALSE)</f>
        <v>6194110195.6678038</v>
      </c>
      <c r="E34" s="4">
        <f>VLOOKUP(A34, output_exiobase_v3.10.2_EXIO_IOT_2019_pxp_Y_production_footprint_EU27[], 2, FALSE)</f>
        <v>45409985340.37101</v>
      </c>
      <c r="F34" s="4">
        <f>VLOOKUP(A34, output_exiobase_v3.10.2_EXIO_IOT_2019_pxp_Z_production_footprint_EU27[], 2, FALSE)</f>
        <v>95940531285.930359</v>
      </c>
      <c r="G34" s="35">
        <f t="shared" si="3"/>
        <v>0.10652143793730549</v>
      </c>
      <c r="H34" s="1">
        <f t="shared" si="4"/>
        <v>0.89347856206269449</v>
      </c>
      <c r="N34" s="7"/>
    </row>
    <row r="35" spans="1:14" x14ac:dyDescent="0.3">
      <c r="A35" s="9" t="s">
        <v>158</v>
      </c>
      <c r="B35" s="29">
        <f t="shared" si="2"/>
        <v>152024607117.87723</v>
      </c>
      <c r="C35" s="4">
        <f>VLOOKUP(A35,  output_exiobase_v3.10.2_EXIO_IOT_2019_pxp_Y_imports_footprint_EU27[], 2, FALSE)</f>
        <v>774902437.06644988</v>
      </c>
      <c r="D35" s="4">
        <f>VLOOKUP(A35, output_exiobase_v3.10.2_EXIO_IOT_2019_pxp_Z_imports_footprint_EU27[], 2, FALSE)</f>
        <v>4528988424.4656429</v>
      </c>
      <c r="E35" s="4">
        <f>VLOOKUP(A35, output_exiobase_v3.10.2_EXIO_IOT_2019_pxp_Y_production_footprint_EU27[], 2, FALSE)</f>
        <v>114415448101.25404</v>
      </c>
      <c r="F35" s="4">
        <f>VLOOKUP(A35, output_exiobase_v3.10.2_EXIO_IOT_2019_pxp_Z_production_footprint_EU27[], 2, FALSE)</f>
        <v>32305268155.091103</v>
      </c>
      <c r="G35" s="35">
        <f t="shared" si="3"/>
        <v>3.4888370784734529E-2</v>
      </c>
      <c r="H35" s="1">
        <f t="shared" si="4"/>
        <v>0.96511162921526561</v>
      </c>
      <c r="N35" s="7"/>
    </row>
    <row r="36" spans="1:14" x14ac:dyDescent="0.3">
      <c r="A36" s="9" t="s">
        <v>152</v>
      </c>
      <c r="B36" s="29">
        <f t="shared" si="2"/>
        <v>150215447157.95062</v>
      </c>
      <c r="C36" s="4">
        <f>VLOOKUP(A36,  output_exiobase_v3.10.2_EXIO_IOT_2019_pxp_Y_imports_footprint_EU27[], 2, FALSE)</f>
        <v>2205098313.046679</v>
      </c>
      <c r="D36" s="4">
        <f>VLOOKUP(A36, output_exiobase_v3.10.2_EXIO_IOT_2019_pxp_Z_imports_footprint_EU27[], 2, FALSE)</f>
        <v>4342807665.1335983</v>
      </c>
      <c r="E36" s="4">
        <f>VLOOKUP(A36, output_exiobase_v3.10.2_EXIO_IOT_2019_pxp_Y_production_footprint_EU27[], 2, FALSE)</f>
        <v>90034866952.591812</v>
      </c>
      <c r="F36" s="4">
        <f>VLOOKUP(A36, output_exiobase_v3.10.2_EXIO_IOT_2019_pxp_Z_production_footprint_EU27[], 2, FALSE)</f>
        <v>53632674227.178513</v>
      </c>
      <c r="G36" s="35">
        <f t="shared" si="3"/>
        <v>4.3590097437151011E-2</v>
      </c>
      <c r="H36" s="1">
        <f t="shared" si="4"/>
        <v>0.95640990256284886</v>
      </c>
      <c r="N36" s="7"/>
    </row>
    <row r="37" spans="1:14" x14ac:dyDescent="0.3">
      <c r="A37" s="9" t="s">
        <v>96</v>
      </c>
      <c r="B37" s="29">
        <f t="shared" si="2"/>
        <v>142704802982.97168</v>
      </c>
      <c r="C37" s="4">
        <f>VLOOKUP(A37,  output_exiobase_v3.10.2_EXIO_IOT_2019_pxp_Y_imports_footprint_EU27[], 2, FALSE)</f>
        <v>13742933761.611088</v>
      </c>
      <c r="D37" s="4">
        <f>VLOOKUP(A37, output_exiobase_v3.10.2_EXIO_IOT_2019_pxp_Z_imports_footprint_EU27[], 2, FALSE)</f>
        <v>8263744735.9587841</v>
      </c>
      <c r="E37" s="4">
        <f>VLOOKUP(A37, output_exiobase_v3.10.2_EXIO_IOT_2019_pxp_Y_production_footprint_EU27[], 2, FALSE)</f>
        <v>88657042638.726547</v>
      </c>
      <c r="F37" s="4">
        <f>VLOOKUP(A37, output_exiobase_v3.10.2_EXIO_IOT_2019_pxp_Z_production_footprint_EU27[], 2, FALSE)</f>
        <v>32041081846.675278</v>
      </c>
      <c r="G37" s="35">
        <f t="shared" si="3"/>
        <v>0.1542111970835055</v>
      </c>
      <c r="H37" s="1">
        <f t="shared" si="4"/>
        <v>0.84578880291649461</v>
      </c>
      <c r="N37" s="7"/>
    </row>
    <row r="38" spans="1:14" x14ac:dyDescent="0.3">
      <c r="A38" s="9" t="s">
        <v>67</v>
      </c>
      <c r="B38" s="29">
        <f t="shared" si="2"/>
        <v>137448279922.2681</v>
      </c>
      <c r="C38" s="4">
        <f>VLOOKUP(A38,  output_exiobase_v3.10.2_EXIO_IOT_2019_pxp_Y_imports_footprint_EU27[], 2, FALSE)</f>
        <v>47742475981.490875</v>
      </c>
      <c r="D38" s="4">
        <f>VLOOKUP(A38, output_exiobase_v3.10.2_EXIO_IOT_2019_pxp_Z_imports_footprint_EU27[], 2, FALSE)</f>
        <v>24283412804.588287</v>
      </c>
      <c r="E38" s="4">
        <f>VLOOKUP(A38, output_exiobase_v3.10.2_EXIO_IOT_2019_pxp_Y_production_footprint_EU27[], 2, FALSE)</f>
        <v>39706471260.124237</v>
      </c>
      <c r="F38" s="4">
        <f>VLOOKUP(A38, output_exiobase_v3.10.2_EXIO_IOT_2019_pxp_Z_production_footprint_EU27[], 2, FALSE)</f>
        <v>25715919876.064705</v>
      </c>
      <c r="G38" s="35">
        <f t="shared" si="3"/>
        <v>0.52402175441418675</v>
      </c>
      <c r="H38" s="1">
        <f t="shared" si="4"/>
        <v>0.47597824558581336</v>
      </c>
      <c r="N38" s="7"/>
    </row>
    <row r="39" spans="1:14" x14ac:dyDescent="0.3">
      <c r="A39" s="9" t="s">
        <v>195</v>
      </c>
      <c r="B39" s="29">
        <f t="shared" si="2"/>
        <v>128722680722.39769</v>
      </c>
      <c r="C39" s="4">
        <f>VLOOKUP(A39,  output_exiobase_v3.10.2_EXIO_IOT_2019_pxp_Y_imports_footprint_EU27[], 2, FALSE)</f>
        <v>1638277719.07709</v>
      </c>
      <c r="D39" s="4">
        <f>VLOOKUP(A39, output_exiobase_v3.10.2_EXIO_IOT_2019_pxp_Z_imports_footprint_EU27[], 2, FALSE)</f>
        <v>13972265797.192354</v>
      </c>
      <c r="E39" s="4">
        <f>VLOOKUP(A39, output_exiobase_v3.10.2_EXIO_IOT_2019_pxp_Y_production_footprint_EU27[], 2, FALSE)</f>
        <v>19773734504.68663</v>
      </c>
      <c r="F39" s="4">
        <f>VLOOKUP(A39, output_exiobase_v3.10.2_EXIO_IOT_2019_pxp_Z_production_footprint_EU27[], 2, FALSE)</f>
        <v>93338402701.44162</v>
      </c>
      <c r="G39" s="35">
        <f t="shared" si="3"/>
        <v>0.1212726726064307</v>
      </c>
      <c r="H39" s="1">
        <f t="shared" si="4"/>
        <v>0.87872732739356929</v>
      </c>
      <c r="N39" s="7"/>
    </row>
    <row r="40" spans="1:14" x14ac:dyDescent="0.3">
      <c r="A40" s="9" t="s">
        <v>19</v>
      </c>
      <c r="B40" s="29">
        <f t="shared" si="2"/>
        <v>119853138164.08575</v>
      </c>
      <c r="C40" s="4">
        <f>VLOOKUP(A40,  output_exiobase_v3.10.2_EXIO_IOT_2019_pxp_Y_imports_footprint_EU27[], 2, FALSE)</f>
        <v>18540599.429711819</v>
      </c>
      <c r="D40" s="4">
        <f>VLOOKUP(A40, output_exiobase_v3.10.2_EXIO_IOT_2019_pxp_Z_imports_footprint_EU27[], 2, FALSE)</f>
        <v>51801153.113231659</v>
      </c>
      <c r="E40" s="4">
        <f>VLOOKUP(A40, output_exiobase_v3.10.2_EXIO_IOT_2019_pxp_Y_production_footprint_EU27[], 2, FALSE)</f>
        <v>21328080807.863388</v>
      </c>
      <c r="F40" s="4">
        <f>VLOOKUP(A40, output_exiobase_v3.10.2_EXIO_IOT_2019_pxp_Z_production_footprint_EU27[], 2, FALSE)</f>
        <v>98454715603.679428</v>
      </c>
      <c r="G40" s="35">
        <f t="shared" si="3"/>
        <v>5.8689954739976537E-4</v>
      </c>
      <c r="H40" s="1">
        <f t="shared" si="4"/>
        <v>0.99941310045260023</v>
      </c>
      <c r="N40" s="7"/>
    </row>
    <row r="41" spans="1:14" x14ac:dyDescent="0.3">
      <c r="A41" s="9" t="s">
        <v>101</v>
      </c>
      <c r="B41" s="29">
        <f t="shared" si="2"/>
        <v>112910575673.90692</v>
      </c>
      <c r="C41" s="4">
        <f>VLOOKUP(A41,  output_exiobase_v3.10.2_EXIO_IOT_2019_pxp_Y_imports_footprint_EU27[], 2, FALSE)</f>
        <v>43454216210.777924</v>
      </c>
      <c r="D41" s="4">
        <f>VLOOKUP(A41, output_exiobase_v3.10.2_EXIO_IOT_2019_pxp_Z_imports_footprint_EU27[], 2, FALSE)</f>
        <v>49632274071.695908</v>
      </c>
      <c r="E41" s="4">
        <f>VLOOKUP(A41, output_exiobase_v3.10.2_EXIO_IOT_2019_pxp_Y_production_footprint_EU27[], 2, FALSE)</f>
        <v>8310942162.1035109</v>
      </c>
      <c r="F41" s="4">
        <f>VLOOKUP(A41, output_exiobase_v3.10.2_EXIO_IOT_2019_pxp_Z_production_footprint_EU27[], 2, FALSE)</f>
        <v>11513143229.329573</v>
      </c>
      <c r="G41" s="35">
        <f t="shared" si="3"/>
        <v>0.82442667329332964</v>
      </c>
      <c r="H41" s="1">
        <f t="shared" si="4"/>
        <v>0.17557332670667034</v>
      </c>
      <c r="N41" s="7"/>
    </row>
    <row r="42" spans="1:14" x14ac:dyDescent="0.3">
      <c r="A42" s="9" t="s">
        <v>147</v>
      </c>
      <c r="B42" s="29">
        <f t="shared" ref="B42:B73" si="5">SUM(C42:F42)</f>
        <v>109473195428.63477</v>
      </c>
      <c r="C42" s="4">
        <f>VLOOKUP(A42,  output_exiobase_v3.10.2_EXIO_IOT_2019_pxp_Y_imports_footprint_EU27[], 2, FALSE)</f>
        <v>493960972.73187941</v>
      </c>
      <c r="D42" s="4">
        <f>VLOOKUP(A42, output_exiobase_v3.10.2_EXIO_IOT_2019_pxp_Z_imports_footprint_EU27[], 2, FALSE)</f>
        <v>3068257065.5632324</v>
      </c>
      <c r="E42" s="4">
        <f>VLOOKUP(A42, output_exiobase_v3.10.2_EXIO_IOT_2019_pxp_Y_production_footprint_EU27[], 2, FALSE)</f>
        <v>95068052478.681992</v>
      </c>
      <c r="F42" s="4">
        <f>VLOOKUP(A42, output_exiobase_v3.10.2_EXIO_IOT_2019_pxp_Z_production_footprint_EU27[], 2, FALSE)</f>
        <v>10842924911.657669</v>
      </c>
      <c r="G42" s="35">
        <f t="shared" ref="G42:G73" si="6">(C42+D42)/B42</f>
        <v>3.2539636980061577E-2</v>
      </c>
      <c r="H42" s="1">
        <f t="shared" ref="H42:H73" si="7">(E42+F42)/B42</f>
        <v>0.96746036301993854</v>
      </c>
      <c r="N42" s="7"/>
    </row>
    <row r="43" spans="1:14" x14ac:dyDescent="0.3">
      <c r="A43" s="9" t="s">
        <v>157</v>
      </c>
      <c r="B43" s="29">
        <f t="shared" si="5"/>
        <v>94165162869.012451</v>
      </c>
      <c r="C43" s="4">
        <f>VLOOKUP(A43,  output_exiobase_v3.10.2_EXIO_IOT_2019_pxp_Y_imports_footprint_EU27[], 2, FALSE)</f>
        <v>12191620803.744844</v>
      </c>
      <c r="D43" s="4">
        <f>VLOOKUP(A43, output_exiobase_v3.10.2_EXIO_IOT_2019_pxp_Z_imports_footprint_EU27[], 2, FALSE)</f>
        <v>3487162063.4117198</v>
      </c>
      <c r="E43" s="4">
        <f>VLOOKUP(A43, output_exiobase_v3.10.2_EXIO_IOT_2019_pxp_Y_production_footprint_EU27[], 2, FALSE)</f>
        <v>66573071823.443047</v>
      </c>
      <c r="F43" s="4">
        <f>VLOOKUP(A43, output_exiobase_v3.10.2_EXIO_IOT_2019_pxp_Z_production_footprint_EU27[], 2, FALSE)</f>
        <v>11913308178.412848</v>
      </c>
      <c r="G43" s="35">
        <f t="shared" si="6"/>
        <v>0.16650300800696735</v>
      </c>
      <c r="H43" s="1">
        <f t="shared" si="7"/>
        <v>0.83349699199303273</v>
      </c>
      <c r="N43" s="7"/>
    </row>
    <row r="44" spans="1:14" x14ac:dyDescent="0.3">
      <c r="A44" s="9" t="s">
        <v>39</v>
      </c>
      <c r="B44" s="29">
        <f t="shared" si="5"/>
        <v>91559750557.134247</v>
      </c>
      <c r="C44" s="4">
        <f>VLOOKUP(A44,  output_exiobase_v3.10.2_EXIO_IOT_2019_pxp_Y_imports_footprint_EU27[], 2, FALSE)</f>
        <v>0</v>
      </c>
      <c r="D44" s="4">
        <f>VLOOKUP(A44, output_exiobase_v3.10.2_EXIO_IOT_2019_pxp_Z_imports_footprint_EU27[], 2, FALSE)</f>
        <v>0</v>
      </c>
      <c r="E44" s="4">
        <f>VLOOKUP(A44, output_exiobase_v3.10.2_EXIO_IOT_2019_pxp_Y_production_footprint_EU27[], 2, FALSE)</f>
        <v>36906147236.118614</v>
      </c>
      <c r="F44" s="4">
        <f>VLOOKUP(A44, output_exiobase_v3.10.2_EXIO_IOT_2019_pxp_Z_production_footprint_EU27[], 2, FALSE)</f>
        <v>54653603321.015625</v>
      </c>
      <c r="G44" s="35">
        <f t="shared" si="6"/>
        <v>0</v>
      </c>
      <c r="H44" s="1">
        <f t="shared" si="7"/>
        <v>1</v>
      </c>
      <c r="N44" s="7"/>
    </row>
    <row r="45" spans="1:14" x14ac:dyDescent="0.3">
      <c r="A45" s="9" t="s">
        <v>117</v>
      </c>
      <c r="B45" s="29">
        <f t="shared" si="5"/>
        <v>91069139999.785568</v>
      </c>
      <c r="C45" s="4">
        <f>VLOOKUP(A45,  output_exiobase_v3.10.2_EXIO_IOT_2019_pxp_Y_imports_footprint_EU27[], 2, FALSE)</f>
        <v>15056288727.033476</v>
      </c>
      <c r="D45" s="4">
        <f>VLOOKUP(A45, output_exiobase_v3.10.2_EXIO_IOT_2019_pxp_Z_imports_footprint_EU27[], 2, FALSE)</f>
        <v>9852564593.6298084</v>
      </c>
      <c r="E45" s="4">
        <f>VLOOKUP(A45, output_exiobase_v3.10.2_EXIO_IOT_2019_pxp_Y_production_footprint_EU27[], 2, FALSE)</f>
        <v>39763201339.960396</v>
      </c>
      <c r="F45" s="4">
        <f>VLOOKUP(A45, output_exiobase_v3.10.2_EXIO_IOT_2019_pxp_Z_production_footprint_EU27[], 2, FALSE)</f>
        <v>26397085339.161888</v>
      </c>
      <c r="G45" s="35">
        <f t="shared" si="6"/>
        <v>0.27351585093174191</v>
      </c>
      <c r="H45" s="1">
        <f t="shared" si="7"/>
        <v>0.72648414906825809</v>
      </c>
      <c r="N45" s="7"/>
    </row>
    <row r="46" spans="1:14" x14ac:dyDescent="0.3">
      <c r="A46" s="9" t="s">
        <v>144</v>
      </c>
      <c r="B46" s="29">
        <f t="shared" si="5"/>
        <v>90701495138.561737</v>
      </c>
      <c r="C46" s="4">
        <f>VLOOKUP(A46,  output_exiobase_v3.10.2_EXIO_IOT_2019_pxp_Y_imports_footprint_EU27[], 2, FALSE)</f>
        <v>17832593093.901913</v>
      </c>
      <c r="D46" s="4">
        <f>VLOOKUP(A46, output_exiobase_v3.10.2_EXIO_IOT_2019_pxp_Z_imports_footprint_EU27[], 2, FALSE)</f>
        <v>5481818975.9539099</v>
      </c>
      <c r="E46" s="4">
        <f>VLOOKUP(A46, output_exiobase_v3.10.2_EXIO_IOT_2019_pxp_Y_production_footprint_EU27[], 2, FALSE)</f>
        <v>41935799535.0923</v>
      </c>
      <c r="F46" s="4">
        <f>VLOOKUP(A46, output_exiobase_v3.10.2_EXIO_IOT_2019_pxp_Z_production_footprint_EU27[], 2, FALSE)</f>
        <v>25451283533.613613</v>
      </c>
      <c r="G46" s="35">
        <f t="shared" si="6"/>
        <v>0.25704550993607272</v>
      </c>
      <c r="H46" s="1">
        <f t="shared" si="7"/>
        <v>0.74295449006392733</v>
      </c>
      <c r="N46" s="7"/>
    </row>
    <row r="47" spans="1:14" x14ac:dyDescent="0.3">
      <c r="A47" s="9" t="s">
        <v>3</v>
      </c>
      <c r="B47" s="29">
        <f t="shared" si="5"/>
        <v>86111484453.755264</v>
      </c>
      <c r="C47" s="4">
        <f>VLOOKUP(A47,  output_exiobase_v3.10.2_EXIO_IOT_2019_pxp_Y_imports_footprint_EU27[], 2, FALSE)</f>
        <v>865210495.89659691</v>
      </c>
      <c r="D47" s="4">
        <f>VLOOKUP(A47, output_exiobase_v3.10.2_EXIO_IOT_2019_pxp_Z_imports_footprint_EU27[], 2, FALSE)</f>
        <v>28690428768.93644</v>
      </c>
      <c r="E47" s="4">
        <f>VLOOKUP(A47, output_exiobase_v3.10.2_EXIO_IOT_2019_pxp_Y_production_footprint_EU27[], 2, FALSE)</f>
        <v>3305469401.7575884</v>
      </c>
      <c r="F47" s="4">
        <f>VLOOKUP(A47, output_exiobase_v3.10.2_EXIO_IOT_2019_pxp_Z_production_footprint_EU27[], 2, FALSE)</f>
        <v>53250375787.164642</v>
      </c>
      <c r="G47" s="35">
        <f t="shared" si="6"/>
        <v>0.34322529047452899</v>
      </c>
      <c r="H47" s="1">
        <f t="shared" si="7"/>
        <v>0.65677470952547112</v>
      </c>
      <c r="N47" s="7"/>
    </row>
    <row r="48" spans="1:14" x14ac:dyDescent="0.3">
      <c r="A48" s="9" t="s">
        <v>38</v>
      </c>
      <c r="B48" s="29">
        <f t="shared" si="5"/>
        <v>85147643995.811325</v>
      </c>
      <c r="C48" s="4">
        <f>VLOOKUP(A48,  output_exiobase_v3.10.2_EXIO_IOT_2019_pxp_Y_imports_footprint_EU27[], 2, FALSE)</f>
        <v>0</v>
      </c>
      <c r="D48" s="4">
        <f>VLOOKUP(A48, output_exiobase_v3.10.2_EXIO_IOT_2019_pxp_Z_imports_footprint_EU27[], 2, FALSE)</f>
        <v>0</v>
      </c>
      <c r="E48" s="4">
        <f>VLOOKUP(A48, output_exiobase_v3.10.2_EXIO_IOT_2019_pxp_Y_production_footprint_EU27[], 2, FALSE)</f>
        <v>33561376410.921688</v>
      </c>
      <c r="F48" s="4">
        <f>VLOOKUP(A48, output_exiobase_v3.10.2_EXIO_IOT_2019_pxp_Z_production_footprint_EU27[], 2, FALSE)</f>
        <v>51586267584.889641</v>
      </c>
      <c r="G48" s="35">
        <f t="shared" si="6"/>
        <v>0</v>
      </c>
      <c r="H48" s="1">
        <f t="shared" si="7"/>
        <v>1</v>
      </c>
      <c r="N48" s="5"/>
    </row>
    <row r="49" spans="1:8" x14ac:dyDescent="0.3">
      <c r="A49" s="9" t="s">
        <v>82</v>
      </c>
      <c r="B49" s="29">
        <f t="shared" si="5"/>
        <v>84969283609.137024</v>
      </c>
      <c r="C49" s="4">
        <f>VLOOKUP(A49,  output_exiobase_v3.10.2_EXIO_IOT_2019_pxp_Y_imports_footprint_EU27[], 2, FALSE)</f>
        <v>8498143513.0845757</v>
      </c>
      <c r="D49" s="4">
        <f>VLOOKUP(A49, output_exiobase_v3.10.2_EXIO_IOT_2019_pxp_Z_imports_footprint_EU27[], 2, FALSE)</f>
        <v>23182792636.317196</v>
      </c>
      <c r="E49" s="4">
        <f>VLOOKUP(A49, output_exiobase_v3.10.2_EXIO_IOT_2019_pxp_Y_production_footprint_EU27[], 2, FALSE)</f>
        <v>9421442945.5341702</v>
      </c>
      <c r="F49" s="4">
        <f>VLOOKUP(A49, output_exiobase_v3.10.2_EXIO_IOT_2019_pxp_Z_production_footprint_EU27[], 2, FALSE)</f>
        <v>43866904514.201073</v>
      </c>
      <c r="G49" s="35">
        <f t="shared" si="6"/>
        <v>0.37285163301053204</v>
      </c>
      <c r="H49" s="1">
        <f t="shared" si="7"/>
        <v>0.62714836698946785</v>
      </c>
    </row>
    <row r="50" spans="1:8" x14ac:dyDescent="0.3">
      <c r="A50" s="9" t="s">
        <v>190</v>
      </c>
      <c r="B50" s="29">
        <f t="shared" si="5"/>
        <v>83267716426.460709</v>
      </c>
      <c r="C50" s="4">
        <f>VLOOKUP(A50,  output_exiobase_v3.10.2_EXIO_IOT_2019_pxp_Y_imports_footprint_EU27[], 2, FALSE)</f>
        <v>13336537411.866899</v>
      </c>
      <c r="D50" s="4">
        <f>VLOOKUP(A50, output_exiobase_v3.10.2_EXIO_IOT_2019_pxp_Z_imports_footprint_EU27[], 2, FALSE)</f>
        <v>9916910037.4017067</v>
      </c>
      <c r="E50" s="4">
        <f>VLOOKUP(A50, output_exiobase_v3.10.2_EXIO_IOT_2019_pxp_Y_production_footprint_EU27[], 2, FALSE)</f>
        <v>35660797174.723541</v>
      </c>
      <c r="F50" s="4">
        <f>VLOOKUP(A50, output_exiobase_v3.10.2_EXIO_IOT_2019_pxp_Z_production_footprint_EU27[], 2, FALSE)</f>
        <v>24353471802.468555</v>
      </c>
      <c r="G50" s="35">
        <f t="shared" si="6"/>
        <v>0.2792612605127136</v>
      </c>
      <c r="H50" s="1">
        <f t="shared" si="7"/>
        <v>0.72073873948728628</v>
      </c>
    </row>
    <row r="51" spans="1:8" x14ac:dyDescent="0.3">
      <c r="A51" s="9" t="s">
        <v>31</v>
      </c>
      <c r="B51" s="29">
        <f t="shared" si="5"/>
        <v>77418165155.216888</v>
      </c>
      <c r="C51" s="4">
        <f>VLOOKUP(A51,  output_exiobase_v3.10.2_EXIO_IOT_2019_pxp_Y_imports_footprint_EU27[], 2, FALSE)</f>
        <v>1543341549.8088512</v>
      </c>
      <c r="D51" s="4">
        <f>VLOOKUP(A51, output_exiobase_v3.10.2_EXIO_IOT_2019_pxp_Z_imports_footprint_EU27[], 2, FALSE)</f>
        <v>3226642756.9980907</v>
      </c>
      <c r="E51" s="4">
        <f>VLOOKUP(A51, output_exiobase_v3.10.2_EXIO_IOT_2019_pxp_Y_production_footprint_EU27[], 2, FALSE)</f>
        <v>26429855763.723576</v>
      </c>
      <c r="F51" s="4">
        <f>VLOOKUP(A51, output_exiobase_v3.10.2_EXIO_IOT_2019_pxp_Z_production_footprint_EU27[], 2, FALSE)</f>
        <v>46218325084.686378</v>
      </c>
      <c r="G51" s="35">
        <f t="shared" si="6"/>
        <v>6.1613244091274007E-2</v>
      </c>
      <c r="H51" s="1">
        <f t="shared" si="7"/>
        <v>0.93838675590872611</v>
      </c>
    </row>
    <row r="52" spans="1:8" x14ac:dyDescent="0.3">
      <c r="A52" s="9" t="s">
        <v>191</v>
      </c>
      <c r="B52" s="29">
        <f t="shared" si="5"/>
        <v>73519989826.507523</v>
      </c>
      <c r="C52" s="4">
        <f>VLOOKUP(A52,  output_exiobase_v3.10.2_EXIO_IOT_2019_pxp_Y_imports_footprint_EU27[], 2, FALSE)</f>
        <v>43402789443.571449</v>
      </c>
      <c r="D52" s="4">
        <f>VLOOKUP(A52, output_exiobase_v3.10.2_EXIO_IOT_2019_pxp_Z_imports_footprint_EU27[], 2, FALSE)</f>
        <v>6007802358.6505842</v>
      </c>
      <c r="E52" s="4">
        <f>VLOOKUP(A52, output_exiobase_v3.10.2_EXIO_IOT_2019_pxp_Y_production_footprint_EU27[], 2, FALSE)</f>
        <v>18694484114.164356</v>
      </c>
      <c r="F52" s="4">
        <f>VLOOKUP(A52, output_exiobase_v3.10.2_EXIO_IOT_2019_pxp_Z_production_footprint_EU27[], 2, FALSE)</f>
        <v>5414913910.1211443</v>
      </c>
      <c r="G52" s="35">
        <f t="shared" si="6"/>
        <v>0.67207016647881956</v>
      </c>
      <c r="H52" s="1">
        <f t="shared" si="7"/>
        <v>0.32792983352118055</v>
      </c>
    </row>
    <row r="53" spans="1:8" x14ac:dyDescent="0.3">
      <c r="A53" s="9" t="s">
        <v>108</v>
      </c>
      <c r="B53" s="29">
        <f t="shared" si="5"/>
        <v>72770243259.553802</v>
      </c>
      <c r="C53" s="4">
        <f>VLOOKUP(A53,  output_exiobase_v3.10.2_EXIO_IOT_2019_pxp_Y_imports_footprint_EU27[], 2, FALSE)</f>
        <v>3485892499.1968436</v>
      </c>
      <c r="D53" s="4">
        <f>VLOOKUP(A53, output_exiobase_v3.10.2_EXIO_IOT_2019_pxp_Z_imports_footprint_EU27[], 2, FALSE)</f>
        <v>54719553916.663795</v>
      </c>
      <c r="E53" s="4">
        <f>VLOOKUP(A53, output_exiobase_v3.10.2_EXIO_IOT_2019_pxp_Y_production_footprint_EU27[], 2, FALSE)</f>
        <v>3943568775.5641842</v>
      </c>
      <c r="F53" s="4">
        <f>VLOOKUP(A53, output_exiobase_v3.10.2_EXIO_IOT_2019_pxp_Z_production_footprint_EU27[], 2, FALSE)</f>
        <v>10621228068.128983</v>
      </c>
      <c r="G53" s="35">
        <f t="shared" si="6"/>
        <v>0.7998522996309898</v>
      </c>
      <c r="H53" s="1">
        <f t="shared" si="7"/>
        <v>0.20014770036901031</v>
      </c>
    </row>
    <row r="54" spans="1:8" x14ac:dyDescent="0.3">
      <c r="A54" s="9" t="s">
        <v>11</v>
      </c>
      <c r="B54" s="29">
        <f t="shared" si="5"/>
        <v>71221596916.480087</v>
      </c>
      <c r="C54" s="4">
        <f>VLOOKUP(A54,  output_exiobase_v3.10.2_EXIO_IOT_2019_pxp_Y_imports_footprint_EU27[], 2, FALSE)</f>
        <v>3253869248.063313</v>
      </c>
      <c r="D54" s="4">
        <f>VLOOKUP(A54, output_exiobase_v3.10.2_EXIO_IOT_2019_pxp_Z_imports_footprint_EU27[], 2, FALSE)</f>
        <v>2886197487.1172261</v>
      </c>
      <c r="E54" s="4">
        <f>VLOOKUP(A54, output_exiobase_v3.10.2_EXIO_IOT_2019_pxp_Y_production_footprint_EU27[], 2, FALSE)</f>
        <v>30879893116.447895</v>
      </c>
      <c r="F54" s="4">
        <f>VLOOKUP(A54, output_exiobase_v3.10.2_EXIO_IOT_2019_pxp_Z_production_footprint_EU27[], 2, FALSE)</f>
        <v>34201637064.85165</v>
      </c>
      <c r="G54" s="35">
        <f t="shared" si="6"/>
        <v>8.621074226095847E-2</v>
      </c>
      <c r="H54" s="1">
        <f t="shared" si="7"/>
        <v>0.91378925773904152</v>
      </c>
    </row>
    <row r="55" spans="1:8" x14ac:dyDescent="0.3">
      <c r="A55" s="9" t="s">
        <v>177</v>
      </c>
      <c r="B55" s="29">
        <f t="shared" si="5"/>
        <v>66596152101.512238</v>
      </c>
      <c r="C55" s="4">
        <f>VLOOKUP(A55,  output_exiobase_v3.10.2_EXIO_IOT_2019_pxp_Y_imports_footprint_EU27[], 2, FALSE)</f>
        <v>0</v>
      </c>
      <c r="D55" s="4">
        <f>VLOOKUP(A55, output_exiobase_v3.10.2_EXIO_IOT_2019_pxp_Z_imports_footprint_EU27[], 2, FALSE)</f>
        <v>0</v>
      </c>
      <c r="E55" s="4">
        <f>VLOOKUP(A55, output_exiobase_v3.10.2_EXIO_IOT_2019_pxp_Y_production_footprint_EU27[], 2, FALSE)</f>
        <v>17787857801.879688</v>
      </c>
      <c r="F55" s="4">
        <f>VLOOKUP(A55, output_exiobase_v3.10.2_EXIO_IOT_2019_pxp_Z_production_footprint_EU27[], 2, FALSE)</f>
        <v>48808294299.632545</v>
      </c>
      <c r="G55" s="35">
        <f t="shared" si="6"/>
        <v>0</v>
      </c>
      <c r="H55" s="1">
        <f t="shared" si="7"/>
        <v>1</v>
      </c>
    </row>
    <row r="56" spans="1:8" x14ac:dyDescent="0.3">
      <c r="A56" s="9" t="s">
        <v>150</v>
      </c>
      <c r="B56" s="29">
        <f t="shared" si="5"/>
        <v>66060440698.208145</v>
      </c>
      <c r="C56" s="4">
        <f>VLOOKUP(A56,  output_exiobase_v3.10.2_EXIO_IOT_2019_pxp_Y_imports_footprint_EU27[], 2, FALSE)</f>
        <v>669145991.36724544</v>
      </c>
      <c r="D56" s="4">
        <f>VLOOKUP(A56, output_exiobase_v3.10.2_EXIO_IOT_2019_pxp_Z_imports_footprint_EU27[], 2, FALSE)</f>
        <v>4278724588.2300172</v>
      </c>
      <c r="E56" s="4">
        <f>VLOOKUP(A56, output_exiobase_v3.10.2_EXIO_IOT_2019_pxp_Y_production_footprint_EU27[], 2, FALSE)</f>
        <v>28102700884.016632</v>
      </c>
      <c r="F56" s="4">
        <f>VLOOKUP(A56, output_exiobase_v3.10.2_EXIO_IOT_2019_pxp_Z_production_footprint_EU27[], 2, FALSE)</f>
        <v>33009869234.594246</v>
      </c>
      <c r="G56" s="35">
        <f t="shared" si="6"/>
        <v>7.4899145801966632E-2</v>
      </c>
      <c r="H56" s="1">
        <f t="shared" si="7"/>
        <v>0.92510085419803334</v>
      </c>
    </row>
    <row r="57" spans="1:8" x14ac:dyDescent="0.3">
      <c r="A57" s="9" t="s">
        <v>22</v>
      </c>
      <c r="B57" s="29">
        <f t="shared" si="5"/>
        <v>65305895946.866074</v>
      </c>
      <c r="C57" s="4">
        <f>VLOOKUP(A57,  output_exiobase_v3.10.2_EXIO_IOT_2019_pxp_Y_imports_footprint_EU27[], 2, FALSE)</f>
        <v>613094350.24378836</v>
      </c>
      <c r="D57" s="4">
        <f>VLOOKUP(A57, output_exiobase_v3.10.2_EXIO_IOT_2019_pxp_Z_imports_footprint_EU27[], 2, FALSE)</f>
        <v>5368883822.2275295</v>
      </c>
      <c r="E57" s="4">
        <f>VLOOKUP(A57, output_exiobase_v3.10.2_EXIO_IOT_2019_pxp_Y_production_footprint_EU27[], 2, FALSE)</f>
        <v>6115420117.1572018</v>
      </c>
      <c r="F57" s="4">
        <f>VLOOKUP(A57, output_exiobase_v3.10.2_EXIO_IOT_2019_pxp_Z_production_footprint_EU27[], 2, FALSE)</f>
        <v>53208497657.237556</v>
      </c>
      <c r="G57" s="35">
        <f t="shared" si="6"/>
        <v>9.1599358461268973E-2</v>
      </c>
      <c r="H57" s="1">
        <f t="shared" si="7"/>
        <v>0.90840064153873112</v>
      </c>
    </row>
    <row r="58" spans="1:8" x14ac:dyDescent="0.3">
      <c r="A58" s="9" t="s">
        <v>153</v>
      </c>
      <c r="B58" s="29">
        <f t="shared" si="5"/>
        <v>63639236156.106766</v>
      </c>
      <c r="C58" s="4">
        <f>VLOOKUP(A58,  output_exiobase_v3.10.2_EXIO_IOT_2019_pxp_Y_imports_footprint_EU27[], 2, FALSE)</f>
        <v>605985705.17020726</v>
      </c>
      <c r="D58" s="4">
        <f>VLOOKUP(A58, output_exiobase_v3.10.2_EXIO_IOT_2019_pxp_Z_imports_footprint_EU27[], 2, FALSE)</f>
        <v>1096157779.1268687</v>
      </c>
      <c r="E58" s="4">
        <f>VLOOKUP(A58, output_exiobase_v3.10.2_EXIO_IOT_2019_pxp_Y_production_footprint_EU27[], 2, FALSE)</f>
        <v>41287143554.013527</v>
      </c>
      <c r="F58" s="4">
        <f>VLOOKUP(A58, output_exiobase_v3.10.2_EXIO_IOT_2019_pxp_Z_production_footprint_EU27[], 2, FALSE)</f>
        <v>20649949117.796169</v>
      </c>
      <c r="G58" s="35">
        <f t="shared" si="6"/>
        <v>2.6746761700937541E-2</v>
      </c>
      <c r="H58" s="1">
        <f t="shared" si="7"/>
        <v>0.97325323829906252</v>
      </c>
    </row>
    <row r="59" spans="1:8" x14ac:dyDescent="0.3">
      <c r="A59" s="9" t="s">
        <v>122</v>
      </c>
      <c r="B59" s="29">
        <f t="shared" si="5"/>
        <v>62958443804.139687</v>
      </c>
      <c r="C59" s="4">
        <f>VLOOKUP(A59,  output_exiobase_v3.10.2_EXIO_IOT_2019_pxp_Y_imports_footprint_EU27[], 2, FALSE)</f>
        <v>2079441157.6912189</v>
      </c>
      <c r="D59" s="4">
        <f>VLOOKUP(A59, output_exiobase_v3.10.2_EXIO_IOT_2019_pxp_Z_imports_footprint_EU27[], 2, FALSE)</f>
        <v>6091015154.2740469</v>
      </c>
      <c r="E59" s="4">
        <f>VLOOKUP(A59, output_exiobase_v3.10.2_EXIO_IOT_2019_pxp_Y_production_footprint_EU27[], 2, FALSE)</f>
        <v>12633708716.664473</v>
      </c>
      <c r="F59" s="4">
        <f>VLOOKUP(A59, output_exiobase_v3.10.2_EXIO_IOT_2019_pxp_Z_production_footprint_EU27[], 2, FALSE)</f>
        <v>42154278775.509949</v>
      </c>
      <c r="G59" s="35">
        <f t="shared" si="6"/>
        <v>0.12977538544921968</v>
      </c>
      <c r="H59" s="1">
        <f t="shared" si="7"/>
        <v>0.87022461455078037</v>
      </c>
    </row>
    <row r="60" spans="1:8" x14ac:dyDescent="0.3">
      <c r="A60" s="9" t="s">
        <v>183</v>
      </c>
      <c r="B60" s="29">
        <f t="shared" si="5"/>
        <v>62930029695.98143</v>
      </c>
      <c r="C60" s="4">
        <f>VLOOKUP(A60,  output_exiobase_v3.10.2_EXIO_IOT_2019_pxp_Y_imports_footprint_EU27[], 2, FALSE)</f>
        <v>16329509131.160147</v>
      </c>
      <c r="D60" s="4">
        <f>VLOOKUP(A60, output_exiobase_v3.10.2_EXIO_IOT_2019_pxp_Z_imports_footprint_EU27[], 2, FALSE)</f>
        <v>12485740510.123882</v>
      </c>
      <c r="E60" s="4">
        <f>VLOOKUP(A60, output_exiobase_v3.10.2_EXIO_IOT_2019_pxp_Y_production_footprint_EU27[], 2, FALSE)</f>
        <v>14891750265.231352</v>
      </c>
      <c r="F60" s="4">
        <f>VLOOKUP(A60, output_exiobase_v3.10.2_EXIO_IOT_2019_pxp_Z_production_footprint_EU27[], 2, FALSE)</f>
        <v>19223029789.466045</v>
      </c>
      <c r="G60" s="35">
        <f t="shared" si="6"/>
        <v>0.45789346962796845</v>
      </c>
      <c r="H60" s="1">
        <f t="shared" si="7"/>
        <v>0.54210653037203138</v>
      </c>
    </row>
    <row r="61" spans="1:8" x14ac:dyDescent="0.3">
      <c r="A61" s="9" t="s">
        <v>41</v>
      </c>
      <c r="B61" s="29">
        <f t="shared" si="5"/>
        <v>62461105017.915054</v>
      </c>
      <c r="C61" s="4">
        <f>VLOOKUP(A61,  output_exiobase_v3.10.2_EXIO_IOT_2019_pxp_Y_imports_footprint_EU27[], 2, FALSE)</f>
        <v>11127514664.975588</v>
      </c>
      <c r="D61" s="4">
        <f>VLOOKUP(A61, output_exiobase_v3.10.2_EXIO_IOT_2019_pxp_Z_imports_footprint_EU27[], 2, FALSE)</f>
        <v>36013156737.456444</v>
      </c>
      <c r="E61" s="4">
        <f>VLOOKUP(A61, output_exiobase_v3.10.2_EXIO_IOT_2019_pxp_Y_production_footprint_EU27[], 2, FALSE)</f>
        <v>942626170.17861795</v>
      </c>
      <c r="F61" s="4">
        <f>VLOOKUP(A61, output_exiobase_v3.10.2_EXIO_IOT_2019_pxp_Z_production_footprint_EU27[], 2, FALSE)</f>
        <v>14377807445.304403</v>
      </c>
      <c r="G61" s="35">
        <f t="shared" si="6"/>
        <v>0.75472041983424998</v>
      </c>
      <c r="H61" s="1">
        <f t="shared" si="7"/>
        <v>0.24527958016574994</v>
      </c>
    </row>
    <row r="62" spans="1:8" x14ac:dyDescent="0.3">
      <c r="A62" s="9" t="s">
        <v>85</v>
      </c>
      <c r="B62" s="29">
        <f t="shared" si="5"/>
        <v>57006456703.103729</v>
      </c>
      <c r="C62" s="4">
        <f>VLOOKUP(A62,  output_exiobase_v3.10.2_EXIO_IOT_2019_pxp_Y_imports_footprint_EU27[], 2, FALSE)</f>
        <v>24453583776.355076</v>
      </c>
      <c r="D62" s="4">
        <f>VLOOKUP(A62, output_exiobase_v3.10.2_EXIO_IOT_2019_pxp_Z_imports_footprint_EU27[], 2, FALSE)</f>
        <v>7489383305.705719</v>
      </c>
      <c r="E62" s="4">
        <f>VLOOKUP(A62, output_exiobase_v3.10.2_EXIO_IOT_2019_pxp_Y_production_footprint_EU27[], 2, FALSE)</f>
        <v>15911120160.770334</v>
      </c>
      <c r="F62" s="4">
        <f>VLOOKUP(A62, output_exiobase_v3.10.2_EXIO_IOT_2019_pxp_Z_production_footprint_EU27[], 2, FALSE)</f>
        <v>9152369460.2725964</v>
      </c>
      <c r="G62" s="35">
        <f t="shared" si="6"/>
        <v>0.5603394585357846</v>
      </c>
      <c r="H62" s="1">
        <f t="shared" si="7"/>
        <v>0.43966054146421529</v>
      </c>
    </row>
    <row r="63" spans="1:8" x14ac:dyDescent="0.3">
      <c r="A63" s="9" t="s">
        <v>156</v>
      </c>
      <c r="B63" s="29">
        <f t="shared" si="5"/>
        <v>56528007029.970512</v>
      </c>
      <c r="C63" s="4">
        <f>VLOOKUP(A63,  output_exiobase_v3.10.2_EXIO_IOT_2019_pxp_Y_imports_footprint_EU27[], 2, FALSE)</f>
        <v>2305707.8588731051</v>
      </c>
      <c r="D63" s="4">
        <f>VLOOKUP(A63, output_exiobase_v3.10.2_EXIO_IOT_2019_pxp_Z_imports_footprint_EU27[], 2, FALSE)</f>
        <v>260212230.18565184</v>
      </c>
      <c r="E63" s="4">
        <f>VLOOKUP(A63, output_exiobase_v3.10.2_EXIO_IOT_2019_pxp_Y_production_footprint_EU27[], 2, FALSE)</f>
        <v>10185340192.596472</v>
      </c>
      <c r="F63" s="4">
        <f>VLOOKUP(A63, output_exiobase_v3.10.2_EXIO_IOT_2019_pxp_Z_production_footprint_EU27[], 2, FALSE)</f>
        <v>46080148899.329514</v>
      </c>
      <c r="G63" s="35">
        <f t="shared" si="6"/>
        <v>4.6440331410470721E-3</v>
      </c>
      <c r="H63" s="1">
        <f t="shared" si="7"/>
        <v>0.99535596685895289</v>
      </c>
    </row>
    <row r="64" spans="1:8" x14ac:dyDescent="0.3">
      <c r="A64" s="9" t="s">
        <v>161</v>
      </c>
      <c r="B64" s="29">
        <f t="shared" si="5"/>
        <v>56254875206.637131</v>
      </c>
      <c r="C64" s="4">
        <f>VLOOKUP(A64,  output_exiobase_v3.10.2_EXIO_IOT_2019_pxp_Y_imports_footprint_EU27[], 2, FALSE)</f>
        <v>201185590.88561195</v>
      </c>
      <c r="D64" s="4">
        <f>VLOOKUP(A64, output_exiobase_v3.10.2_EXIO_IOT_2019_pxp_Z_imports_footprint_EU27[], 2, FALSE)</f>
        <v>1707277589.7049408</v>
      </c>
      <c r="E64" s="4">
        <f>VLOOKUP(A64, output_exiobase_v3.10.2_EXIO_IOT_2019_pxp_Y_production_footprint_EU27[], 2, FALSE)</f>
        <v>35839850188.275421</v>
      </c>
      <c r="F64" s="4">
        <f>VLOOKUP(A64, output_exiobase_v3.10.2_EXIO_IOT_2019_pxp_Z_production_footprint_EU27[], 2, FALSE)</f>
        <v>18506561837.771152</v>
      </c>
      <c r="G64" s="35">
        <f t="shared" si="6"/>
        <v>3.3925294004836515E-2</v>
      </c>
      <c r="H64" s="1">
        <f t="shared" si="7"/>
        <v>0.96607470599516332</v>
      </c>
    </row>
    <row r="65" spans="1:8" x14ac:dyDescent="0.3">
      <c r="A65" s="9" t="s">
        <v>57</v>
      </c>
      <c r="B65" s="29">
        <f t="shared" si="5"/>
        <v>56239725131.528885</v>
      </c>
      <c r="C65" s="4">
        <f>VLOOKUP(A65,  output_exiobase_v3.10.2_EXIO_IOT_2019_pxp_Y_imports_footprint_EU27[], 2, FALSE)</f>
        <v>84777489.930065259</v>
      </c>
      <c r="D65" s="4">
        <f>VLOOKUP(A65, output_exiobase_v3.10.2_EXIO_IOT_2019_pxp_Z_imports_footprint_EU27[], 2, FALSE)</f>
        <v>3465507734.8000288</v>
      </c>
      <c r="E65" s="4">
        <f>VLOOKUP(A65, output_exiobase_v3.10.2_EXIO_IOT_2019_pxp_Y_production_footprint_EU27[], 2, FALSE)</f>
        <v>11878203594.201801</v>
      </c>
      <c r="F65" s="4">
        <f>VLOOKUP(A65, output_exiobase_v3.10.2_EXIO_IOT_2019_pxp_Z_production_footprint_EU27[], 2, FALSE)</f>
        <v>40811236312.596985</v>
      </c>
      <c r="G65" s="35">
        <f t="shared" si="6"/>
        <v>6.3127712954268111E-2</v>
      </c>
      <c r="H65" s="1">
        <f t="shared" si="7"/>
        <v>0.93687228704573178</v>
      </c>
    </row>
    <row r="66" spans="1:8" x14ac:dyDescent="0.3">
      <c r="A66" s="9" t="s">
        <v>136</v>
      </c>
      <c r="B66" s="29">
        <f t="shared" si="5"/>
        <v>56032129897.393837</v>
      </c>
      <c r="C66" s="4">
        <f>VLOOKUP(A66,  output_exiobase_v3.10.2_EXIO_IOT_2019_pxp_Y_imports_footprint_EU27[], 2, FALSE)</f>
        <v>1039285423.4028169</v>
      </c>
      <c r="D66" s="4">
        <f>VLOOKUP(A66, output_exiobase_v3.10.2_EXIO_IOT_2019_pxp_Z_imports_footprint_EU27[], 2, FALSE)</f>
        <v>2352512627.9519501</v>
      </c>
      <c r="E66" s="4">
        <f>VLOOKUP(A66, output_exiobase_v3.10.2_EXIO_IOT_2019_pxp_Y_production_footprint_EU27[], 2, FALSE)</f>
        <v>22661216932.841362</v>
      </c>
      <c r="F66" s="4">
        <f>VLOOKUP(A66, output_exiobase_v3.10.2_EXIO_IOT_2019_pxp_Z_production_footprint_EU27[], 2, FALSE)</f>
        <v>29979114913.197708</v>
      </c>
      <c r="G66" s="35">
        <f t="shared" si="6"/>
        <v>6.0533091595230008E-2</v>
      </c>
      <c r="H66" s="1">
        <f t="shared" si="7"/>
        <v>0.93946690840476998</v>
      </c>
    </row>
    <row r="67" spans="1:8" x14ac:dyDescent="0.3">
      <c r="A67" s="9" t="s">
        <v>192</v>
      </c>
      <c r="B67" s="29">
        <f t="shared" si="5"/>
        <v>54894842619.616852</v>
      </c>
      <c r="C67" s="4">
        <f>VLOOKUP(A67,  output_exiobase_v3.10.2_EXIO_IOT_2019_pxp_Y_imports_footprint_EU27[], 2, FALSE)</f>
        <v>790266201.85191083</v>
      </c>
      <c r="D67" s="4">
        <f>VLOOKUP(A67, output_exiobase_v3.10.2_EXIO_IOT_2019_pxp_Z_imports_footprint_EU27[], 2, FALSE)</f>
        <v>1996233013.1513383</v>
      </c>
      <c r="E67" s="4">
        <f>VLOOKUP(A67, output_exiobase_v3.10.2_EXIO_IOT_2019_pxp_Y_production_footprint_EU27[], 2, FALSE)</f>
        <v>13191191532.015129</v>
      </c>
      <c r="F67" s="4">
        <f>VLOOKUP(A67, output_exiobase_v3.10.2_EXIO_IOT_2019_pxp_Z_production_footprint_EU27[], 2, FALSE)</f>
        <v>38917151872.598473</v>
      </c>
      <c r="G67" s="35">
        <f t="shared" si="6"/>
        <v>5.076067408211285E-2</v>
      </c>
      <c r="H67" s="1">
        <f t="shared" si="7"/>
        <v>0.94923932591788718</v>
      </c>
    </row>
    <row r="68" spans="1:8" x14ac:dyDescent="0.3">
      <c r="A68" s="9" t="s">
        <v>40</v>
      </c>
      <c r="B68" s="29">
        <f t="shared" si="5"/>
        <v>47907313467.918571</v>
      </c>
      <c r="C68" s="4">
        <f>VLOOKUP(A68,  output_exiobase_v3.10.2_EXIO_IOT_2019_pxp_Y_imports_footprint_EU27[], 2, FALSE)</f>
        <v>452821680.81849593</v>
      </c>
      <c r="D68" s="4">
        <f>VLOOKUP(A68, output_exiobase_v3.10.2_EXIO_IOT_2019_pxp_Z_imports_footprint_EU27[], 2, FALSE)</f>
        <v>1359065352.2697563</v>
      </c>
      <c r="E68" s="4">
        <f>VLOOKUP(A68, output_exiobase_v3.10.2_EXIO_IOT_2019_pxp_Y_production_footprint_EU27[], 2, FALSE)</f>
        <v>40389432521.786591</v>
      </c>
      <c r="F68" s="4">
        <f>VLOOKUP(A68, output_exiobase_v3.10.2_EXIO_IOT_2019_pxp_Z_production_footprint_EU27[], 2, FALSE)</f>
        <v>5705993913.0437326</v>
      </c>
      <c r="G68" s="35">
        <f t="shared" si="6"/>
        <v>3.7820677093521299E-2</v>
      </c>
      <c r="H68" s="1">
        <f t="shared" si="7"/>
        <v>0.96217932290647878</v>
      </c>
    </row>
    <row r="69" spans="1:8" x14ac:dyDescent="0.3">
      <c r="A69" s="9" t="s">
        <v>34</v>
      </c>
      <c r="B69" s="29">
        <f t="shared" si="5"/>
        <v>46191698132.99176</v>
      </c>
      <c r="C69" s="4">
        <f>VLOOKUP(A69,  output_exiobase_v3.10.2_EXIO_IOT_2019_pxp_Y_imports_footprint_EU27[], 2, FALSE)</f>
        <v>309840707.86359197</v>
      </c>
      <c r="D69" s="4">
        <f>VLOOKUP(A69, output_exiobase_v3.10.2_EXIO_IOT_2019_pxp_Z_imports_footprint_EU27[], 2, FALSE)</f>
        <v>9383204546.6137257</v>
      </c>
      <c r="E69" s="4">
        <f>VLOOKUP(A69, output_exiobase_v3.10.2_EXIO_IOT_2019_pxp_Y_production_footprint_EU27[], 2, FALSE)</f>
        <v>1909385809.433506</v>
      </c>
      <c r="F69" s="4">
        <f>VLOOKUP(A69, output_exiobase_v3.10.2_EXIO_IOT_2019_pxp_Z_production_footprint_EU27[], 2, FALSE)</f>
        <v>34589267069.08094</v>
      </c>
      <c r="G69" s="35">
        <f t="shared" si="6"/>
        <v>0.20984388204499022</v>
      </c>
      <c r="H69" s="1">
        <f t="shared" si="7"/>
        <v>0.79015611795500995</v>
      </c>
    </row>
    <row r="70" spans="1:8" x14ac:dyDescent="0.3">
      <c r="A70" s="9" t="s">
        <v>145</v>
      </c>
      <c r="B70" s="29">
        <f t="shared" si="5"/>
        <v>41968863611.507874</v>
      </c>
      <c r="C70" s="4">
        <f>VLOOKUP(A70,  output_exiobase_v3.10.2_EXIO_IOT_2019_pxp_Y_imports_footprint_EU27[], 2, FALSE)</f>
        <v>185947032.41900131</v>
      </c>
      <c r="D70" s="4">
        <f>VLOOKUP(A70, output_exiobase_v3.10.2_EXIO_IOT_2019_pxp_Z_imports_footprint_EU27[], 2, FALSE)</f>
        <v>45355700.732670955</v>
      </c>
      <c r="E70" s="4">
        <f>VLOOKUP(A70, output_exiobase_v3.10.2_EXIO_IOT_2019_pxp_Y_production_footprint_EU27[], 2, FALSE)</f>
        <v>24062366458.792358</v>
      </c>
      <c r="F70" s="4">
        <f>VLOOKUP(A70, output_exiobase_v3.10.2_EXIO_IOT_2019_pxp_Z_production_footprint_EU27[], 2, FALSE)</f>
        <v>17675194419.563839</v>
      </c>
      <c r="G70" s="35">
        <f t="shared" si="6"/>
        <v>5.5112936888824645E-3</v>
      </c>
      <c r="H70" s="1">
        <f t="shared" si="7"/>
        <v>0.99448870631111752</v>
      </c>
    </row>
    <row r="71" spans="1:8" x14ac:dyDescent="0.3">
      <c r="A71" s="9" t="s">
        <v>72</v>
      </c>
      <c r="B71" s="29">
        <f t="shared" si="5"/>
        <v>39654522595.624001</v>
      </c>
      <c r="C71" s="4">
        <f>VLOOKUP(A71,  output_exiobase_v3.10.2_EXIO_IOT_2019_pxp_Y_imports_footprint_EU27[], 2, FALSE)</f>
        <v>494735227.27004004</v>
      </c>
      <c r="D71" s="4">
        <f>VLOOKUP(A71, output_exiobase_v3.10.2_EXIO_IOT_2019_pxp_Z_imports_footprint_EU27[], 2, FALSE)</f>
        <v>11728315103.488846</v>
      </c>
      <c r="E71" s="4">
        <f>VLOOKUP(A71, output_exiobase_v3.10.2_EXIO_IOT_2019_pxp_Y_production_footprint_EU27[], 2, FALSE)</f>
        <v>1638464183.3365455</v>
      </c>
      <c r="F71" s="4">
        <f>VLOOKUP(A71, output_exiobase_v3.10.2_EXIO_IOT_2019_pxp_Z_production_footprint_EU27[], 2, FALSE)</f>
        <v>25793008081.528568</v>
      </c>
      <c r="G71" s="35">
        <f t="shared" si="6"/>
        <v>0.30823849414108789</v>
      </c>
      <c r="H71" s="1">
        <f t="shared" si="7"/>
        <v>0.69176150585891205</v>
      </c>
    </row>
    <row r="72" spans="1:8" x14ac:dyDescent="0.3">
      <c r="A72" s="9" t="s">
        <v>74</v>
      </c>
      <c r="B72" s="29">
        <f t="shared" si="5"/>
        <v>39428253340.120956</v>
      </c>
      <c r="C72" s="4">
        <f>VLOOKUP(A72,  output_exiobase_v3.10.2_EXIO_IOT_2019_pxp_Y_imports_footprint_EU27[], 2, FALSE)</f>
        <v>3718811995.6138325</v>
      </c>
      <c r="D72" s="4">
        <f>VLOOKUP(A72, output_exiobase_v3.10.2_EXIO_IOT_2019_pxp_Z_imports_footprint_EU27[], 2, FALSE)</f>
        <v>12271442778.318096</v>
      </c>
      <c r="E72" s="4">
        <f>VLOOKUP(A72, output_exiobase_v3.10.2_EXIO_IOT_2019_pxp_Y_production_footprint_EU27[], 2, FALSE)</f>
        <v>2555814532.7809958</v>
      </c>
      <c r="F72" s="4">
        <f>VLOOKUP(A72, output_exiobase_v3.10.2_EXIO_IOT_2019_pxp_Z_production_footprint_EU27[], 2, FALSE)</f>
        <v>20882184033.408028</v>
      </c>
      <c r="G72" s="35">
        <f t="shared" si="6"/>
        <v>0.40555321170316072</v>
      </c>
      <c r="H72" s="1">
        <f t="shared" si="7"/>
        <v>0.59444678829683917</v>
      </c>
    </row>
    <row r="73" spans="1:8" x14ac:dyDescent="0.3">
      <c r="A73" s="9" t="s">
        <v>131</v>
      </c>
      <c r="B73" s="29">
        <f t="shared" si="5"/>
        <v>38132877625.471535</v>
      </c>
      <c r="C73" s="4">
        <f>VLOOKUP(A73,  output_exiobase_v3.10.2_EXIO_IOT_2019_pxp_Y_imports_footprint_EU27[], 2, FALSE)</f>
        <v>1387259.2309138128</v>
      </c>
      <c r="D73" s="4">
        <f>VLOOKUP(A73, output_exiobase_v3.10.2_EXIO_IOT_2019_pxp_Z_imports_footprint_EU27[], 2, FALSE)</f>
        <v>7007892.1003120309</v>
      </c>
      <c r="E73" s="4">
        <f>VLOOKUP(A73, output_exiobase_v3.10.2_EXIO_IOT_2019_pxp_Y_production_footprint_EU27[], 2, FALSE)</f>
        <v>4742812181.771678</v>
      </c>
      <c r="F73" s="4">
        <f>VLOOKUP(A73, output_exiobase_v3.10.2_EXIO_IOT_2019_pxp_Z_production_footprint_EU27[], 2, FALSE)</f>
        <v>33381670292.368633</v>
      </c>
      <c r="G73" s="35">
        <f t="shared" si="6"/>
        <v>2.2015520081333052E-4</v>
      </c>
      <c r="H73" s="1">
        <f t="shared" si="7"/>
        <v>0.9997798447991868</v>
      </c>
    </row>
    <row r="74" spans="1:8" x14ac:dyDescent="0.3">
      <c r="A74" s="9" t="s">
        <v>115</v>
      </c>
      <c r="B74" s="29">
        <f t="shared" ref="B74:B105" si="8">SUM(C74:F74)</f>
        <v>38088701427.428329</v>
      </c>
      <c r="C74" s="4">
        <f>VLOOKUP(A74,  output_exiobase_v3.10.2_EXIO_IOT_2019_pxp_Y_imports_footprint_EU27[], 2, FALSE)</f>
        <v>2798218137.1965599</v>
      </c>
      <c r="D74" s="4">
        <f>VLOOKUP(A74, output_exiobase_v3.10.2_EXIO_IOT_2019_pxp_Z_imports_footprint_EU27[], 2, FALSE)</f>
        <v>8527703648.7326698</v>
      </c>
      <c r="E74" s="4">
        <f>VLOOKUP(A74, output_exiobase_v3.10.2_EXIO_IOT_2019_pxp_Y_production_footprint_EU27[], 2, FALSE)</f>
        <v>7182137735.2856855</v>
      </c>
      <c r="F74" s="4">
        <f>VLOOKUP(A74, output_exiobase_v3.10.2_EXIO_IOT_2019_pxp_Z_production_footprint_EU27[], 2, FALSE)</f>
        <v>19580641906.213409</v>
      </c>
      <c r="G74" s="35">
        <f t="shared" ref="G74:G105" si="9">(C74+D74)/B74</f>
        <v>0.29735646954278255</v>
      </c>
      <c r="H74" s="1">
        <f t="shared" ref="H74:H105" si="10">(E74+F74)/B74</f>
        <v>0.70264353045721739</v>
      </c>
    </row>
    <row r="75" spans="1:8" x14ac:dyDescent="0.3">
      <c r="A75" s="9" t="s">
        <v>66</v>
      </c>
      <c r="B75" s="29">
        <f t="shared" si="8"/>
        <v>36530463183.637749</v>
      </c>
      <c r="C75" s="4">
        <f>VLOOKUP(A75,  output_exiobase_v3.10.2_EXIO_IOT_2019_pxp_Y_imports_footprint_EU27[], 2, FALSE)</f>
        <v>0</v>
      </c>
      <c r="D75" s="4">
        <f>VLOOKUP(A75, output_exiobase_v3.10.2_EXIO_IOT_2019_pxp_Z_imports_footprint_EU27[], 2, FALSE)</f>
        <v>0</v>
      </c>
      <c r="E75" s="4">
        <f>VLOOKUP(A75, output_exiobase_v3.10.2_EXIO_IOT_2019_pxp_Y_production_footprint_EU27[], 2, FALSE)</f>
        <v>2079340089.8815298</v>
      </c>
      <c r="F75" s="4">
        <f>VLOOKUP(A75, output_exiobase_v3.10.2_EXIO_IOT_2019_pxp_Z_production_footprint_EU27[], 2, FALSE)</f>
        <v>34451123093.756218</v>
      </c>
      <c r="G75" s="35">
        <f t="shared" si="9"/>
        <v>0</v>
      </c>
      <c r="H75" s="1">
        <f t="shared" si="10"/>
        <v>1</v>
      </c>
    </row>
    <row r="76" spans="1:8" x14ac:dyDescent="0.3">
      <c r="A76" s="9" t="s">
        <v>120</v>
      </c>
      <c r="B76" s="29">
        <f t="shared" si="8"/>
        <v>36308795543.337372</v>
      </c>
      <c r="C76" s="4">
        <f>VLOOKUP(A76,  output_exiobase_v3.10.2_EXIO_IOT_2019_pxp_Y_imports_footprint_EU27[], 2, FALSE)</f>
        <v>5002009987.6410732</v>
      </c>
      <c r="D76" s="4">
        <f>VLOOKUP(A76, output_exiobase_v3.10.2_EXIO_IOT_2019_pxp_Z_imports_footprint_EU27[], 2, FALSE)</f>
        <v>10851433146.614788</v>
      </c>
      <c r="E76" s="4">
        <f>VLOOKUP(A76, output_exiobase_v3.10.2_EXIO_IOT_2019_pxp_Y_production_footprint_EU27[], 2, FALSE)</f>
        <v>6047443843.132782</v>
      </c>
      <c r="F76" s="4">
        <f>VLOOKUP(A76, output_exiobase_v3.10.2_EXIO_IOT_2019_pxp_Z_production_footprint_EU27[], 2, FALSE)</f>
        <v>14407908565.94873</v>
      </c>
      <c r="G76" s="35">
        <f t="shared" si="9"/>
        <v>0.4366281749922975</v>
      </c>
      <c r="H76" s="1">
        <f t="shared" si="10"/>
        <v>0.56337182500770255</v>
      </c>
    </row>
    <row r="77" spans="1:8" x14ac:dyDescent="0.3">
      <c r="A77" s="9" t="s">
        <v>106</v>
      </c>
      <c r="B77" s="29">
        <f t="shared" si="8"/>
        <v>36072062390.723244</v>
      </c>
      <c r="C77" s="4">
        <f>VLOOKUP(A77,  output_exiobase_v3.10.2_EXIO_IOT_2019_pxp_Y_imports_footprint_EU27[], 2, FALSE)</f>
        <v>1657255393.9474626</v>
      </c>
      <c r="D77" s="4">
        <f>VLOOKUP(A77, output_exiobase_v3.10.2_EXIO_IOT_2019_pxp_Z_imports_footprint_EU27[], 2, FALSE)</f>
        <v>9696603059.4929905</v>
      </c>
      <c r="E77" s="4">
        <f>VLOOKUP(A77, output_exiobase_v3.10.2_EXIO_IOT_2019_pxp_Y_production_footprint_EU27[], 2, FALSE)</f>
        <v>5418786546.008709</v>
      </c>
      <c r="F77" s="4">
        <f>VLOOKUP(A77, output_exiobase_v3.10.2_EXIO_IOT_2019_pxp_Z_production_footprint_EU27[], 2, FALSE)</f>
        <v>19299417391.274082</v>
      </c>
      <c r="G77" s="35">
        <f t="shared" si="9"/>
        <v>0.31475490174247306</v>
      </c>
      <c r="H77" s="1">
        <f t="shared" si="10"/>
        <v>0.68524509825752689</v>
      </c>
    </row>
    <row r="78" spans="1:8" x14ac:dyDescent="0.3">
      <c r="A78" s="9" t="s">
        <v>48</v>
      </c>
      <c r="B78" s="29">
        <f t="shared" si="8"/>
        <v>35311595269.256195</v>
      </c>
      <c r="C78" s="4">
        <f>VLOOKUP(A78,  output_exiobase_v3.10.2_EXIO_IOT_2019_pxp_Y_imports_footprint_EU27[], 2, FALSE)</f>
        <v>27324273.613761239</v>
      </c>
      <c r="D78" s="4">
        <f>VLOOKUP(A78, output_exiobase_v3.10.2_EXIO_IOT_2019_pxp_Z_imports_footprint_EU27[], 2, FALSE)</f>
        <v>197631565.79903397</v>
      </c>
      <c r="E78" s="4">
        <f>VLOOKUP(A78, output_exiobase_v3.10.2_EXIO_IOT_2019_pxp_Y_production_footprint_EU27[], 2, FALSE)</f>
        <v>6430548410.3391333</v>
      </c>
      <c r="F78" s="4">
        <f>VLOOKUP(A78, output_exiobase_v3.10.2_EXIO_IOT_2019_pxp_Z_production_footprint_EU27[], 2, FALSE)</f>
        <v>28656091019.504269</v>
      </c>
      <c r="G78" s="35">
        <f t="shared" si="9"/>
        <v>6.3705940696667284E-3</v>
      </c>
      <c r="H78" s="1">
        <f t="shared" si="10"/>
        <v>0.99362940593033322</v>
      </c>
    </row>
    <row r="79" spans="1:8" x14ac:dyDescent="0.3">
      <c r="A79" s="9" t="s">
        <v>21</v>
      </c>
      <c r="B79" s="29">
        <f t="shared" si="8"/>
        <v>33594212766.583515</v>
      </c>
      <c r="C79" s="4">
        <f>VLOOKUP(A79,  output_exiobase_v3.10.2_EXIO_IOT_2019_pxp_Y_imports_footprint_EU27[], 2, FALSE)</f>
        <v>2217331446.3800817</v>
      </c>
      <c r="D79" s="4">
        <f>VLOOKUP(A79, output_exiobase_v3.10.2_EXIO_IOT_2019_pxp_Z_imports_footprint_EU27[], 2, FALSE)</f>
        <v>9365529548.842514</v>
      </c>
      <c r="E79" s="4">
        <f>VLOOKUP(A79, output_exiobase_v3.10.2_EXIO_IOT_2019_pxp_Y_production_footprint_EU27[], 2, FALSE)</f>
        <v>5791665257.3165436</v>
      </c>
      <c r="F79" s="4">
        <f>VLOOKUP(A79, output_exiobase_v3.10.2_EXIO_IOT_2019_pxp_Z_production_footprint_EU27[], 2, FALSE)</f>
        <v>16219686514.044376</v>
      </c>
      <c r="G79" s="35">
        <f t="shared" si="9"/>
        <v>0.34478739167670502</v>
      </c>
      <c r="H79" s="1">
        <f t="shared" si="10"/>
        <v>0.65521260832329498</v>
      </c>
    </row>
    <row r="80" spans="1:8" x14ac:dyDescent="0.3">
      <c r="A80" s="9" t="s">
        <v>59</v>
      </c>
      <c r="B80" s="29">
        <f t="shared" si="8"/>
        <v>31740908912.284527</v>
      </c>
      <c r="C80" s="4">
        <f>VLOOKUP(A80,  output_exiobase_v3.10.2_EXIO_IOT_2019_pxp_Y_imports_footprint_EU27[], 2, FALSE)</f>
        <v>4361055958.510088</v>
      </c>
      <c r="D80" s="4">
        <f>VLOOKUP(A80, output_exiobase_v3.10.2_EXIO_IOT_2019_pxp_Z_imports_footprint_EU27[], 2, FALSE)</f>
        <v>4802315897.1128273</v>
      </c>
      <c r="E80" s="4">
        <f>VLOOKUP(A80, output_exiobase_v3.10.2_EXIO_IOT_2019_pxp_Y_production_footprint_EU27[], 2, FALSE)</f>
        <v>9399807867.71772</v>
      </c>
      <c r="F80" s="4">
        <f>VLOOKUP(A80, output_exiobase_v3.10.2_EXIO_IOT_2019_pxp_Z_production_footprint_EU27[], 2, FALSE)</f>
        <v>13177729188.94389</v>
      </c>
      <c r="G80" s="35">
        <f t="shared" si="9"/>
        <v>0.2886927995964369</v>
      </c>
      <c r="H80" s="1">
        <f t="shared" si="10"/>
        <v>0.71130720040356299</v>
      </c>
    </row>
    <row r="81" spans="1:8" x14ac:dyDescent="0.3">
      <c r="A81" s="9" t="s">
        <v>175</v>
      </c>
      <c r="B81" s="29">
        <f t="shared" si="8"/>
        <v>30311932804.295372</v>
      </c>
      <c r="C81" s="4">
        <f>VLOOKUP(A81,  output_exiobase_v3.10.2_EXIO_IOT_2019_pxp_Y_imports_footprint_EU27[], 2, FALSE)</f>
        <v>35750994.02668117</v>
      </c>
      <c r="D81" s="4">
        <f>VLOOKUP(A81, output_exiobase_v3.10.2_EXIO_IOT_2019_pxp_Z_imports_footprint_EU27[], 2, FALSE)</f>
        <v>663269081.6421361</v>
      </c>
      <c r="E81" s="4">
        <f>VLOOKUP(A81, output_exiobase_v3.10.2_EXIO_IOT_2019_pxp_Y_production_footprint_EU27[], 2, FALSE)</f>
        <v>3092372274.5872002</v>
      </c>
      <c r="F81" s="4">
        <f>VLOOKUP(A81, output_exiobase_v3.10.2_EXIO_IOT_2019_pxp_Z_production_footprint_EU27[], 2, FALSE)</f>
        <v>26520540454.039356</v>
      </c>
      <c r="G81" s="35">
        <f t="shared" si="9"/>
        <v>2.3060887610893695E-2</v>
      </c>
      <c r="H81" s="1">
        <f t="shared" si="10"/>
        <v>0.97693911238910636</v>
      </c>
    </row>
    <row r="82" spans="1:8" x14ac:dyDescent="0.3">
      <c r="A82" s="9" t="s">
        <v>140</v>
      </c>
      <c r="B82" s="29">
        <f t="shared" si="8"/>
        <v>29371687787.072609</v>
      </c>
      <c r="C82" s="4">
        <f>VLOOKUP(A82,  output_exiobase_v3.10.2_EXIO_IOT_2019_pxp_Y_imports_footprint_EU27[], 2, FALSE)</f>
        <v>228176186.80750364</v>
      </c>
      <c r="D82" s="4">
        <f>VLOOKUP(A82, output_exiobase_v3.10.2_EXIO_IOT_2019_pxp_Z_imports_footprint_EU27[], 2, FALSE)</f>
        <v>1665179868.06513</v>
      </c>
      <c r="E82" s="4">
        <f>VLOOKUP(A82, output_exiobase_v3.10.2_EXIO_IOT_2019_pxp_Y_production_footprint_EU27[], 2, FALSE)</f>
        <v>10568477356.668236</v>
      </c>
      <c r="F82" s="4">
        <f>VLOOKUP(A82, output_exiobase_v3.10.2_EXIO_IOT_2019_pxp_Z_production_footprint_EU27[], 2, FALSE)</f>
        <v>16909854375.531738</v>
      </c>
      <c r="G82" s="35">
        <f t="shared" si="9"/>
        <v>6.4461942691150298E-2</v>
      </c>
      <c r="H82" s="1">
        <f t="shared" si="10"/>
        <v>0.93553805730884965</v>
      </c>
    </row>
    <row r="83" spans="1:8" x14ac:dyDescent="0.3">
      <c r="A83" s="9" t="s">
        <v>188</v>
      </c>
      <c r="B83" s="29">
        <f t="shared" si="8"/>
        <v>28044308604.572243</v>
      </c>
      <c r="C83" s="4">
        <f>VLOOKUP(A83,  output_exiobase_v3.10.2_EXIO_IOT_2019_pxp_Y_imports_footprint_EU27[], 2, FALSE)</f>
        <v>84632753.547685176</v>
      </c>
      <c r="D83" s="4">
        <f>VLOOKUP(A83, output_exiobase_v3.10.2_EXIO_IOT_2019_pxp_Z_imports_footprint_EU27[], 2, FALSE)</f>
        <v>11869587945.962896</v>
      </c>
      <c r="E83" s="4">
        <f>VLOOKUP(A83, output_exiobase_v3.10.2_EXIO_IOT_2019_pxp_Y_production_footprint_EU27[], 2, FALSE)</f>
        <v>1136224085.2246332</v>
      </c>
      <c r="F83" s="4">
        <f>VLOOKUP(A83, output_exiobase_v3.10.2_EXIO_IOT_2019_pxp_Z_production_footprint_EU27[], 2, FALSE)</f>
        <v>14953863819.837027</v>
      </c>
      <c r="G83" s="35">
        <f t="shared" si="9"/>
        <v>0.42626191531645063</v>
      </c>
      <c r="H83" s="1">
        <f t="shared" si="10"/>
        <v>0.57373808468354937</v>
      </c>
    </row>
    <row r="84" spans="1:8" x14ac:dyDescent="0.3">
      <c r="A84" s="9" t="s">
        <v>137</v>
      </c>
      <c r="B84" s="29">
        <f t="shared" si="8"/>
        <v>26798490083.959984</v>
      </c>
      <c r="C84" s="4">
        <f>VLOOKUP(A84,  output_exiobase_v3.10.2_EXIO_IOT_2019_pxp_Y_imports_footprint_EU27[], 2, FALSE)</f>
        <v>81455393.296922788</v>
      </c>
      <c r="D84" s="4">
        <f>VLOOKUP(A84, output_exiobase_v3.10.2_EXIO_IOT_2019_pxp_Z_imports_footprint_EU27[], 2, FALSE)</f>
        <v>130430580.78989218</v>
      </c>
      <c r="E84" s="4">
        <f>VLOOKUP(A84, output_exiobase_v3.10.2_EXIO_IOT_2019_pxp_Y_production_footprint_EU27[], 2, FALSE)</f>
        <v>15054074162.508705</v>
      </c>
      <c r="F84" s="4">
        <f>VLOOKUP(A84, output_exiobase_v3.10.2_EXIO_IOT_2019_pxp_Z_production_footprint_EU27[], 2, FALSE)</f>
        <v>11532529947.364464</v>
      </c>
      <c r="G84" s="35">
        <f t="shared" si="9"/>
        <v>7.9066385241472088E-3</v>
      </c>
      <c r="H84" s="1">
        <f t="shared" si="10"/>
        <v>0.99209336147585281</v>
      </c>
    </row>
    <row r="85" spans="1:8" x14ac:dyDescent="0.3">
      <c r="A85" s="9" t="s">
        <v>148</v>
      </c>
      <c r="B85" s="29">
        <f t="shared" si="8"/>
        <v>25908438216.862785</v>
      </c>
      <c r="C85" s="4">
        <f>VLOOKUP(A85,  output_exiobase_v3.10.2_EXIO_IOT_2019_pxp_Y_imports_footprint_EU27[], 2, FALSE)</f>
        <v>144942579.57079366</v>
      </c>
      <c r="D85" s="4">
        <f>VLOOKUP(A85, output_exiobase_v3.10.2_EXIO_IOT_2019_pxp_Z_imports_footprint_EU27[], 2, FALSE)</f>
        <v>2042603486.890141</v>
      </c>
      <c r="E85" s="4">
        <f>VLOOKUP(A85, output_exiobase_v3.10.2_EXIO_IOT_2019_pxp_Y_production_footprint_EU27[], 2, FALSE)</f>
        <v>2685016036.0941782</v>
      </c>
      <c r="F85" s="4">
        <f>VLOOKUP(A85, output_exiobase_v3.10.2_EXIO_IOT_2019_pxp_Z_production_footprint_EU27[], 2, FALSE)</f>
        <v>21035876114.307671</v>
      </c>
      <c r="G85" s="35">
        <f t="shared" si="9"/>
        <v>8.4433729588422157E-2</v>
      </c>
      <c r="H85" s="1">
        <f t="shared" si="10"/>
        <v>0.91556627041157779</v>
      </c>
    </row>
    <row r="86" spans="1:8" x14ac:dyDescent="0.3">
      <c r="A86" s="9" t="s">
        <v>200</v>
      </c>
      <c r="B86" s="29">
        <f t="shared" si="8"/>
        <v>24946109922.183372</v>
      </c>
      <c r="C86" s="4">
        <f>VLOOKUP(A86,  output_exiobase_v3.10.2_EXIO_IOT_2019_pxp_Y_imports_footprint_EU27[], 2, FALSE)</f>
        <v>1769901684.2762952</v>
      </c>
      <c r="D86" s="4">
        <f>VLOOKUP(A86, output_exiobase_v3.10.2_EXIO_IOT_2019_pxp_Z_imports_footprint_EU27[], 2, FALSE)</f>
        <v>10485022844.701454</v>
      </c>
      <c r="E86" s="4">
        <f>VLOOKUP(A86, output_exiobase_v3.10.2_EXIO_IOT_2019_pxp_Y_production_footprint_EU27[], 2, FALSE)</f>
        <v>2648045383.8055391</v>
      </c>
      <c r="F86" s="4">
        <f>VLOOKUP(A86, output_exiobase_v3.10.2_EXIO_IOT_2019_pxp_Z_production_footprint_EU27[], 2, FALSE)</f>
        <v>10043140009.400084</v>
      </c>
      <c r="G86" s="35">
        <f t="shared" si="9"/>
        <v>0.49125593397951139</v>
      </c>
      <c r="H86" s="1">
        <f t="shared" si="10"/>
        <v>0.50874406602048861</v>
      </c>
    </row>
    <row r="87" spans="1:8" x14ac:dyDescent="0.3">
      <c r="A87" s="9" t="s">
        <v>78</v>
      </c>
      <c r="B87" s="29">
        <f t="shared" si="8"/>
        <v>24408058259.800819</v>
      </c>
      <c r="C87" s="4">
        <f>VLOOKUP(A87,  output_exiobase_v3.10.2_EXIO_IOT_2019_pxp_Y_imports_footprint_EU27[], 2, FALSE)</f>
        <v>858141097.70213723</v>
      </c>
      <c r="D87" s="4">
        <f>VLOOKUP(A87, output_exiobase_v3.10.2_EXIO_IOT_2019_pxp_Z_imports_footprint_EU27[], 2, FALSE)</f>
        <v>1095614945.0594335</v>
      </c>
      <c r="E87" s="4">
        <f>VLOOKUP(A87, output_exiobase_v3.10.2_EXIO_IOT_2019_pxp_Y_production_footprint_EU27[], 2, FALSE)</f>
        <v>14450731457.635006</v>
      </c>
      <c r="F87" s="4">
        <f>VLOOKUP(A87, output_exiobase_v3.10.2_EXIO_IOT_2019_pxp_Z_production_footprint_EU27[], 2, FALSE)</f>
        <v>8003570759.4042454</v>
      </c>
      <c r="G87" s="35">
        <f t="shared" si="9"/>
        <v>8.0045533403996158E-2</v>
      </c>
      <c r="H87" s="1">
        <f t="shared" si="10"/>
        <v>0.91995446659600399</v>
      </c>
    </row>
    <row r="88" spans="1:8" x14ac:dyDescent="0.3">
      <c r="A88" s="9" t="s">
        <v>143</v>
      </c>
      <c r="B88" s="29">
        <f t="shared" si="8"/>
        <v>23911064243.376732</v>
      </c>
      <c r="C88" s="4">
        <f>VLOOKUP(A88,  output_exiobase_v3.10.2_EXIO_IOT_2019_pxp_Y_imports_footprint_EU27[], 2, FALSE)</f>
        <v>246957297.48063508</v>
      </c>
      <c r="D88" s="4">
        <f>VLOOKUP(A88, output_exiobase_v3.10.2_EXIO_IOT_2019_pxp_Z_imports_footprint_EU27[], 2, FALSE)</f>
        <v>1001291645.596043</v>
      </c>
      <c r="E88" s="4">
        <f>VLOOKUP(A88, output_exiobase_v3.10.2_EXIO_IOT_2019_pxp_Y_production_footprint_EU27[], 2, FALSE)</f>
        <v>3870276070.3284974</v>
      </c>
      <c r="F88" s="4">
        <f>VLOOKUP(A88, output_exiobase_v3.10.2_EXIO_IOT_2019_pxp_Z_production_footprint_EU27[], 2, FALSE)</f>
        <v>18792539229.971558</v>
      </c>
      <c r="G88" s="35">
        <f t="shared" si="9"/>
        <v>5.2203822062099892E-2</v>
      </c>
      <c r="H88" s="1">
        <f t="shared" si="10"/>
        <v>0.94779617793790027</v>
      </c>
    </row>
    <row r="89" spans="1:8" x14ac:dyDescent="0.3">
      <c r="A89" s="9" t="s">
        <v>187</v>
      </c>
      <c r="B89" s="29">
        <f t="shared" si="8"/>
        <v>22725266213.100773</v>
      </c>
      <c r="C89" s="4">
        <f>VLOOKUP(A89,  output_exiobase_v3.10.2_EXIO_IOT_2019_pxp_Y_imports_footprint_EU27[], 2, FALSE)</f>
        <v>0</v>
      </c>
      <c r="D89" s="4">
        <f>VLOOKUP(A89, output_exiobase_v3.10.2_EXIO_IOT_2019_pxp_Z_imports_footprint_EU27[], 2, FALSE)</f>
        <v>0</v>
      </c>
      <c r="E89" s="4">
        <f>VLOOKUP(A89, output_exiobase_v3.10.2_EXIO_IOT_2019_pxp_Y_production_footprint_EU27[], 2, FALSE)</f>
        <v>6503948086.9865866</v>
      </c>
      <c r="F89" s="4">
        <f>VLOOKUP(A89, output_exiobase_v3.10.2_EXIO_IOT_2019_pxp_Z_production_footprint_EU27[], 2, FALSE)</f>
        <v>16221318126.114185</v>
      </c>
      <c r="G89" s="35">
        <f t="shared" si="9"/>
        <v>0</v>
      </c>
      <c r="H89" s="1">
        <f t="shared" si="10"/>
        <v>1</v>
      </c>
    </row>
    <row r="90" spans="1:8" x14ac:dyDescent="0.3">
      <c r="A90" s="9" t="s">
        <v>87</v>
      </c>
      <c r="B90" s="29">
        <f t="shared" si="8"/>
        <v>22529002076.242565</v>
      </c>
      <c r="C90" s="4">
        <f>VLOOKUP(A90,  output_exiobase_v3.10.2_EXIO_IOT_2019_pxp_Y_imports_footprint_EU27[], 2, FALSE)</f>
        <v>3244170037.892478</v>
      </c>
      <c r="D90" s="4">
        <f>VLOOKUP(A90, output_exiobase_v3.10.2_EXIO_IOT_2019_pxp_Z_imports_footprint_EU27[], 2, FALSE)</f>
        <v>10169076217.454029</v>
      </c>
      <c r="E90" s="4">
        <f>VLOOKUP(A90, output_exiobase_v3.10.2_EXIO_IOT_2019_pxp_Y_production_footprint_EU27[], 2, FALSE)</f>
        <v>2701912894.210113</v>
      </c>
      <c r="F90" s="4">
        <f>VLOOKUP(A90, output_exiobase_v3.10.2_EXIO_IOT_2019_pxp_Z_production_footprint_EU27[], 2, FALSE)</f>
        <v>6413842926.6859446</v>
      </c>
      <c r="G90" s="35">
        <f t="shared" si="9"/>
        <v>0.59537684847084882</v>
      </c>
      <c r="H90" s="1">
        <f t="shared" si="10"/>
        <v>0.40462315152915118</v>
      </c>
    </row>
    <row r="91" spans="1:8" x14ac:dyDescent="0.3">
      <c r="A91" s="9" t="s">
        <v>116</v>
      </c>
      <c r="B91" s="29">
        <f t="shared" si="8"/>
        <v>22495980792.66954</v>
      </c>
      <c r="C91" s="4">
        <f>VLOOKUP(A91,  output_exiobase_v3.10.2_EXIO_IOT_2019_pxp_Y_imports_footprint_EU27[], 2, FALSE)</f>
        <v>253900059.62499139</v>
      </c>
      <c r="D91" s="4">
        <f>VLOOKUP(A91, output_exiobase_v3.10.2_EXIO_IOT_2019_pxp_Z_imports_footprint_EU27[], 2, FALSE)</f>
        <v>431485053.52950913</v>
      </c>
      <c r="E91" s="4">
        <f>VLOOKUP(A91, output_exiobase_v3.10.2_EXIO_IOT_2019_pxp_Y_production_footprint_EU27[], 2, FALSE)</f>
        <v>17563815854.039013</v>
      </c>
      <c r="F91" s="4">
        <f>VLOOKUP(A91, output_exiobase_v3.10.2_EXIO_IOT_2019_pxp_Z_production_footprint_EU27[], 2, FALSE)</f>
        <v>4246779825.4760289</v>
      </c>
      <c r="G91" s="35">
        <f t="shared" si="9"/>
        <v>3.0467002949159595E-2</v>
      </c>
      <c r="H91" s="1">
        <f t="shared" si="10"/>
        <v>0.96953299705084051</v>
      </c>
    </row>
    <row r="92" spans="1:8" x14ac:dyDescent="0.3">
      <c r="A92" s="9" t="s">
        <v>114</v>
      </c>
      <c r="B92" s="29">
        <f t="shared" si="8"/>
        <v>21434324303.977028</v>
      </c>
      <c r="C92" s="4">
        <f>VLOOKUP(A92,  output_exiobase_v3.10.2_EXIO_IOT_2019_pxp_Y_imports_footprint_EU27[], 2, FALSE)</f>
        <v>272735583.56643647</v>
      </c>
      <c r="D92" s="4">
        <f>VLOOKUP(A92, output_exiobase_v3.10.2_EXIO_IOT_2019_pxp_Z_imports_footprint_EU27[], 2, FALSE)</f>
        <v>9804042616.8085709</v>
      </c>
      <c r="E92" s="4">
        <f>VLOOKUP(A92, output_exiobase_v3.10.2_EXIO_IOT_2019_pxp_Y_production_footprint_EU27[], 2, FALSE)</f>
        <v>469896377.84002668</v>
      </c>
      <c r="F92" s="4">
        <f>VLOOKUP(A92, output_exiobase_v3.10.2_EXIO_IOT_2019_pxp_Z_production_footprint_EU27[], 2, FALSE)</f>
        <v>10887649725.761993</v>
      </c>
      <c r="G92" s="35">
        <f t="shared" si="9"/>
        <v>0.4701234364782525</v>
      </c>
      <c r="H92" s="1">
        <f t="shared" si="10"/>
        <v>0.5298765635217475</v>
      </c>
    </row>
    <row r="93" spans="1:8" x14ac:dyDescent="0.3">
      <c r="A93" s="9" t="s">
        <v>35</v>
      </c>
      <c r="B93" s="29">
        <f t="shared" si="8"/>
        <v>20806636822.632511</v>
      </c>
      <c r="C93" s="4">
        <f>VLOOKUP(A93,  output_exiobase_v3.10.2_EXIO_IOT_2019_pxp_Y_imports_footprint_EU27[], 2, FALSE)</f>
        <v>2819574477.2285223</v>
      </c>
      <c r="D93" s="4">
        <f>VLOOKUP(A93, output_exiobase_v3.10.2_EXIO_IOT_2019_pxp_Z_imports_footprint_EU27[], 2, FALSE)</f>
        <v>7550397137.9934158</v>
      </c>
      <c r="E93" s="4">
        <f>VLOOKUP(A93, output_exiobase_v3.10.2_EXIO_IOT_2019_pxp_Y_production_footprint_EU27[], 2, FALSE)</f>
        <v>1711494056.7179687</v>
      </c>
      <c r="F93" s="4">
        <f>VLOOKUP(A93, output_exiobase_v3.10.2_EXIO_IOT_2019_pxp_Z_production_footprint_EU27[], 2, FALSE)</f>
        <v>8725171150.6926041</v>
      </c>
      <c r="G93" s="35">
        <f t="shared" si="9"/>
        <v>0.49839730003562888</v>
      </c>
      <c r="H93" s="1">
        <f t="shared" si="10"/>
        <v>0.50160269996437112</v>
      </c>
    </row>
    <row r="94" spans="1:8" x14ac:dyDescent="0.3">
      <c r="A94" s="9" t="s">
        <v>92</v>
      </c>
      <c r="B94" s="29">
        <f t="shared" si="8"/>
        <v>20117665642.514381</v>
      </c>
      <c r="C94" s="4">
        <f>VLOOKUP(A94,  output_exiobase_v3.10.2_EXIO_IOT_2019_pxp_Y_imports_footprint_EU27[], 2, FALSE)</f>
        <v>4281983547.686058</v>
      </c>
      <c r="D94" s="4">
        <f>VLOOKUP(A94, output_exiobase_v3.10.2_EXIO_IOT_2019_pxp_Z_imports_footprint_EU27[], 2, FALSE)</f>
        <v>1343282343.4487457</v>
      </c>
      <c r="E94" s="4">
        <f>VLOOKUP(A94, output_exiobase_v3.10.2_EXIO_IOT_2019_pxp_Y_production_footprint_EU27[], 2, FALSE)</f>
        <v>7016501937.9191132</v>
      </c>
      <c r="F94" s="4">
        <f>VLOOKUP(A94, output_exiobase_v3.10.2_EXIO_IOT_2019_pxp_Z_production_footprint_EU27[], 2, FALSE)</f>
        <v>7475897813.4604654</v>
      </c>
      <c r="G94" s="35">
        <f t="shared" si="9"/>
        <v>0.27961822167115691</v>
      </c>
      <c r="H94" s="1">
        <f t="shared" si="10"/>
        <v>0.72038177832884309</v>
      </c>
    </row>
    <row r="95" spans="1:8" x14ac:dyDescent="0.3">
      <c r="A95" s="9" t="s">
        <v>118</v>
      </c>
      <c r="B95" s="29">
        <f t="shared" si="8"/>
        <v>18615969576.440361</v>
      </c>
      <c r="C95" s="4">
        <f>VLOOKUP(A95,  output_exiobase_v3.10.2_EXIO_IOT_2019_pxp_Y_imports_footprint_EU27[], 2, FALSE)</f>
        <v>5750072.6360874325</v>
      </c>
      <c r="D95" s="4">
        <f>VLOOKUP(A95, output_exiobase_v3.10.2_EXIO_IOT_2019_pxp_Z_imports_footprint_EU27[], 2, FALSE)</f>
        <v>138005862.03187844</v>
      </c>
      <c r="E95" s="4">
        <f>VLOOKUP(A95, output_exiobase_v3.10.2_EXIO_IOT_2019_pxp_Y_production_footprint_EU27[], 2, FALSE)</f>
        <v>5545715262.8172293</v>
      </c>
      <c r="F95" s="4">
        <f>VLOOKUP(A95, output_exiobase_v3.10.2_EXIO_IOT_2019_pxp_Z_production_footprint_EU27[], 2, FALSE)</f>
        <v>12926498378.955168</v>
      </c>
      <c r="G95" s="35">
        <f t="shared" si="9"/>
        <v>7.7221835842435915E-3</v>
      </c>
      <c r="H95" s="1">
        <f t="shared" si="10"/>
        <v>0.99227781641575641</v>
      </c>
    </row>
    <row r="96" spans="1:8" x14ac:dyDescent="0.3">
      <c r="A96" s="9" t="s">
        <v>83</v>
      </c>
      <c r="B96" s="29">
        <f t="shared" si="8"/>
        <v>18543009329.653419</v>
      </c>
      <c r="C96" s="4">
        <f>VLOOKUP(A96,  output_exiobase_v3.10.2_EXIO_IOT_2019_pxp_Y_imports_footprint_EU27[], 2, FALSE)</f>
        <v>616634640.72933865</v>
      </c>
      <c r="D96" s="4">
        <f>VLOOKUP(A96, output_exiobase_v3.10.2_EXIO_IOT_2019_pxp_Z_imports_footprint_EU27[], 2, FALSE)</f>
        <v>5283885349.4185324</v>
      </c>
      <c r="E96" s="4">
        <f>VLOOKUP(A96, output_exiobase_v3.10.2_EXIO_IOT_2019_pxp_Y_production_footprint_EU27[], 2, FALSE)</f>
        <v>1687463976.844825</v>
      </c>
      <c r="F96" s="4">
        <f>VLOOKUP(A96, output_exiobase_v3.10.2_EXIO_IOT_2019_pxp_Z_production_footprint_EU27[], 2, FALSE)</f>
        <v>10955025362.660723</v>
      </c>
      <c r="G96" s="35">
        <f t="shared" si="9"/>
        <v>0.31820724917135956</v>
      </c>
      <c r="H96" s="1">
        <f t="shared" si="10"/>
        <v>0.68179275082864044</v>
      </c>
    </row>
    <row r="97" spans="1:9" x14ac:dyDescent="0.3">
      <c r="A97" s="9" t="s">
        <v>27</v>
      </c>
      <c r="B97" s="29">
        <f t="shared" si="8"/>
        <v>18405478343.740891</v>
      </c>
      <c r="C97" s="4">
        <f>VLOOKUP(A97,  output_exiobase_v3.10.2_EXIO_IOT_2019_pxp_Y_imports_footprint_EU27[], 2, FALSE)</f>
        <v>335835183.30252242</v>
      </c>
      <c r="D97" s="4">
        <f>VLOOKUP(A97, output_exiobase_v3.10.2_EXIO_IOT_2019_pxp_Z_imports_footprint_EU27[], 2, FALSE)</f>
        <v>961891555.4358691</v>
      </c>
      <c r="E97" s="4">
        <f>VLOOKUP(A97, output_exiobase_v3.10.2_EXIO_IOT_2019_pxp_Y_production_footprint_EU27[], 2, FALSE)</f>
        <v>1269004970.0881994</v>
      </c>
      <c r="F97" s="4">
        <f>VLOOKUP(A97, output_exiobase_v3.10.2_EXIO_IOT_2019_pxp_Z_production_footprint_EU27[], 2, FALSE)</f>
        <v>15838746634.914299</v>
      </c>
      <c r="G97" s="35">
        <f t="shared" si="9"/>
        <v>7.0507634439161776E-2</v>
      </c>
      <c r="H97" s="1">
        <f t="shared" si="10"/>
        <v>0.92949236556083825</v>
      </c>
    </row>
    <row r="98" spans="1:9" x14ac:dyDescent="0.3">
      <c r="A98" s="9" t="s">
        <v>139</v>
      </c>
      <c r="B98" s="29">
        <f t="shared" si="8"/>
        <v>17432814421.210518</v>
      </c>
      <c r="C98" s="4">
        <f>VLOOKUP(A98,  output_exiobase_v3.10.2_EXIO_IOT_2019_pxp_Y_imports_footprint_EU27[], 2, FALSE)</f>
        <v>78434168.160387382</v>
      </c>
      <c r="D98" s="4">
        <f>VLOOKUP(A98, output_exiobase_v3.10.2_EXIO_IOT_2019_pxp_Z_imports_footprint_EU27[], 2, FALSE)</f>
        <v>1019768386.2750816</v>
      </c>
      <c r="E98" s="4">
        <f>VLOOKUP(A98, output_exiobase_v3.10.2_EXIO_IOT_2019_pxp_Y_production_footprint_EU27[], 2, FALSE)</f>
        <v>762501931.33319068</v>
      </c>
      <c r="F98" s="4">
        <f>VLOOKUP(A98, output_exiobase_v3.10.2_EXIO_IOT_2019_pxp_Z_production_footprint_EU27[], 2, FALSE)</f>
        <v>15572109935.441858</v>
      </c>
      <c r="G98" s="35">
        <f t="shared" si="9"/>
        <v>6.2996285505069402E-2</v>
      </c>
      <c r="H98" s="1">
        <f t="shared" si="10"/>
        <v>0.93700371449493058</v>
      </c>
    </row>
    <row r="99" spans="1:9" x14ac:dyDescent="0.3">
      <c r="A99" s="9" t="s">
        <v>146</v>
      </c>
      <c r="B99" s="29">
        <f t="shared" si="8"/>
        <v>16230637643.692944</v>
      </c>
      <c r="C99" s="4">
        <f>VLOOKUP(A99,  output_exiobase_v3.10.2_EXIO_IOT_2019_pxp_Y_imports_footprint_EU27[], 2, FALSE)</f>
        <v>1108120023.1784277</v>
      </c>
      <c r="D99" s="4">
        <f>VLOOKUP(A99, output_exiobase_v3.10.2_EXIO_IOT_2019_pxp_Z_imports_footprint_EU27[], 2, FALSE)</f>
        <v>666633277.11693048</v>
      </c>
      <c r="E99" s="4">
        <f>VLOOKUP(A99, output_exiobase_v3.10.2_EXIO_IOT_2019_pxp_Y_production_footprint_EU27[], 2, FALSE)</f>
        <v>11564170248.364323</v>
      </c>
      <c r="F99" s="4">
        <f>VLOOKUP(A99, output_exiobase_v3.10.2_EXIO_IOT_2019_pxp_Z_production_footprint_EU27[], 2, FALSE)</f>
        <v>2891714095.0332618</v>
      </c>
      <c r="G99" s="35">
        <f t="shared" si="9"/>
        <v>0.10934587656111026</v>
      </c>
      <c r="H99" s="1">
        <f t="shared" si="10"/>
        <v>0.89065412343888972</v>
      </c>
    </row>
    <row r="100" spans="1:9" x14ac:dyDescent="0.3">
      <c r="A100" s="9" t="s">
        <v>99</v>
      </c>
      <c r="B100" s="29">
        <f t="shared" si="8"/>
        <v>15512437556.7715</v>
      </c>
      <c r="C100" s="4">
        <f>VLOOKUP(A100,  output_exiobase_v3.10.2_EXIO_IOT_2019_pxp_Y_imports_footprint_EU27[], 2, FALSE)</f>
        <v>878791060.63614333</v>
      </c>
      <c r="D100" s="4">
        <f>VLOOKUP(A100, output_exiobase_v3.10.2_EXIO_IOT_2019_pxp_Z_imports_footprint_EU27[], 2, FALSE)</f>
        <v>3796011851.7231312</v>
      </c>
      <c r="E100" s="4">
        <f>VLOOKUP(A100, output_exiobase_v3.10.2_EXIO_IOT_2019_pxp_Y_production_footprint_EU27[], 2, FALSE)</f>
        <v>311102709.73761928</v>
      </c>
      <c r="F100" s="4">
        <f>VLOOKUP(A100, output_exiobase_v3.10.2_EXIO_IOT_2019_pxp_Z_production_footprint_EU27[], 2, FALSE)</f>
        <v>10526531934.674606</v>
      </c>
      <c r="G100" s="35">
        <f t="shared" si="9"/>
        <v>0.30135837100073459</v>
      </c>
      <c r="H100" s="1">
        <f t="shared" si="10"/>
        <v>0.69864162899926541</v>
      </c>
    </row>
    <row r="101" spans="1:9" x14ac:dyDescent="0.3">
      <c r="A101" s="9" t="s">
        <v>141</v>
      </c>
      <c r="B101" s="29">
        <f t="shared" si="8"/>
        <v>15105791097.705612</v>
      </c>
      <c r="C101" s="4">
        <f>VLOOKUP(A101,  output_exiobase_v3.10.2_EXIO_IOT_2019_pxp_Y_imports_footprint_EU27[], 2, FALSE)</f>
        <v>1153924308.6184139</v>
      </c>
      <c r="D101" s="4">
        <f>VLOOKUP(A101, output_exiobase_v3.10.2_EXIO_IOT_2019_pxp_Z_imports_footprint_EU27[], 2, FALSE)</f>
        <v>4431920790.5682669</v>
      </c>
      <c r="E101" s="4">
        <f>VLOOKUP(A101, output_exiobase_v3.10.2_EXIO_IOT_2019_pxp_Y_production_footprint_EU27[], 2, FALSE)</f>
        <v>2008412753.3929107</v>
      </c>
      <c r="F101" s="4">
        <f>VLOOKUP(A101, output_exiobase_v3.10.2_EXIO_IOT_2019_pxp_Z_production_footprint_EU27[], 2, FALSE)</f>
        <v>7511533245.1260195</v>
      </c>
      <c r="G101" s="35">
        <f t="shared" si="9"/>
        <v>0.36978169915477671</v>
      </c>
      <c r="H101" s="1">
        <f t="shared" si="10"/>
        <v>0.63021830084522323</v>
      </c>
    </row>
    <row r="102" spans="1:9" x14ac:dyDescent="0.3">
      <c r="A102" s="9" t="s">
        <v>30</v>
      </c>
      <c r="B102" s="29">
        <f t="shared" si="8"/>
        <v>15051226808.921886</v>
      </c>
      <c r="C102" s="4">
        <f>VLOOKUP(A102,  output_exiobase_v3.10.2_EXIO_IOT_2019_pxp_Y_imports_footprint_EU27[], 2, FALSE)</f>
        <v>0</v>
      </c>
      <c r="D102" s="4">
        <f>VLOOKUP(A102, output_exiobase_v3.10.2_EXIO_IOT_2019_pxp_Z_imports_footprint_EU27[], 2, FALSE)</f>
        <v>0</v>
      </c>
      <c r="E102" s="4">
        <f>VLOOKUP(A102, output_exiobase_v3.10.2_EXIO_IOT_2019_pxp_Y_production_footprint_EU27[], 2, FALSE)</f>
        <v>7690621492.4664927</v>
      </c>
      <c r="F102" s="4">
        <f>VLOOKUP(A102, output_exiobase_v3.10.2_EXIO_IOT_2019_pxp_Z_production_footprint_EU27[], 2, FALSE)</f>
        <v>7360605316.4553947</v>
      </c>
      <c r="G102" s="35">
        <f t="shared" si="9"/>
        <v>0</v>
      </c>
      <c r="H102" s="1">
        <f t="shared" si="10"/>
        <v>1</v>
      </c>
    </row>
    <row r="103" spans="1:9" x14ac:dyDescent="0.3">
      <c r="A103" s="9" t="s">
        <v>94</v>
      </c>
      <c r="B103" s="29">
        <f t="shared" si="8"/>
        <v>14586957828.289583</v>
      </c>
      <c r="C103" s="4">
        <f>VLOOKUP(A103,  output_exiobase_v3.10.2_EXIO_IOT_2019_pxp_Y_imports_footprint_EU27[], 2, FALSE)</f>
        <v>3246542259.4688177</v>
      </c>
      <c r="D103" s="4">
        <f>VLOOKUP(A103, output_exiobase_v3.10.2_EXIO_IOT_2019_pxp_Z_imports_footprint_EU27[], 2, FALSE)</f>
        <v>4597647448.3502855</v>
      </c>
      <c r="E103" s="4">
        <f>VLOOKUP(A103, output_exiobase_v3.10.2_EXIO_IOT_2019_pxp_Y_production_footprint_EU27[], 2, FALSE)</f>
        <v>2164311106.6832747</v>
      </c>
      <c r="F103" s="4">
        <f>VLOOKUP(A103, output_exiobase_v3.10.2_EXIO_IOT_2019_pxp_Z_production_footprint_EU27[], 2, FALSE)</f>
        <v>4578457013.7872047</v>
      </c>
      <c r="G103" s="35">
        <f t="shared" si="9"/>
        <v>0.53775364268252535</v>
      </c>
      <c r="H103" s="1">
        <f t="shared" si="10"/>
        <v>0.4622463573174746</v>
      </c>
    </row>
    <row r="104" spans="1:9" x14ac:dyDescent="0.3">
      <c r="A104" s="9" t="s">
        <v>12</v>
      </c>
      <c r="B104" s="29">
        <f t="shared" si="8"/>
        <v>14554147260.818892</v>
      </c>
      <c r="C104" s="4">
        <f>VLOOKUP(A104,  output_exiobase_v3.10.2_EXIO_IOT_2019_pxp_Y_imports_footprint_EU27[], 2, FALSE)</f>
        <v>146303632.25421649</v>
      </c>
      <c r="D104" s="4">
        <f>VLOOKUP(A104, output_exiobase_v3.10.2_EXIO_IOT_2019_pxp_Z_imports_footprint_EU27[], 2, FALSE)</f>
        <v>592629877.89171386</v>
      </c>
      <c r="E104" s="4">
        <f>VLOOKUP(A104, output_exiobase_v3.10.2_EXIO_IOT_2019_pxp_Y_production_footprint_EU27[], 2, FALSE)</f>
        <v>4165046487.9016676</v>
      </c>
      <c r="F104" s="4">
        <f>VLOOKUP(A104, output_exiobase_v3.10.2_EXIO_IOT_2019_pxp_Z_production_footprint_EU27[], 2, FALSE)</f>
        <v>9650167262.7712936</v>
      </c>
      <c r="G104" s="35">
        <f t="shared" si="9"/>
        <v>5.0771336644037372E-2</v>
      </c>
      <c r="H104" s="1">
        <f t="shared" si="10"/>
        <v>0.94922866335596268</v>
      </c>
    </row>
    <row r="105" spans="1:9" x14ac:dyDescent="0.3">
      <c r="A105" s="9" t="s">
        <v>95</v>
      </c>
      <c r="B105" s="29">
        <f t="shared" si="8"/>
        <v>13866363677.31078</v>
      </c>
      <c r="C105" s="4">
        <f>VLOOKUP(A105,  output_exiobase_v3.10.2_EXIO_IOT_2019_pxp_Y_imports_footprint_EU27[], 2, FALSE)</f>
        <v>8635082.2541929055</v>
      </c>
      <c r="D105" s="4">
        <f>VLOOKUP(A105, output_exiobase_v3.10.2_EXIO_IOT_2019_pxp_Z_imports_footprint_EU27[], 2, FALSE)</f>
        <v>298761959.58350098</v>
      </c>
      <c r="E105" s="4">
        <f>VLOOKUP(A105, output_exiobase_v3.10.2_EXIO_IOT_2019_pxp_Y_production_footprint_EU27[], 2, FALSE)</f>
        <v>10066784452.693588</v>
      </c>
      <c r="F105" s="4">
        <f>VLOOKUP(A105, output_exiobase_v3.10.2_EXIO_IOT_2019_pxp_Z_production_footprint_EU27[], 2, FALSE)</f>
        <v>3492182182.7794981</v>
      </c>
      <c r="G105" s="35">
        <f t="shared" si="9"/>
        <v>2.2168540288661314E-2</v>
      </c>
      <c r="H105" s="1">
        <f t="shared" si="10"/>
        <v>0.97783145971133878</v>
      </c>
    </row>
    <row r="106" spans="1:9" x14ac:dyDescent="0.3">
      <c r="A106" s="9" t="s">
        <v>162</v>
      </c>
      <c r="B106" s="29">
        <f t="shared" ref="B106:B137" si="11">SUM(C106:F106)</f>
        <v>13546373477.440281</v>
      </c>
      <c r="C106" s="4">
        <f>VLOOKUP(A106,  output_exiobase_v3.10.2_EXIO_IOT_2019_pxp_Y_imports_footprint_EU27[], 2, FALSE)</f>
        <v>24837639.509240631</v>
      </c>
      <c r="D106" s="4">
        <f>VLOOKUP(A106, output_exiobase_v3.10.2_EXIO_IOT_2019_pxp_Z_imports_footprint_EU27[], 2, FALSE)</f>
        <v>219984912.51143399</v>
      </c>
      <c r="E106" s="4">
        <f>VLOOKUP(A106, output_exiobase_v3.10.2_EXIO_IOT_2019_pxp_Y_production_footprint_EU27[], 2, FALSE)</f>
        <v>295370559.93263346</v>
      </c>
      <c r="F106" s="4">
        <f>VLOOKUP(A106, output_exiobase_v3.10.2_EXIO_IOT_2019_pxp_Z_production_footprint_EU27[], 2, FALSE)</f>
        <v>13006180365.486973</v>
      </c>
      <c r="G106" s="35">
        <f t="shared" ref="G106:G114" si="12">(C106+D106)/B106</f>
        <v>1.8072922057582028E-2</v>
      </c>
      <c r="H106" s="1">
        <f t="shared" ref="H106:H114" si="13">(E106+F106)/B106</f>
        <v>0.98192707794241807</v>
      </c>
    </row>
    <row r="107" spans="1:9" x14ac:dyDescent="0.3">
      <c r="A107" s="9" t="s">
        <v>18</v>
      </c>
      <c r="B107" s="29">
        <f t="shared" si="11"/>
        <v>13446261150.344736</v>
      </c>
      <c r="C107" s="4">
        <f>VLOOKUP(A107,  output_exiobase_v3.10.2_EXIO_IOT_2019_pxp_Y_imports_footprint_EU27[], 2, FALSE)</f>
        <v>3664834.6972742565</v>
      </c>
      <c r="D107" s="4">
        <f>VLOOKUP(A107, output_exiobase_v3.10.2_EXIO_IOT_2019_pxp_Z_imports_footprint_EU27[], 2, FALSE)</f>
        <v>332558362.85420471</v>
      </c>
      <c r="E107" s="4">
        <f>VLOOKUP(A107, output_exiobase_v3.10.2_EXIO_IOT_2019_pxp_Y_production_footprint_EU27[], 2, FALSE)</f>
        <v>1222823764.0423677</v>
      </c>
      <c r="F107" s="4">
        <f>VLOOKUP(A107, output_exiobase_v3.10.2_EXIO_IOT_2019_pxp_Z_production_footprint_EU27[], 2, FALSE)</f>
        <v>11887214188.750889</v>
      </c>
      <c r="G107" s="35">
        <f t="shared" si="12"/>
        <v>2.5004958165851097E-2</v>
      </c>
      <c r="H107" s="1">
        <f t="shared" si="13"/>
        <v>0.97499504183414887</v>
      </c>
    </row>
    <row r="108" spans="1:9" x14ac:dyDescent="0.3">
      <c r="A108" s="9" t="s">
        <v>58</v>
      </c>
      <c r="B108" s="29">
        <f t="shared" si="11"/>
        <v>13119706316.738371</v>
      </c>
      <c r="C108" s="4">
        <f>VLOOKUP(A108,  output_exiobase_v3.10.2_EXIO_IOT_2019_pxp_Y_imports_footprint_EU27[], 2, FALSE)</f>
        <v>878011091.74286997</v>
      </c>
      <c r="D108" s="4">
        <f>VLOOKUP(A108, output_exiobase_v3.10.2_EXIO_IOT_2019_pxp_Z_imports_footprint_EU27[], 2, FALSE)</f>
        <v>1972581622.8517969</v>
      </c>
      <c r="E108" s="4">
        <f>VLOOKUP(A108, output_exiobase_v3.10.2_EXIO_IOT_2019_pxp_Y_production_footprint_EU27[], 2, FALSE)</f>
        <v>4904465788.4824638</v>
      </c>
      <c r="F108" s="4">
        <f>VLOOKUP(A108, output_exiobase_v3.10.2_EXIO_IOT_2019_pxp_Z_production_footprint_EU27[], 2, FALSE)</f>
        <v>5364647813.6612396</v>
      </c>
      <c r="G108" s="35">
        <f t="shared" si="12"/>
        <v>0.2172756497573293</v>
      </c>
      <c r="H108" s="1">
        <f t="shared" si="13"/>
        <v>0.78272435024267073</v>
      </c>
    </row>
    <row r="109" spans="1:9" x14ac:dyDescent="0.3">
      <c r="A109" s="9" t="s">
        <v>65</v>
      </c>
      <c r="B109" s="29">
        <f t="shared" si="11"/>
        <v>12623229368.577257</v>
      </c>
      <c r="C109" s="4">
        <f>VLOOKUP(A109,  output_exiobase_v3.10.2_EXIO_IOT_2019_pxp_Y_imports_footprint_EU27[], 2, FALSE)</f>
        <v>19128683.585590318</v>
      </c>
      <c r="D109" s="4">
        <f>VLOOKUP(A109, output_exiobase_v3.10.2_EXIO_IOT_2019_pxp_Z_imports_footprint_EU27[], 2, FALSE)</f>
        <v>273891444.20910019</v>
      </c>
      <c r="E109" s="4">
        <f>VLOOKUP(A109, output_exiobase_v3.10.2_EXIO_IOT_2019_pxp_Y_production_footprint_EU27[], 2, FALSE)</f>
        <v>3676927996.2146187</v>
      </c>
      <c r="F109" s="4">
        <f>VLOOKUP(A109, output_exiobase_v3.10.2_EXIO_IOT_2019_pxp_Z_production_footprint_EU27[], 2, FALSE)</f>
        <v>8653281244.5679474</v>
      </c>
      <c r="G109" s="35">
        <f t="shared" si="12"/>
        <v>2.3212770618277714E-2</v>
      </c>
      <c r="H109" s="1">
        <f t="shared" si="13"/>
        <v>0.97678722938172224</v>
      </c>
    </row>
    <row r="110" spans="1:9" x14ac:dyDescent="0.3">
      <c r="A110" s="9" t="s">
        <v>149</v>
      </c>
      <c r="B110" s="29">
        <f t="shared" si="11"/>
        <v>12370529872.362511</v>
      </c>
      <c r="C110" s="4">
        <f>VLOOKUP(A110,  output_exiobase_v3.10.2_EXIO_IOT_2019_pxp_Y_imports_footprint_EU27[], 2, FALSE)</f>
        <v>1101918975.6782672</v>
      </c>
      <c r="D110" s="4">
        <f>VLOOKUP(A110, output_exiobase_v3.10.2_EXIO_IOT_2019_pxp_Z_imports_footprint_EU27[], 2, FALSE)</f>
        <v>4048679963.718924</v>
      </c>
      <c r="E110" s="4">
        <f>VLOOKUP(A110, output_exiobase_v3.10.2_EXIO_IOT_2019_pxp_Y_production_footprint_EU27[], 2, FALSE)</f>
        <v>1887730792.5198483</v>
      </c>
      <c r="F110" s="4">
        <f>VLOOKUP(A110, output_exiobase_v3.10.2_EXIO_IOT_2019_pxp_Z_production_footprint_EU27[], 2, FALSE)</f>
        <v>5332200140.4454708</v>
      </c>
      <c r="G110" s="35">
        <f t="shared" si="12"/>
        <v>0.41636041402756302</v>
      </c>
      <c r="H110" s="1">
        <f t="shared" si="13"/>
        <v>0.58363958597243693</v>
      </c>
    </row>
    <row r="111" spans="1:9" x14ac:dyDescent="0.3">
      <c r="A111" s="9" t="s">
        <v>64</v>
      </c>
      <c r="B111" s="29">
        <f t="shared" si="11"/>
        <v>11838484257.690683</v>
      </c>
      <c r="C111" s="4">
        <f>VLOOKUP(A111,  output_exiobase_v3.10.2_EXIO_IOT_2019_pxp_Y_imports_footprint_EU27[], 2, FALSE)</f>
        <v>2434657.2110680202</v>
      </c>
      <c r="D111" s="4">
        <f>VLOOKUP(A111, output_exiobase_v3.10.2_EXIO_IOT_2019_pxp_Z_imports_footprint_EU27[], 2, FALSE)</f>
        <v>54900350.972910643</v>
      </c>
      <c r="E111" s="4">
        <f>VLOOKUP(A111, output_exiobase_v3.10.2_EXIO_IOT_2019_pxp_Y_production_footprint_EU27[], 2, FALSE)</f>
        <v>3172765476.5470948</v>
      </c>
      <c r="F111" s="4">
        <f>VLOOKUP(A111, output_exiobase_v3.10.2_EXIO_IOT_2019_pxp_Z_production_footprint_EU27[], 2, FALSE)</f>
        <v>8608383772.95961</v>
      </c>
      <c r="G111" s="35">
        <f t="shared" si="12"/>
        <v>4.843103807544609E-3</v>
      </c>
      <c r="H111" s="1">
        <f t="shared" si="13"/>
        <v>0.9951568961924554</v>
      </c>
    </row>
    <row r="112" spans="1:9" x14ac:dyDescent="0.3">
      <c r="A112" s="9" t="s">
        <v>180</v>
      </c>
      <c r="B112" s="29">
        <f t="shared" si="11"/>
        <v>11367339489.56744</v>
      </c>
      <c r="C112" s="4">
        <f>VLOOKUP(A112,  output_exiobase_v3.10.2_EXIO_IOT_2019_pxp_Y_imports_footprint_EU27[], 2, FALSE)</f>
        <v>964306661.90988922</v>
      </c>
      <c r="D112" s="4">
        <f>VLOOKUP(A112, output_exiobase_v3.10.2_EXIO_IOT_2019_pxp_Z_imports_footprint_EU27[], 2, FALSE)</f>
        <v>674601855.65914488</v>
      </c>
      <c r="E112" s="4">
        <f>VLOOKUP(A112, output_exiobase_v3.10.2_EXIO_IOT_2019_pxp_Y_production_footprint_EU27[], 2, FALSE)</f>
        <v>4241506186.6408687</v>
      </c>
      <c r="F112" s="4">
        <f>VLOOKUP(A112, output_exiobase_v3.10.2_EXIO_IOT_2019_pxp_Z_production_footprint_EU27[], 2, FALSE)</f>
        <v>5486924785.3575363</v>
      </c>
      <c r="G112" s="35">
        <f t="shared" si="12"/>
        <v>0.14417696586551049</v>
      </c>
      <c r="H112" s="1">
        <f t="shared" si="13"/>
        <v>0.85582303413448946</v>
      </c>
      <c r="I112" s="5"/>
    </row>
    <row r="113" spans="1:9" x14ac:dyDescent="0.3">
      <c r="A113" s="9" t="s">
        <v>47</v>
      </c>
      <c r="B113" s="29">
        <f t="shared" si="11"/>
        <v>11158451701.387032</v>
      </c>
      <c r="C113" s="4">
        <f>VLOOKUP(A113,  output_exiobase_v3.10.2_EXIO_IOT_2019_pxp_Y_imports_footprint_EU27[], 2, FALSE)</f>
        <v>105369373.01316622</v>
      </c>
      <c r="D113" s="4">
        <f>VLOOKUP(A113, output_exiobase_v3.10.2_EXIO_IOT_2019_pxp_Z_imports_footprint_EU27[], 2, FALSE)</f>
        <v>358651677.3658269</v>
      </c>
      <c r="E113" s="4">
        <f>VLOOKUP(A113, output_exiobase_v3.10.2_EXIO_IOT_2019_pxp_Y_production_footprint_EU27[], 2, FALSE)</f>
        <v>4564077249.0656948</v>
      </c>
      <c r="F113" s="4">
        <f>VLOOKUP(A113, output_exiobase_v3.10.2_EXIO_IOT_2019_pxp_Z_production_footprint_EU27[], 2, FALSE)</f>
        <v>6130353401.9423428</v>
      </c>
      <c r="G113" s="35">
        <f t="shared" si="12"/>
        <v>4.1584716481885553E-2</v>
      </c>
      <c r="H113" s="1">
        <f t="shared" si="13"/>
        <v>0.95841528351811434</v>
      </c>
      <c r="I113" s="5"/>
    </row>
    <row r="114" spans="1:9" x14ac:dyDescent="0.3">
      <c r="A114" s="9" t="s">
        <v>93</v>
      </c>
      <c r="B114" s="29">
        <f t="shared" si="11"/>
        <v>10855889866.547407</v>
      </c>
      <c r="C114" s="4">
        <f>VLOOKUP(A114,  output_exiobase_v3.10.2_EXIO_IOT_2019_pxp_Y_imports_footprint_EU27[], 2, FALSE)</f>
        <v>3841529741.2794833</v>
      </c>
      <c r="D114" s="4">
        <f>VLOOKUP(A114, output_exiobase_v3.10.2_EXIO_IOT_2019_pxp_Z_imports_footprint_EU27[], 2, FALSE)</f>
        <v>415334783.91662133</v>
      </c>
      <c r="E114" s="4">
        <f>VLOOKUP(A114, output_exiobase_v3.10.2_EXIO_IOT_2019_pxp_Y_production_footprint_EU27[], 2, FALSE)</f>
        <v>3892439916.7060471</v>
      </c>
      <c r="F114" s="4">
        <f>VLOOKUP(A114, output_exiobase_v3.10.2_EXIO_IOT_2019_pxp_Z_production_footprint_EU27[], 2, FALSE)</f>
        <v>2706585424.645256</v>
      </c>
      <c r="G114" s="35">
        <f t="shared" si="12"/>
        <v>0.39212488128805528</v>
      </c>
      <c r="H114" s="1">
        <f t="shared" si="13"/>
        <v>0.60787511871194477</v>
      </c>
      <c r="I114" s="5"/>
    </row>
    <row r="115" spans="1:9" x14ac:dyDescent="0.3">
      <c r="A115" s="9" t="s">
        <v>173</v>
      </c>
      <c r="B115" s="29">
        <f t="shared" si="11"/>
        <v>10826188384.918213</v>
      </c>
      <c r="C115" s="4">
        <f>VLOOKUP(A115,  output_exiobase_v3.10.2_EXIO_IOT_2019_pxp_Y_imports_footprint_EU27[], 2, FALSE)</f>
        <v>0</v>
      </c>
      <c r="D115" s="4">
        <f>VLOOKUP(A115, output_exiobase_v3.10.2_EXIO_IOT_2019_pxp_Z_imports_footprint_EU27[], 2, FALSE)</f>
        <v>0</v>
      </c>
      <c r="E115" s="4">
        <f>VLOOKUP(A115, output_exiobase_v3.10.2_EXIO_IOT_2019_pxp_Y_production_footprint_EU27[], 2, FALSE)</f>
        <v>304747872.93608803</v>
      </c>
      <c r="F115" s="4">
        <f>VLOOKUP(A115, output_exiobase_v3.10.2_EXIO_IOT_2019_pxp_Z_production_footprint_EU27[], 2, FALSE)</f>
        <v>10521440511.982124</v>
      </c>
      <c r="I115" s="5"/>
    </row>
    <row r="116" spans="1:9" x14ac:dyDescent="0.3">
      <c r="A116" s="9" t="s">
        <v>43</v>
      </c>
      <c r="B116" s="29">
        <f t="shared" si="11"/>
        <v>10192371121.005604</v>
      </c>
      <c r="C116" s="4">
        <f>VLOOKUP(A116,  output_exiobase_v3.10.2_EXIO_IOT_2019_pxp_Y_imports_footprint_EU27[], 2, FALSE)</f>
        <v>23283424.455829758</v>
      </c>
      <c r="D116" s="4">
        <f>VLOOKUP(A116, output_exiobase_v3.10.2_EXIO_IOT_2019_pxp_Z_imports_footprint_EU27[], 2, FALSE)</f>
        <v>33142432.526239779</v>
      </c>
      <c r="E116" s="4">
        <f>VLOOKUP(A116, output_exiobase_v3.10.2_EXIO_IOT_2019_pxp_Y_production_footprint_EU27[], 2, FALSE)</f>
        <v>1813764418.652015</v>
      </c>
      <c r="F116" s="4">
        <f>VLOOKUP(A116, output_exiobase_v3.10.2_EXIO_IOT_2019_pxp_Z_production_footprint_EU27[], 2, FALSE)</f>
        <v>8322180845.3715191</v>
      </c>
      <c r="G116" s="35">
        <f t="shared" ref="G116:G154" si="14">(C116+D116)/B116</f>
        <v>5.5360873649685574E-3</v>
      </c>
      <c r="H116" s="1">
        <f t="shared" ref="H116:H154" si="15">(E116+F116)/B116</f>
        <v>0.99446391263503153</v>
      </c>
      <c r="I116" s="5"/>
    </row>
    <row r="117" spans="1:9" x14ac:dyDescent="0.3">
      <c r="A117" s="9" t="s">
        <v>159</v>
      </c>
      <c r="B117" s="29">
        <f t="shared" si="11"/>
        <v>9794304874.7940578</v>
      </c>
      <c r="C117" s="4">
        <f>VLOOKUP(A117,  output_exiobase_v3.10.2_EXIO_IOT_2019_pxp_Y_imports_footprint_EU27[], 2, FALSE)</f>
        <v>21201090.395545956</v>
      </c>
      <c r="D117" s="4">
        <f>VLOOKUP(A117, output_exiobase_v3.10.2_EXIO_IOT_2019_pxp_Z_imports_footprint_EU27[], 2, FALSE)</f>
        <v>379040139.53448492</v>
      </c>
      <c r="E117" s="4">
        <f>VLOOKUP(A117, output_exiobase_v3.10.2_EXIO_IOT_2019_pxp_Y_production_footprint_EU27[], 2, FALSE)</f>
        <v>1908152967.8148971</v>
      </c>
      <c r="F117" s="4">
        <f>VLOOKUP(A117, output_exiobase_v3.10.2_EXIO_IOT_2019_pxp_Z_production_footprint_EU27[], 2, FALSE)</f>
        <v>7485910677.0491295</v>
      </c>
      <c r="G117" s="35">
        <f t="shared" si="14"/>
        <v>4.0864689740265678E-2</v>
      </c>
      <c r="H117" s="1">
        <f t="shared" si="15"/>
        <v>0.95913531025973431</v>
      </c>
      <c r="I117" s="5"/>
    </row>
    <row r="118" spans="1:9" x14ac:dyDescent="0.3">
      <c r="A118" s="9" t="s">
        <v>77</v>
      </c>
      <c r="B118" s="29">
        <f t="shared" si="11"/>
        <v>9491206851.686512</v>
      </c>
      <c r="C118" s="4">
        <f>VLOOKUP(A118,  output_exiobase_v3.10.2_EXIO_IOT_2019_pxp_Y_imports_footprint_EU27[], 2, FALSE)</f>
        <v>140479605.44370782</v>
      </c>
      <c r="D118" s="4">
        <f>VLOOKUP(A118, output_exiobase_v3.10.2_EXIO_IOT_2019_pxp_Z_imports_footprint_EU27[], 2, FALSE)</f>
        <v>684560880.80262363</v>
      </c>
      <c r="E118" s="4">
        <f>VLOOKUP(A118, output_exiobase_v3.10.2_EXIO_IOT_2019_pxp_Y_production_footprint_EU27[], 2, FALSE)</f>
        <v>3650420133.5400176</v>
      </c>
      <c r="F118" s="4">
        <f>VLOOKUP(A118, output_exiobase_v3.10.2_EXIO_IOT_2019_pxp_Z_production_footprint_EU27[], 2, FALSE)</f>
        <v>5015746231.9001617</v>
      </c>
      <c r="G118" s="35">
        <f t="shared" si="14"/>
        <v>8.6926825970474797E-2</v>
      </c>
      <c r="H118" s="1">
        <f t="shared" si="15"/>
        <v>0.91307317402952515</v>
      </c>
      <c r="I118" s="5"/>
    </row>
    <row r="119" spans="1:9" x14ac:dyDescent="0.3">
      <c r="A119" s="9" t="s">
        <v>100</v>
      </c>
      <c r="B119" s="29">
        <f t="shared" si="11"/>
        <v>9267038490.351387</v>
      </c>
      <c r="C119" s="4">
        <f>VLOOKUP(A119,  output_exiobase_v3.10.2_EXIO_IOT_2019_pxp_Y_imports_footprint_EU27[], 2, FALSE)</f>
        <v>468801987.01250112</v>
      </c>
      <c r="D119" s="4">
        <f>VLOOKUP(A119, output_exiobase_v3.10.2_EXIO_IOT_2019_pxp_Z_imports_footprint_EU27[], 2, FALSE)</f>
        <v>8461112379.82687</v>
      </c>
      <c r="E119" s="4">
        <f>VLOOKUP(A119, output_exiobase_v3.10.2_EXIO_IOT_2019_pxp_Y_production_footprint_EU27[], 2, FALSE)</f>
        <v>10446289.630371992</v>
      </c>
      <c r="F119" s="4">
        <f>VLOOKUP(A119, output_exiobase_v3.10.2_EXIO_IOT_2019_pxp_Z_production_footprint_EU27[], 2, FALSE)</f>
        <v>326677833.88164425</v>
      </c>
      <c r="G119" s="35">
        <f t="shared" si="14"/>
        <v>0.96362115859742881</v>
      </c>
      <c r="H119" s="1">
        <f t="shared" si="15"/>
        <v>3.6378841402571228E-2</v>
      </c>
      <c r="I119" s="5"/>
    </row>
    <row r="120" spans="1:9" x14ac:dyDescent="0.3">
      <c r="A120" s="9" t="s">
        <v>62</v>
      </c>
      <c r="B120" s="29">
        <f t="shared" si="11"/>
        <v>9054008357.0091667</v>
      </c>
      <c r="C120" s="4">
        <f>VLOOKUP(A120,  output_exiobase_v3.10.2_EXIO_IOT_2019_pxp_Y_imports_footprint_EU27[], 2, FALSE)</f>
        <v>2108683.6742732953</v>
      </c>
      <c r="D120" s="4">
        <f>VLOOKUP(A120, output_exiobase_v3.10.2_EXIO_IOT_2019_pxp_Z_imports_footprint_EU27[], 2, FALSE)</f>
        <v>125658511.17605029</v>
      </c>
      <c r="E120" s="4">
        <f>VLOOKUP(A120, output_exiobase_v3.10.2_EXIO_IOT_2019_pxp_Y_production_footprint_EU27[], 2, FALSE)</f>
        <v>2403132490.9085169</v>
      </c>
      <c r="F120" s="4">
        <f>VLOOKUP(A120, output_exiobase_v3.10.2_EXIO_IOT_2019_pxp_Z_production_footprint_EU27[], 2, FALSE)</f>
        <v>6523108671.2503252</v>
      </c>
      <c r="G120" s="35">
        <f t="shared" si="14"/>
        <v>1.4111671848790875E-2</v>
      </c>
      <c r="H120" s="1">
        <f t="shared" si="15"/>
        <v>0.98588832815120897</v>
      </c>
      <c r="I120" s="5"/>
    </row>
    <row r="121" spans="1:9" x14ac:dyDescent="0.3">
      <c r="A121" s="9" t="s">
        <v>181</v>
      </c>
      <c r="B121" s="29">
        <f t="shared" si="11"/>
        <v>8870253526.4584465</v>
      </c>
      <c r="C121" s="4">
        <f>VLOOKUP(A121,  output_exiobase_v3.10.2_EXIO_IOT_2019_pxp_Y_imports_footprint_EU27[], 2, FALSE)</f>
        <v>76255.565377963881</v>
      </c>
      <c r="D121" s="4">
        <f>VLOOKUP(A121, output_exiobase_v3.10.2_EXIO_IOT_2019_pxp_Z_imports_footprint_EU27[], 2, FALSE)</f>
        <v>1067906.441584514</v>
      </c>
      <c r="E121" s="4">
        <f>VLOOKUP(A121, output_exiobase_v3.10.2_EXIO_IOT_2019_pxp_Y_production_footprint_EU27[], 2, FALSE)</f>
        <v>1715827682.2927744</v>
      </c>
      <c r="F121" s="4">
        <f>VLOOKUP(A121, output_exiobase_v3.10.2_EXIO_IOT_2019_pxp_Z_production_footprint_EU27[], 2, FALSE)</f>
        <v>7153281682.1587105</v>
      </c>
      <c r="G121" s="35">
        <f t="shared" si="14"/>
        <v>1.2898864768065972E-4</v>
      </c>
      <c r="H121" s="1">
        <f t="shared" si="15"/>
        <v>0.99987101135231937</v>
      </c>
      <c r="I121" s="5"/>
    </row>
    <row r="122" spans="1:9" x14ac:dyDescent="0.3">
      <c r="A122" s="9" t="s">
        <v>79</v>
      </c>
      <c r="B122" s="29">
        <f t="shared" si="11"/>
        <v>8863291509.8135567</v>
      </c>
      <c r="C122" s="4">
        <f>VLOOKUP(A122,  output_exiobase_v3.10.2_EXIO_IOT_2019_pxp_Y_imports_footprint_EU27[], 2, FALSE)</f>
        <v>545439.25945774105</v>
      </c>
      <c r="D122" s="4">
        <f>VLOOKUP(A122, output_exiobase_v3.10.2_EXIO_IOT_2019_pxp_Z_imports_footprint_EU27[], 2, FALSE)</f>
        <v>113807058.68590732</v>
      </c>
      <c r="E122" s="4">
        <f>VLOOKUP(A122, output_exiobase_v3.10.2_EXIO_IOT_2019_pxp_Y_production_footprint_EU27[], 2, FALSE)</f>
        <v>1811524412.7006357</v>
      </c>
      <c r="F122" s="4">
        <f>VLOOKUP(A122, output_exiobase_v3.10.2_EXIO_IOT_2019_pxp_Z_production_footprint_EU27[], 2, FALSE)</f>
        <v>6937414599.1675568</v>
      </c>
      <c r="G122" s="35">
        <f t="shared" si="14"/>
        <v>1.2901809425849575E-2</v>
      </c>
      <c r="H122" s="1">
        <f t="shared" si="15"/>
        <v>0.98709819057415049</v>
      </c>
      <c r="I122" s="5"/>
    </row>
    <row r="123" spans="1:9" x14ac:dyDescent="0.3">
      <c r="A123" s="9" t="s">
        <v>98</v>
      </c>
      <c r="B123" s="29">
        <f t="shared" si="11"/>
        <v>8020689035.7264652</v>
      </c>
      <c r="C123" s="4">
        <f>VLOOKUP(A123,  output_exiobase_v3.10.2_EXIO_IOT_2019_pxp_Y_imports_footprint_EU27[], 2, FALSE)</f>
        <v>133202221.72335646</v>
      </c>
      <c r="D123" s="4">
        <f>VLOOKUP(A123, output_exiobase_v3.10.2_EXIO_IOT_2019_pxp_Z_imports_footprint_EU27[], 2, FALSE)</f>
        <v>504183654.68171704</v>
      </c>
      <c r="E123" s="4">
        <f>VLOOKUP(A123, output_exiobase_v3.10.2_EXIO_IOT_2019_pxp_Y_production_footprint_EU27[], 2, FALSE)</f>
        <v>3690100903.8640151</v>
      </c>
      <c r="F123" s="4">
        <f>VLOOKUP(A123, output_exiobase_v3.10.2_EXIO_IOT_2019_pxp_Z_production_footprint_EU27[], 2, FALSE)</f>
        <v>3693202255.457376</v>
      </c>
      <c r="G123" s="35">
        <f t="shared" si="14"/>
        <v>7.9467720736457026E-2</v>
      </c>
      <c r="H123" s="1">
        <f t="shared" si="15"/>
        <v>0.92053227926354286</v>
      </c>
      <c r="I123" s="5"/>
    </row>
    <row r="124" spans="1:9" x14ac:dyDescent="0.3">
      <c r="A124" s="9" t="s">
        <v>178</v>
      </c>
      <c r="B124" s="29">
        <f t="shared" si="11"/>
        <v>7550686347.715313</v>
      </c>
      <c r="C124" s="4">
        <f>VLOOKUP(A124,  output_exiobase_v3.10.2_EXIO_IOT_2019_pxp_Y_imports_footprint_EU27[], 2, FALSE)</f>
        <v>15897520.846513186</v>
      </c>
      <c r="D124" s="4">
        <f>VLOOKUP(A124, output_exiobase_v3.10.2_EXIO_IOT_2019_pxp_Z_imports_footprint_EU27[], 2, FALSE)</f>
        <v>48490148.916193247</v>
      </c>
      <c r="E124" s="4">
        <f>VLOOKUP(A124, output_exiobase_v3.10.2_EXIO_IOT_2019_pxp_Y_production_footprint_EU27[], 2, FALSE)</f>
        <v>624777610.72607458</v>
      </c>
      <c r="F124" s="4">
        <f>VLOOKUP(A124, output_exiobase_v3.10.2_EXIO_IOT_2019_pxp_Z_production_footprint_EU27[], 2, FALSE)</f>
        <v>6861521067.226532</v>
      </c>
      <c r="G124" s="35">
        <f t="shared" si="14"/>
        <v>8.5273929809293238E-3</v>
      </c>
      <c r="H124" s="1">
        <f t="shared" si="15"/>
        <v>0.99147260701907058</v>
      </c>
      <c r="I124" s="5"/>
    </row>
    <row r="125" spans="1:9" x14ac:dyDescent="0.3">
      <c r="A125" s="9" t="s">
        <v>186</v>
      </c>
      <c r="B125" s="29">
        <f t="shared" si="11"/>
        <v>7261438493.9895363</v>
      </c>
      <c r="C125" s="4">
        <f>VLOOKUP(A125,  output_exiobase_v3.10.2_EXIO_IOT_2019_pxp_Y_imports_footprint_EU27[], 2, FALSE)</f>
        <v>359093168.44852799</v>
      </c>
      <c r="D125" s="4">
        <f>VLOOKUP(A125, output_exiobase_v3.10.2_EXIO_IOT_2019_pxp_Z_imports_footprint_EU27[], 2, FALSE)</f>
        <v>156550301.77783579</v>
      </c>
      <c r="E125" s="4">
        <f>VLOOKUP(A125, output_exiobase_v3.10.2_EXIO_IOT_2019_pxp_Y_production_footprint_EU27[], 2, FALSE)</f>
        <v>5511056552.1095409</v>
      </c>
      <c r="F125" s="4">
        <f>VLOOKUP(A125, output_exiobase_v3.10.2_EXIO_IOT_2019_pxp_Z_production_footprint_EU27[], 2, FALSE)</f>
        <v>1234738471.6536317</v>
      </c>
      <c r="G125" s="35">
        <f t="shared" si="14"/>
        <v>7.1011201245204242E-2</v>
      </c>
      <c r="H125" s="1">
        <f t="shared" si="15"/>
        <v>0.92898879875479567</v>
      </c>
      <c r="I125" s="5"/>
    </row>
    <row r="126" spans="1:9" x14ac:dyDescent="0.3">
      <c r="A126" s="9" t="s">
        <v>76</v>
      </c>
      <c r="B126" s="29">
        <f t="shared" si="11"/>
        <v>7062642742.7980843</v>
      </c>
      <c r="C126" s="4">
        <f>VLOOKUP(A126,  output_exiobase_v3.10.2_EXIO_IOT_2019_pxp_Y_imports_footprint_EU27[], 2, FALSE)</f>
        <v>748694.25610614719</v>
      </c>
      <c r="D126" s="4">
        <f>VLOOKUP(A126, output_exiobase_v3.10.2_EXIO_IOT_2019_pxp_Z_imports_footprint_EU27[], 2, FALSE)</f>
        <v>33739576.045942277</v>
      </c>
      <c r="E126" s="4">
        <f>VLOOKUP(A126, output_exiobase_v3.10.2_EXIO_IOT_2019_pxp_Y_production_footprint_EU27[], 2, FALSE)</f>
        <v>2176297848.2894793</v>
      </c>
      <c r="F126" s="4">
        <f>VLOOKUP(A126, output_exiobase_v3.10.2_EXIO_IOT_2019_pxp_Z_production_footprint_EU27[], 2, FALSE)</f>
        <v>4851856624.2065573</v>
      </c>
      <c r="G126" s="35">
        <f t="shared" si="14"/>
        <v>4.8831962139408496E-3</v>
      </c>
      <c r="H126" s="1">
        <f t="shared" si="15"/>
        <v>0.99511680378605927</v>
      </c>
      <c r="I126" s="5"/>
    </row>
    <row r="127" spans="1:9" x14ac:dyDescent="0.3">
      <c r="A127" s="9" t="s">
        <v>81</v>
      </c>
      <c r="B127" s="29">
        <f t="shared" si="11"/>
        <v>6492161851.612958</v>
      </c>
      <c r="C127" s="4">
        <f>VLOOKUP(A127,  output_exiobase_v3.10.2_EXIO_IOT_2019_pxp_Y_imports_footprint_EU27[], 2, FALSE)</f>
        <v>135390019.31087977</v>
      </c>
      <c r="D127" s="4">
        <f>VLOOKUP(A127, output_exiobase_v3.10.2_EXIO_IOT_2019_pxp_Z_imports_footprint_EU27[], 2, FALSE)</f>
        <v>124757623.05996002</v>
      </c>
      <c r="E127" s="4">
        <f>VLOOKUP(A127, output_exiobase_v3.10.2_EXIO_IOT_2019_pxp_Y_production_footprint_EU27[], 2, FALSE)</f>
        <v>101143681.67581043</v>
      </c>
      <c r="F127" s="4">
        <f>VLOOKUP(A127, output_exiobase_v3.10.2_EXIO_IOT_2019_pxp_Z_production_footprint_EU27[], 2, FALSE)</f>
        <v>6130870527.566308</v>
      </c>
      <c r="G127" s="35">
        <f t="shared" si="14"/>
        <v>4.0071034628658693E-2</v>
      </c>
      <c r="H127" s="1">
        <f t="shared" si="15"/>
        <v>0.95992896537134142</v>
      </c>
      <c r="I127" s="5"/>
    </row>
    <row r="128" spans="1:9" x14ac:dyDescent="0.3">
      <c r="A128" s="9" t="s">
        <v>104</v>
      </c>
      <c r="B128" s="29">
        <f t="shared" si="11"/>
        <v>5592404883.7651339</v>
      </c>
      <c r="C128" s="4">
        <f>VLOOKUP(A128,  output_exiobase_v3.10.2_EXIO_IOT_2019_pxp_Y_imports_footprint_EU27[], 2, FALSE)</f>
        <v>34801020.260678351</v>
      </c>
      <c r="D128" s="4">
        <f>VLOOKUP(A128, output_exiobase_v3.10.2_EXIO_IOT_2019_pxp_Z_imports_footprint_EU27[], 2, FALSE)</f>
        <v>91920724.564028695</v>
      </c>
      <c r="E128" s="4">
        <f>VLOOKUP(A128, output_exiobase_v3.10.2_EXIO_IOT_2019_pxp_Y_production_footprint_EU27[], 2, FALSE)</f>
        <v>4178486901.7166057</v>
      </c>
      <c r="F128" s="4">
        <f>VLOOKUP(A128, output_exiobase_v3.10.2_EXIO_IOT_2019_pxp_Z_production_footprint_EU27[], 2, FALSE)</f>
        <v>1287196237.2238207</v>
      </c>
      <c r="G128" s="35">
        <f t="shared" si="14"/>
        <v>2.265961557836824E-2</v>
      </c>
      <c r="H128" s="1">
        <f t="shared" si="15"/>
        <v>0.97734038442163162</v>
      </c>
      <c r="I128" s="5"/>
    </row>
    <row r="129" spans="1:9" x14ac:dyDescent="0.3">
      <c r="A129" s="9" t="s">
        <v>5</v>
      </c>
      <c r="B129" s="29">
        <f t="shared" si="11"/>
        <v>5393599207.8435268</v>
      </c>
      <c r="C129" s="4">
        <f>VLOOKUP(A129,  output_exiobase_v3.10.2_EXIO_IOT_2019_pxp_Y_imports_footprint_EU27[], 2, FALSE)</f>
        <v>395625146.15802407</v>
      </c>
      <c r="D129" s="4">
        <f>VLOOKUP(A129, output_exiobase_v3.10.2_EXIO_IOT_2019_pxp_Z_imports_footprint_EU27[], 2, FALSE)</f>
        <v>574553567.60241854</v>
      </c>
      <c r="E129" s="4">
        <f>VLOOKUP(A129, output_exiobase_v3.10.2_EXIO_IOT_2019_pxp_Y_production_footprint_EU27[], 2, FALSE)</f>
        <v>3072485782.0001183</v>
      </c>
      <c r="F129" s="4">
        <f>VLOOKUP(A129, output_exiobase_v3.10.2_EXIO_IOT_2019_pxp_Z_production_footprint_EU27[], 2, FALSE)</f>
        <v>1350934712.0829661</v>
      </c>
      <c r="G129" s="35">
        <f t="shared" si="14"/>
        <v>0.17987593745371011</v>
      </c>
      <c r="H129" s="1">
        <f t="shared" si="15"/>
        <v>0.82012406254628989</v>
      </c>
      <c r="I129" s="5"/>
    </row>
    <row r="130" spans="1:9" x14ac:dyDescent="0.3">
      <c r="A130" s="9" t="s">
        <v>107</v>
      </c>
      <c r="B130" s="29">
        <f t="shared" si="11"/>
        <v>5221535558.7359047</v>
      </c>
      <c r="C130" s="4">
        <f>VLOOKUP(A130,  output_exiobase_v3.10.2_EXIO_IOT_2019_pxp_Y_imports_footprint_EU27[], 2, FALSE)</f>
        <v>359132.07681647467</v>
      </c>
      <c r="D130" s="4">
        <f>VLOOKUP(A130, output_exiobase_v3.10.2_EXIO_IOT_2019_pxp_Z_imports_footprint_EU27[], 2, FALSE)</f>
        <v>24668780.432618357</v>
      </c>
      <c r="E130" s="4">
        <f>VLOOKUP(A130, output_exiobase_v3.10.2_EXIO_IOT_2019_pxp_Y_production_footprint_EU27[], 2, FALSE)</f>
        <v>1395325299.5632217</v>
      </c>
      <c r="F130" s="4">
        <f>VLOOKUP(A130, output_exiobase_v3.10.2_EXIO_IOT_2019_pxp_Z_production_footprint_EU27[], 2, FALSE)</f>
        <v>3801182346.6632481</v>
      </c>
      <c r="G130" s="35">
        <f t="shared" si="14"/>
        <v>4.7932092442733269E-3</v>
      </c>
      <c r="H130" s="1">
        <f t="shared" si="15"/>
        <v>0.99520679075572671</v>
      </c>
      <c r="I130" s="5"/>
    </row>
    <row r="131" spans="1:9" x14ac:dyDescent="0.3">
      <c r="A131" s="9" t="s">
        <v>33</v>
      </c>
      <c r="B131" s="29">
        <f t="shared" si="11"/>
        <v>5106362623.2550621</v>
      </c>
      <c r="C131" s="4">
        <f>VLOOKUP(A131,  output_exiobase_v3.10.2_EXIO_IOT_2019_pxp_Y_imports_footprint_EU27[], 2, FALSE)</f>
        <v>2635.1568335518759</v>
      </c>
      <c r="D131" s="4">
        <f>VLOOKUP(A131, output_exiobase_v3.10.2_EXIO_IOT_2019_pxp_Z_imports_footprint_EU27[], 2, FALSE)</f>
        <v>268683390.14287472</v>
      </c>
      <c r="E131" s="4">
        <f>VLOOKUP(A131, output_exiobase_v3.10.2_EXIO_IOT_2019_pxp_Y_production_footprint_EU27[], 2, FALSE)</f>
        <v>15441740.31757565</v>
      </c>
      <c r="F131" s="4">
        <f>VLOOKUP(A131, output_exiobase_v3.10.2_EXIO_IOT_2019_pxp_Z_production_footprint_EU27[], 2, FALSE)</f>
        <v>4822234857.6377783</v>
      </c>
      <c r="G131" s="35">
        <f t="shared" si="14"/>
        <v>5.2617889704126369E-2</v>
      </c>
      <c r="H131" s="1">
        <f t="shared" si="15"/>
        <v>0.9473821102958736</v>
      </c>
      <c r="I131" s="5"/>
    </row>
    <row r="132" spans="1:9" x14ac:dyDescent="0.3">
      <c r="A132" s="9" t="s">
        <v>14</v>
      </c>
      <c r="B132" s="29">
        <f t="shared" si="11"/>
        <v>4953050957.7906837</v>
      </c>
      <c r="C132" s="4">
        <f>VLOOKUP(A132,  output_exiobase_v3.10.2_EXIO_IOT_2019_pxp_Y_imports_footprint_EU27[], 2, FALSE)</f>
        <v>767261586.92923331</v>
      </c>
      <c r="D132" s="4">
        <f>VLOOKUP(A132, output_exiobase_v3.10.2_EXIO_IOT_2019_pxp_Z_imports_footprint_EU27[], 2, FALSE)</f>
        <v>420262447.91567969</v>
      </c>
      <c r="E132" s="4">
        <f>VLOOKUP(A132, output_exiobase_v3.10.2_EXIO_IOT_2019_pxp_Y_production_footprint_EU27[], 2, FALSE)</f>
        <v>2694290856.6611094</v>
      </c>
      <c r="F132" s="4">
        <f>VLOOKUP(A132, output_exiobase_v3.10.2_EXIO_IOT_2019_pxp_Z_production_footprint_EU27[], 2, FALSE)</f>
        <v>1071236066.2846609</v>
      </c>
      <c r="G132" s="35">
        <f t="shared" si="14"/>
        <v>0.23975607054416617</v>
      </c>
      <c r="H132" s="1">
        <f t="shared" si="15"/>
        <v>0.76024392945583374</v>
      </c>
    </row>
    <row r="133" spans="1:9" x14ac:dyDescent="0.3">
      <c r="A133" s="9" t="s">
        <v>126</v>
      </c>
      <c r="B133" s="29">
        <f t="shared" si="11"/>
        <v>4739219731.2154408</v>
      </c>
      <c r="C133" s="4">
        <f>VLOOKUP(A133,  output_exiobase_v3.10.2_EXIO_IOT_2019_pxp_Y_imports_footprint_EU27[], 2, FALSE)</f>
        <v>881122.226414548</v>
      </c>
      <c r="D133" s="4">
        <f>VLOOKUP(A133, output_exiobase_v3.10.2_EXIO_IOT_2019_pxp_Z_imports_footprint_EU27[], 2, FALSE)</f>
        <v>35205910.982717395</v>
      </c>
      <c r="E133" s="4">
        <f>VLOOKUP(A133, output_exiobase_v3.10.2_EXIO_IOT_2019_pxp_Y_production_footprint_EU27[], 2, FALSE)</f>
        <v>1294016481.5356188</v>
      </c>
      <c r="F133" s="4">
        <f>VLOOKUP(A133, output_exiobase_v3.10.2_EXIO_IOT_2019_pxp_Z_production_footprint_EU27[], 2, FALSE)</f>
        <v>3409116216.4706898</v>
      </c>
      <c r="G133" s="35">
        <f t="shared" si="14"/>
        <v>7.6145516046534746E-3</v>
      </c>
      <c r="H133" s="1">
        <f t="shared" si="15"/>
        <v>0.99238544839534648</v>
      </c>
    </row>
    <row r="134" spans="1:9" x14ac:dyDescent="0.3">
      <c r="A134" s="9" t="s">
        <v>121</v>
      </c>
      <c r="B134" s="29">
        <f t="shared" si="11"/>
        <v>4712110647.969821</v>
      </c>
      <c r="C134" s="4">
        <f>VLOOKUP(A134,  output_exiobase_v3.10.2_EXIO_IOT_2019_pxp_Y_imports_footprint_EU27[], 2, FALSE)</f>
        <v>34788092.271929614</v>
      </c>
      <c r="D134" s="4">
        <f>VLOOKUP(A134, output_exiobase_v3.10.2_EXIO_IOT_2019_pxp_Z_imports_footprint_EU27[], 2, FALSE)</f>
        <v>203144026.25509465</v>
      </c>
      <c r="E134" s="4">
        <f>VLOOKUP(A134, output_exiobase_v3.10.2_EXIO_IOT_2019_pxp_Y_production_footprint_EU27[], 2, FALSE)</f>
        <v>1331530506.2720444</v>
      </c>
      <c r="F134" s="4">
        <f>VLOOKUP(A134, output_exiobase_v3.10.2_EXIO_IOT_2019_pxp_Z_production_footprint_EU27[], 2, FALSE)</f>
        <v>3142648023.170752</v>
      </c>
      <c r="G134" s="35">
        <f t="shared" si="14"/>
        <v>5.0493746073118129E-2</v>
      </c>
      <c r="H134" s="1">
        <f t="shared" si="15"/>
        <v>0.94950625392688182</v>
      </c>
    </row>
    <row r="135" spans="1:9" x14ac:dyDescent="0.3">
      <c r="A135" s="9" t="s">
        <v>86</v>
      </c>
      <c r="B135" s="29">
        <f t="shared" si="11"/>
        <v>4665595222.4993658</v>
      </c>
      <c r="C135" s="4">
        <f>VLOOKUP(A135,  output_exiobase_v3.10.2_EXIO_IOT_2019_pxp_Y_imports_footprint_EU27[], 2, FALSE)</f>
        <v>610371.63803216908</v>
      </c>
      <c r="D135" s="4">
        <f>VLOOKUP(A135, output_exiobase_v3.10.2_EXIO_IOT_2019_pxp_Z_imports_footprint_EU27[], 2, FALSE)</f>
        <v>24488813.001317497</v>
      </c>
      <c r="E135" s="4">
        <f>VLOOKUP(A135, output_exiobase_v3.10.2_EXIO_IOT_2019_pxp_Y_production_footprint_EU27[], 2, FALSE)</f>
        <v>247864204.34314436</v>
      </c>
      <c r="F135" s="4">
        <f>VLOOKUP(A135, output_exiobase_v3.10.2_EXIO_IOT_2019_pxp_Z_production_footprint_EU27[], 2, FALSE)</f>
        <v>4392631833.5168715</v>
      </c>
      <c r="G135" s="35">
        <f t="shared" si="14"/>
        <v>5.3796318459671255E-3</v>
      </c>
      <c r="H135" s="1">
        <f t="shared" si="15"/>
        <v>0.99462036815403276</v>
      </c>
    </row>
    <row r="136" spans="1:9" x14ac:dyDescent="0.3">
      <c r="A136" s="9" t="s">
        <v>88</v>
      </c>
      <c r="B136" s="29">
        <f t="shared" si="11"/>
        <v>4644948312.4432602</v>
      </c>
      <c r="C136" s="4">
        <f>VLOOKUP(A136,  output_exiobase_v3.10.2_EXIO_IOT_2019_pxp_Y_imports_footprint_EU27[], 2, FALSE)</f>
        <v>429437.2352307837</v>
      </c>
      <c r="D136" s="4">
        <f>VLOOKUP(A136, output_exiobase_v3.10.2_EXIO_IOT_2019_pxp_Z_imports_footprint_EU27[], 2, FALSE)</f>
        <v>32821076.645775363</v>
      </c>
      <c r="E136" s="4">
        <f>VLOOKUP(A136, output_exiobase_v3.10.2_EXIO_IOT_2019_pxp_Y_production_footprint_EU27[], 2, FALSE)</f>
        <v>11875249.465261705</v>
      </c>
      <c r="F136" s="4">
        <f>VLOOKUP(A136, output_exiobase_v3.10.2_EXIO_IOT_2019_pxp_Z_production_footprint_EU27[], 2, FALSE)</f>
        <v>4599822549.0969925</v>
      </c>
      <c r="G136" s="35">
        <f t="shared" si="14"/>
        <v>7.1584249477937142E-3</v>
      </c>
      <c r="H136" s="1">
        <f t="shared" si="15"/>
        <v>0.99284157505220627</v>
      </c>
    </row>
    <row r="137" spans="1:9" x14ac:dyDescent="0.3">
      <c r="A137" s="9" t="s">
        <v>52</v>
      </c>
      <c r="B137" s="29">
        <f t="shared" si="11"/>
        <v>4621597297.0203419</v>
      </c>
      <c r="C137" s="4">
        <f>VLOOKUP(A137,  output_exiobase_v3.10.2_EXIO_IOT_2019_pxp_Y_imports_footprint_EU27[], 2, FALSE)</f>
        <v>30119285.078310315</v>
      </c>
      <c r="D137" s="4">
        <f>VLOOKUP(A137, output_exiobase_v3.10.2_EXIO_IOT_2019_pxp_Z_imports_footprint_EU27[], 2, FALSE)</f>
        <v>37158678.339190118</v>
      </c>
      <c r="E137" s="4">
        <f>VLOOKUP(A137, output_exiobase_v3.10.2_EXIO_IOT_2019_pxp_Y_production_footprint_EU27[], 2, FALSE)</f>
        <v>1070459390.2821681</v>
      </c>
      <c r="F137" s="4">
        <f>VLOOKUP(A137, output_exiobase_v3.10.2_EXIO_IOT_2019_pxp_Z_production_footprint_EU27[], 2, FALSE)</f>
        <v>3483859943.3206735</v>
      </c>
      <c r="G137" s="35">
        <f t="shared" si="14"/>
        <v>1.4557296772887635E-2</v>
      </c>
      <c r="H137" s="1">
        <f t="shared" si="15"/>
        <v>0.98544270322711236</v>
      </c>
    </row>
    <row r="138" spans="1:9" x14ac:dyDescent="0.3">
      <c r="A138" s="9" t="s">
        <v>46</v>
      </c>
      <c r="B138" s="29">
        <f t="shared" ref="B138:B169" si="16">SUM(C138:F138)</f>
        <v>4572528281.5109606</v>
      </c>
      <c r="C138" s="4">
        <f>VLOOKUP(A138,  output_exiobase_v3.10.2_EXIO_IOT_2019_pxp_Y_imports_footprint_EU27[], 2, FALSE)</f>
        <v>80280668.263901711</v>
      </c>
      <c r="D138" s="4">
        <f>VLOOKUP(A138, output_exiobase_v3.10.2_EXIO_IOT_2019_pxp_Z_imports_footprint_EU27[], 2, FALSE)</f>
        <v>406438483.95280445</v>
      </c>
      <c r="E138" s="4">
        <f>VLOOKUP(A138, output_exiobase_v3.10.2_EXIO_IOT_2019_pxp_Y_production_footprint_EU27[], 2, FALSE)</f>
        <v>812914680.4233191</v>
      </c>
      <c r="F138" s="4">
        <f>VLOOKUP(A138, output_exiobase_v3.10.2_EXIO_IOT_2019_pxp_Z_production_footprint_EU27[], 2, FALSE)</f>
        <v>3272894448.8709354</v>
      </c>
      <c r="G138" s="35">
        <f t="shared" si="14"/>
        <v>0.10644420816045191</v>
      </c>
      <c r="H138" s="1">
        <f t="shared" si="15"/>
        <v>0.89355579183954803</v>
      </c>
    </row>
    <row r="139" spans="1:9" x14ac:dyDescent="0.3">
      <c r="A139" s="9" t="s">
        <v>63</v>
      </c>
      <c r="B139" s="29">
        <f t="shared" si="16"/>
        <v>4280804671.9915791</v>
      </c>
      <c r="C139" s="4">
        <f>VLOOKUP(A139,  output_exiobase_v3.10.2_EXIO_IOT_2019_pxp_Y_imports_footprint_EU27[], 2, FALSE)</f>
        <v>1054581.7376285007</v>
      </c>
      <c r="D139" s="4">
        <f>VLOOKUP(A139, output_exiobase_v3.10.2_EXIO_IOT_2019_pxp_Z_imports_footprint_EU27[], 2, FALSE)</f>
        <v>36981866.268290564</v>
      </c>
      <c r="E139" s="4">
        <f>VLOOKUP(A139, output_exiobase_v3.10.2_EXIO_IOT_2019_pxp_Y_production_footprint_EU27[], 2, FALSE)</f>
        <v>1092883836.689142</v>
      </c>
      <c r="F139" s="4">
        <f>VLOOKUP(A139, output_exiobase_v3.10.2_EXIO_IOT_2019_pxp_Z_production_footprint_EU27[], 2, FALSE)</f>
        <v>3149884387.2965183</v>
      </c>
      <c r="G139" s="35">
        <f t="shared" si="14"/>
        <v>8.8853500499061974E-3</v>
      </c>
      <c r="H139" s="1">
        <f t="shared" si="15"/>
        <v>0.99111464995009391</v>
      </c>
    </row>
    <row r="140" spans="1:9" x14ac:dyDescent="0.3">
      <c r="A140" s="9" t="s">
        <v>176</v>
      </c>
      <c r="B140" s="29">
        <f t="shared" si="16"/>
        <v>4128917719.9993243</v>
      </c>
      <c r="C140" s="4">
        <f>VLOOKUP(A140,  output_exiobase_v3.10.2_EXIO_IOT_2019_pxp_Y_imports_footprint_EU27[], 2, FALSE)</f>
        <v>3061291.4347963664</v>
      </c>
      <c r="D140" s="4">
        <f>VLOOKUP(A140, output_exiobase_v3.10.2_EXIO_IOT_2019_pxp_Z_imports_footprint_EU27[], 2, FALSE)</f>
        <v>50218230.329449534</v>
      </c>
      <c r="E140" s="4">
        <f>VLOOKUP(A140, output_exiobase_v3.10.2_EXIO_IOT_2019_pxp_Y_production_footprint_EU27[], 2, FALSE)</f>
        <v>1183233939.9094157</v>
      </c>
      <c r="F140" s="4">
        <f>VLOOKUP(A140, output_exiobase_v3.10.2_EXIO_IOT_2019_pxp_Z_production_footprint_EU27[], 2, FALSE)</f>
        <v>2892404258.3256626</v>
      </c>
      <c r="G140" s="35">
        <f t="shared" si="14"/>
        <v>1.2903992129989604E-2</v>
      </c>
      <c r="H140" s="1">
        <f t="shared" si="15"/>
        <v>0.98709600787001039</v>
      </c>
    </row>
    <row r="141" spans="1:9" x14ac:dyDescent="0.3">
      <c r="A141" s="9" t="s">
        <v>154</v>
      </c>
      <c r="B141" s="29">
        <f t="shared" si="16"/>
        <v>4027097590.6758208</v>
      </c>
      <c r="C141" s="4">
        <f>VLOOKUP(A141,  output_exiobase_v3.10.2_EXIO_IOT_2019_pxp_Y_imports_footprint_EU27[], 2, FALSE)</f>
        <v>52253.599699142302</v>
      </c>
      <c r="D141" s="4">
        <f>VLOOKUP(A141, output_exiobase_v3.10.2_EXIO_IOT_2019_pxp_Z_imports_footprint_EU27[], 2, FALSE)</f>
        <v>3782564.2569738873</v>
      </c>
      <c r="E141" s="4">
        <f>VLOOKUP(A141, output_exiobase_v3.10.2_EXIO_IOT_2019_pxp_Y_production_footprint_EU27[], 2, FALSE)</f>
        <v>232147557.24777961</v>
      </c>
      <c r="F141" s="4">
        <f>VLOOKUP(A141, output_exiobase_v3.10.2_EXIO_IOT_2019_pxp_Z_production_footprint_EU27[], 2, FALSE)</f>
        <v>3791115215.5713682</v>
      </c>
      <c r="G141" s="35">
        <f t="shared" si="14"/>
        <v>9.5225352014115879E-4</v>
      </c>
      <c r="H141" s="1">
        <f t="shared" si="15"/>
        <v>0.99904774647985894</v>
      </c>
    </row>
    <row r="142" spans="1:9" x14ac:dyDescent="0.3">
      <c r="A142" s="9" t="s">
        <v>133</v>
      </c>
      <c r="B142" s="29">
        <f t="shared" si="16"/>
        <v>3902635889.6662922</v>
      </c>
      <c r="C142" s="4">
        <f>VLOOKUP(A142,  output_exiobase_v3.10.2_EXIO_IOT_2019_pxp_Y_imports_footprint_EU27[], 2, FALSE)</f>
        <v>313361.96089830401</v>
      </c>
      <c r="D142" s="4">
        <f>VLOOKUP(A142, output_exiobase_v3.10.2_EXIO_IOT_2019_pxp_Z_imports_footprint_EU27[], 2, FALSE)</f>
        <v>16682765.21753837</v>
      </c>
      <c r="E142" s="4">
        <f>VLOOKUP(A142, output_exiobase_v3.10.2_EXIO_IOT_2019_pxp_Y_production_footprint_EU27[], 2, FALSE)</f>
        <v>984071860.7717911</v>
      </c>
      <c r="F142" s="4">
        <f>VLOOKUP(A142, output_exiobase_v3.10.2_EXIO_IOT_2019_pxp_Z_production_footprint_EU27[], 2, FALSE)</f>
        <v>2901567901.7160645</v>
      </c>
      <c r="G142" s="35">
        <f t="shared" si="14"/>
        <v>4.355037892066837E-3</v>
      </c>
      <c r="H142" s="1">
        <f t="shared" si="15"/>
        <v>0.99564496210793318</v>
      </c>
    </row>
    <row r="143" spans="1:9" x14ac:dyDescent="0.3">
      <c r="A143" s="9" t="s">
        <v>124</v>
      </c>
      <c r="B143" s="29">
        <f t="shared" si="16"/>
        <v>3836144289.3596087</v>
      </c>
      <c r="C143" s="4">
        <f>VLOOKUP(A143,  output_exiobase_v3.10.2_EXIO_IOT_2019_pxp_Y_imports_footprint_EU27[], 2, FALSE)</f>
        <v>783024.38025539275</v>
      </c>
      <c r="D143" s="4">
        <f>VLOOKUP(A143, output_exiobase_v3.10.2_EXIO_IOT_2019_pxp_Z_imports_footprint_EU27[], 2, FALSE)</f>
        <v>17654456.211368263</v>
      </c>
      <c r="E143" s="4">
        <f>VLOOKUP(A143, output_exiobase_v3.10.2_EXIO_IOT_2019_pxp_Y_production_footprint_EU27[], 2, FALSE)</f>
        <v>1051511635.7468554</v>
      </c>
      <c r="F143" s="4">
        <f>VLOOKUP(A143, output_exiobase_v3.10.2_EXIO_IOT_2019_pxp_Z_production_footprint_EU27[], 2, FALSE)</f>
        <v>2766195173.0211296</v>
      </c>
      <c r="G143" s="35">
        <f t="shared" si="14"/>
        <v>4.8062531544405332E-3</v>
      </c>
      <c r="H143" s="1">
        <f t="shared" si="15"/>
        <v>0.99519374684555939</v>
      </c>
    </row>
    <row r="144" spans="1:9" x14ac:dyDescent="0.3">
      <c r="A144" s="9" t="s">
        <v>24</v>
      </c>
      <c r="B144" s="29">
        <f t="shared" si="16"/>
        <v>3532402944.757184</v>
      </c>
      <c r="C144" s="4">
        <f>VLOOKUP(A144,  output_exiobase_v3.10.2_EXIO_IOT_2019_pxp_Y_imports_footprint_EU27[], 2, FALSE)</f>
        <v>67111074.411208466</v>
      </c>
      <c r="D144" s="4">
        <f>VLOOKUP(A144, output_exiobase_v3.10.2_EXIO_IOT_2019_pxp_Z_imports_footprint_EU27[], 2, FALSE)</f>
        <v>359497994.73739481</v>
      </c>
      <c r="E144" s="4">
        <f>VLOOKUP(A144, output_exiobase_v3.10.2_EXIO_IOT_2019_pxp_Y_production_footprint_EU27[], 2, FALSE)</f>
        <v>400677575.80885541</v>
      </c>
      <c r="F144" s="4">
        <f>VLOOKUP(A144, output_exiobase_v3.10.2_EXIO_IOT_2019_pxp_Z_production_footprint_EU27[], 2, FALSE)</f>
        <v>2705116299.7997251</v>
      </c>
      <c r="G144" s="35">
        <f t="shared" si="14"/>
        <v>0.12077021671091609</v>
      </c>
      <c r="H144" s="1">
        <f t="shared" si="15"/>
        <v>0.87922978328908385</v>
      </c>
    </row>
    <row r="145" spans="1:8" x14ac:dyDescent="0.3">
      <c r="A145" s="9" t="s">
        <v>29</v>
      </c>
      <c r="B145" s="29">
        <f t="shared" si="16"/>
        <v>3393682635.1221075</v>
      </c>
      <c r="C145" s="4">
        <f>VLOOKUP(A145,  output_exiobase_v3.10.2_EXIO_IOT_2019_pxp_Y_imports_footprint_EU27[], 2, FALSE)</f>
        <v>172525102.37813467</v>
      </c>
      <c r="D145" s="4">
        <f>VLOOKUP(A145, output_exiobase_v3.10.2_EXIO_IOT_2019_pxp_Z_imports_footprint_EU27[], 2, FALSE)</f>
        <v>1698620956.2271492</v>
      </c>
      <c r="E145" s="4">
        <f>VLOOKUP(A145, output_exiobase_v3.10.2_EXIO_IOT_2019_pxp_Y_production_footprint_EU27[], 2, FALSE)</f>
        <v>728574057.43001807</v>
      </c>
      <c r="F145" s="4">
        <f>VLOOKUP(A145, output_exiobase_v3.10.2_EXIO_IOT_2019_pxp_Z_production_footprint_EU27[], 2, FALSE)</f>
        <v>793962519.08680558</v>
      </c>
      <c r="G145" s="35">
        <f t="shared" si="14"/>
        <v>0.55136153252525888</v>
      </c>
      <c r="H145" s="1">
        <f t="shared" si="15"/>
        <v>0.44863846747474123</v>
      </c>
    </row>
    <row r="146" spans="1:8" x14ac:dyDescent="0.3">
      <c r="A146" s="9" t="s">
        <v>142</v>
      </c>
      <c r="B146" s="29">
        <f t="shared" si="16"/>
        <v>3320712402.6561565</v>
      </c>
      <c r="C146" s="4">
        <f>VLOOKUP(A146,  output_exiobase_v3.10.2_EXIO_IOT_2019_pxp_Y_imports_footprint_EU27[], 2, FALSE)</f>
        <v>612725653.90507662</v>
      </c>
      <c r="D146" s="4">
        <f>VLOOKUP(A146, output_exiobase_v3.10.2_EXIO_IOT_2019_pxp_Z_imports_footprint_EU27[], 2, FALSE)</f>
        <v>659667322.95853043</v>
      </c>
      <c r="E146" s="4">
        <f>VLOOKUP(A146, output_exiobase_v3.10.2_EXIO_IOT_2019_pxp_Y_production_footprint_EU27[], 2, FALSE)</f>
        <v>796129326.23373795</v>
      </c>
      <c r="F146" s="4">
        <f>VLOOKUP(A146, output_exiobase_v3.10.2_EXIO_IOT_2019_pxp_Z_production_footprint_EU27[], 2, FALSE)</f>
        <v>1252190099.5588119</v>
      </c>
      <c r="G146" s="35">
        <f t="shared" si="14"/>
        <v>0.38316867665078463</v>
      </c>
      <c r="H146" s="1">
        <f t="shared" si="15"/>
        <v>0.61683132334921542</v>
      </c>
    </row>
    <row r="147" spans="1:8" x14ac:dyDescent="0.3">
      <c r="A147" s="9" t="s">
        <v>1</v>
      </c>
      <c r="B147" s="29">
        <f t="shared" si="16"/>
        <v>3215785242.8330116</v>
      </c>
      <c r="C147" s="4">
        <f>VLOOKUP(A147,  output_exiobase_v3.10.2_EXIO_IOT_2019_pxp_Y_imports_footprint_EU27[], 2, FALSE)</f>
        <v>80188158.985909805</v>
      </c>
      <c r="D147" s="4">
        <f>VLOOKUP(A147, output_exiobase_v3.10.2_EXIO_IOT_2019_pxp_Z_imports_footprint_EU27[], 2, FALSE)</f>
        <v>310516197.64352447</v>
      </c>
      <c r="E147" s="4">
        <f>VLOOKUP(A147, output_exiobase_v3.10.2_EXIO_IOT_2019_pxp_Y_production_footprint_EU27[], 2, FALSE)</f>
        <v>176970464.08079711</v>
      </c>
      <c r="F147" s="4">
        <f>VLOOKUP(A147, output_exiobase_v3.10.2_EXIO_IOT_2019_pxp_Z_production_footprint_EU27[], 2, FALSE)</f>
        <v>2648110422.1227803</v>
      </c>
      <c r="G147" s="35">
        <f t="shared" si="14"/>
        <v>0.12149578629362554</v>
      </c>
      <c r="H147" s="1">
        <f t="shared" si="15"/>
        <v>0.87850421370637455</v>
      </c>
    </row>
    <row r="148" spans="1:8" x14ac:dyDescent="0.3">
      <c r="A148" s="9" t="s">
        <v>6</v>
      </c>
      <c r="B148" s="29">
        <f t="shared" si="16"/>
        <v>3027676546.744936</v>
      </c>
      <c r="C148" s="4">
        <f>VLOOKUP(A148,  output_exiobase_v3.10.2_EXIO_IOT_2019_pxp_Y_imports_footprint_EU27[], 2, FALSE)</f>
        <v>108028619.36185445</v>
      </c>
      <c r="D148" s="4">
        <f>VLOOKUP(A148, output_exiobase_v3.10.2_EXIO_IOT_2019_pxp_Z_imports_footprint_EU27[], 2, FALSE)</f>
        <v>2691369748.9515657</v>
      </c>
      <c r="E148" s="4">
        <f>VLOOKUP(A148, output_exiobase_v3.10.2_EXIO_IOT_2019_pxp_Y_production_footprint_EU27[], 2, FALSE)</f>
        <v>12678936.499840736</v>
      </c>
      <c r="F148" s="4">
        <f>VLOOKUP(A148, output_exiobase_v3.10.2_EXIO_IOT_2019_pxp_Z_production_footprint_EU27[], 2, FALSE)</f>
        <v>215599241.93167499</v>
      </c>
      <c r="G148" s="35">
        <f t="shared" si="14"/>
        <v>0.92460285142515031</v>
      </c>
      <c r="H148" s="1">
        <f t="shared" si="15"/>
        <v>7.5397148574849665E-2</v>
      </c>
    </row>
    <row r="149" spans="1:8" x14ac:dyDescent="0.3">
      <c r="A149" s="9" t="s">
        <v>15</v>
      </c>
      <c r="B149" s="29">
        <f t="shared" si="16"/>
        <v>2987272708.4173336</v>
      </c>
      <c r="C149" s="4">
        <f>VLOOKUP(A149,  output_exiobase_v3.10.2_EXIO_IOT_2019_pxp_Y_imports_footprint_EU27[], 2, FALSE)</f>
        <v>234241921.43519023</v>
      </c>
      <c r="D149" s="4">
        <f>VLOOKUP(A149, output_exiobase_v3.10.2_EXIO_IOT_2019_pxp_Z_imports_footprint_EU27[], 2, FALSE)</f>
        <v>485936008.45562118</v>
      </c>
      <c r="E149" s="4">
        <f>VLOOKUP(A149, output_exiobase_v3.10.2_EXIO_IOT_2019_pxp_Y_production_footprint_EU27[], 2, FALSE)</f>
        <v>89586927.811488286</v>
      </c>
      <c r="F149" s="4">
        <f>VLOOKUP(A149, output_exiobase_v3.10.2_EXIO_IOT_2019_pxp_Z_production_footprint_EU27[], 2, FALSE)</f>
        <v>2177507850.715034</v>
      </c>
      <c r="G149" s="35">
        <f t="shared" si="14"/>
        <v>0.24108208395622641</v>
      </c>
      <c r="H149" s="1">
        <f t="shared" si="15"/>
        <v>0.75891791604377357</v>
      </c>
    </row>
    <row r="150" spans="1:8" x14ac:dyDescent="0.3">
      <c r="A150" s="9" t="s">
        <v>9</v>
      </c>
      <c r="B150" s="29">
        <f t="shared" si="16"/>
        <v>2242768046.5809011</v>
      </c>
      <c r="C150" s="4">
        <f>VLOOKUP(A150,  output_exiobase_v3.10.2_EXIO_IOT_2019_pxp_Y_imports_footprint_EU27[], 2, FALSE)</f>
        <v>13291607.573279405</v>
      </c>
      <c r="D150" s="4">
        <f>VLOOKUP(A150, output_exiobase_v3.10.2_EXIO_IOT_2019_pxp_Z_imports_footprint_EU27[], 2, FALSE)</f>
        <v>18871711.135552753</v>
      </c>
      <c r="E150" s="4">
        <f>VLOOKUP(A150, output_exiobase_v3.10.2_EXIO_IOT_2019_pxp_Y_production_footprint_EU27[], 2, FALSE)</f>
        <v>577174548.84674454</v>
      </c>
      <c r="F150" s="4">
        <f>VLOOKUP(A150, output_exiobase_v3.10.2_EXIO_IOT_2019_pxp_Z_production_footprint_EU27[], 2, FALSE)</f>
        <v>1633430179.0253243</v>
      </c>
      <c r="G150" s="35">
        <f t="shared" si="14"/>
        <v>1.4340902866823489E-2</v>
      </c>
      <c r="H150" s="1">
        <f t="shared" si="15"/>
        <v>0.98565909713317645</v>
      </c>
    </row>
    <row r="151" spans="1:8" x14ac:dyDescent="0.3">
      <c r="A151" s="9" t="s">
        <v>138</v>
      </c>
      <c r="B151" s="29">
        <f t="shared" si="16"/>
        <v>2234662588.8919821</v>
      </c>
      <c r="C151" s="4">
        <f>VLOOKUP(A151,  output_exiobase_v3.10.2_EXIO_IOT_2019_pxp_Y_imports_footprint_EU27[], 2, FALSE)</f>
        <v>52658.886335937961</v>
      </c>
      <c r="D151" s="4">
        <f>VLOOKUP(A151, output_exiobase_v3.10.2_EXIO_IOT_2019_pxp_Z_imports_footprint_EU27[], 2, FALSE)</f>
        <v>645470781.9313333</v>
      </c>
      <c r="E151" s="4">
        <f>VLOOKUP(A151, output_exiobase_v3.10.2_EXIO_IOT_2019_pxp_Y_production_footprint_EU27[], 2, FALSE)</f>
        <v>837942655.49762547</v>
      </c>
      <c r="F151" s="4">
        <f>VLOOKUP(A151, output_exiobase_v3.10.2_EXIO_IOT_2019_pxp_Z_production_footprint_EU27[], 2, FALSE)</f>
        <v>751196492.5766871</v>
      </c>
      <c r="G151" s="35">
        <f t="shared" si="14"/>
        <v>0.28886841531532537</v>
      </c>
      <c r="H151" s="1">
        <f t="shared" si="15"/>
        <v>0.71113158468467463</v>
      </c>
    </row>
    <row r="152" spans="1:8" x14ac:dyDescent="0.3">
      <c r="A152" s="9" t="s">
        <v>103</v>
      </c>
      <c r="B152" s="29">
        <f t="shared" si="16"/>
        <v>2123393386.2829444</v>
      </c>
      <c r="C152" s="4">
        <f>VLOOKUP(A152,  output_exiobase_v3.10.2_EXIO_IOT_2019_pxp_Y_imports_footprint_EU27[], 2, FALSE)</f>
        <v>32216254.881838653</v>
      </c>
      <c r="D152" s="4">
        <f>VLOOKUP(A152, output_exiobase_v3.10.2_EXIO_IOT_2019_pxp_Z_imports_footprint_EU27[], 2, FALSE)</f>
        <v>607535699.96522748</v>
      </c>
      <c r="E152" s="4">
        <f>VLOOKUP(A152, output_exiobase_v3.10.2_EXIO_IOT_2019_pxp_Y_production_footprint_EU27[], 2, FALSE)</f>
        <v>47150177.122630335</v>
      </c>
      <c r="F152" s="4">
        <f>VLOOKUP(A152, output_exiobase_v3.10.2_EXIO_IOT_2019_pxp_Z_production_footprint_EU27[], 2, FALSE)</f>
        <v>1436491254.3132479</v>
      </c>
      <c r="G152" s="35">
        <f t="shared" si="14"/>
        <v>0.3012875329554307</v>
      </c>
      <c r="H152" s="1">
        <f t="shared" si="15"/>
        <v>0.69871246704456935</v>
      </c>
    </row>
    <row r="153" spans="1:8" x14ac:dyDescent="0.3">
      <c r="A153" s="9" t="s">
        <v>197</v>
      </c>
      <c r="B153" s="29">
        <f t="shared" si="16"/>
        <v>2041457058.0254908</v>
      </c>
      <c r="C153" s="4">
        <f>VLOOKUP(A153,  output_exiobase_v3.10.2_EXIO_IOT_2019_pxp_Y_imports_footprint_EU27[], 2, FALSE)</f>
        <v>258791.9254585102</v>
      </c>
      <c r="D153" s="4">
        <f>VLOOKUP(A153, output_exiobase_v3.10.2_EXIO_IOT_2019_pxp_Z_imports_footprint_EU27[], 2, FALSE)</f>
        <v>19596500.178080939</v>
      </c>
      <c r="E153" s="4">
        <f>VLOOKUP(A153, output_exiobase_v3.10.2_EXIO_IOT_2019_pxp_Y_production_footprint_EU27[], 2, FALSE)</f>
        <v>551452959.14459825</v>
      </c>
      <c r="F153" s="4">
        <f>VLOOKUP(A153, output_exiobase_v3.10.2_EXIO_IOT_2019_pxp_Z_production_footprint_EU27[], 2, FALSE)</f>
        <v>1470148806.777353</v>
      </c>
      <c r="G153" s="35">
        <f t="shared" si="14"/>
        <v>9.7260395586001719E-3</v>
      </c>
      <c r="H153" s="1">
        <f t="shared" si="15"/>
        <v>0.99027396044139981</v>
      </c>
    </row>
    <row r="154" spans="1:8" x14ac:dyDescent="0.3">
      <c r="A154" s="9" t="s">
        <v>49</v>
      </c>
      <c r="B154" s="29">
        <f t="shared" si="16"/>
        <v>1557083693.7903924</v>
      </c>
      <c r="C154" s="4">
        <f>VLOOKUP(A154,  output_exiobase_v3.10.2_EXIO_IOT_2019_pxp_Y_imports_footprint_EU27[], 2, FALSE)</f>
        <v>15669838.272966573</v>
      </c>
      <c r="D154" s="4">
        <f>VLOOKUP(A154, output_exiobase_v3.10.2_EXIO_IOT_2019_pxp_Z_imports_footprint_EU27[], 2, FALSE)</f>
        <v>35747039.720676638</v>
      </c>
      <c r="E154" s="4">
        <f>VLOOKUP(A154, output_exiobase_v3.10.2_EXIO_IOT_2019_pxp_Y_production_footprint_EU27[], 2, FALSE)</f>
        <v>248931002.21682054</v>
      </c>
      <c r="F154" s="4">
        <f>VLOOKUP(A154, output_exiobase_v3.10.2_EXIO_IOT_2019_pxp_Z_production_footprint_EU27[], 2, FALSE)</f>
        <v>1256735813.5799286</v>
      </c>
      <c r="G154" s="35">
        <f t="shared" si="14"/>
        <v>3.3021268027333614E-2</v>
      </c>
      <c r="H154" s="1">
        <f t="shared" si="15"/>
        <v>0.96697873197266637</v>
      </c>
    </row>
    <row r="155" spans="1:8" x14ac:dyDescent="0.3">
      <c r="A155" s="9" t="s">
        <v>102</v>
      </c>
      <c r="B155" s="29">
        <f t="shared" si="16"/>
        <v>1508252881.8656027</v>
      </c>
      <c r="C155" s="4">
        <f>VLOOKUP(A155,  output_exiobase_v3.10.2_EXIO_IOT_2019_pxp_Y_imports_footprint_EU27[], 2, FALSE)</f>
        <v>2115564.9246447436</v>
      </c>
      <c r="D155" s="4">
        <f>VLOOKUP(A155, output_exiobase_v3.10.2_EXIO_IOT_2019_pxp_Z_imports_footprint_EU27[], 2, FALSE)</f>
        <v>713600.35458665318</v>
      </c>
      <c r="E155" s="4">
        <f>VLOOKUP(A155, output_exiobase_v3.10.2_EXIO_IOT_2019_pxp_Y_production_footprint_EU27[], 2, FALSE)</f>
        <v>748806354.8968817</v>
      </c>
      <c r="F155" s="4">
        <f>VLOOKUP(A155, output_exiobase_v3.10.2_EXIO_IOT_2019_pxp_Z_production_footprint_EU27[], 2, FALSE)</f>
        <v>756617361.6894896</v>
      </c>
    </row>
    <row r="156" spans="1:8" x14ac:dyDescent="0.3">
      <c r="A156" s="9" t="s">
        <v>193</v>
      </c>
      <c r="B156" s="29">
        <f t="shared" si="16"/>
        <v>1481014616.8919992</v>
      </c>
      <c r="C156" s="4">
        <f>VLOOKUP(A156,  output_exiobase_v3.10.2_EXIO_IOT_2019_pxp_Y_imports_footprint_EU27[], 2, FALSE)</f>
        <v>6995981.5169281876</v>
      </c>
      <c r="D156" s="4">
        <f>VLOOKUP(A156, output_exiobase_v3.10.2_EXIO_IOT_2019_pxp_Z_imports_footprint_EU27[], 2, FALSE)</f>
        <v>85798323.516691789</v>
      </c>
      <c r="E156" s="4">
        <f>VLOOKUP(A156, output_exiobase_v3.10.2_EXIO_IOT_2019_pxp_Y_production_footprint_EU27[], 2, FALSE)</f>
        <v>165006457.20392036</v>
      </c>
      <c r="F156" s="4">
        <f>VLOOKUP(A156, output_exiobase_v3.10.2_EXIO_IOT_2019_pxp_Z_production_footprint_EU27[], 2, FALSE)</f>
        <v>1223213854.654459</v>
      </c>
      <c r="G156" s="35">
        <f t="shared" ref="G156:G176" si="17">(C156+D156)/B156</f>
        <v>6.2655900877166604E-2</v>
      </c>
      <c r="H156" s="1">
        <f t="shared" ref="H156:H176" si="18">(E156+F156)/B156</f>
        <v>0.93734409912283345</v>
      </c>
    </row>
    <row r="157" spans="1:8" x14ac:dyDescent="0.3">
      <c r="A157" s="9" t="s">
        <v>16</v>
      </c>
      <c r="B157" s="29">
        <f t="shared" si="16"/>
        <v>1440907346.2005501</v>
      </c>
      <c r="C157" s="4">
        <f>VLOOKUP(A157,  output_exiobase_v3.10.2_EXIO_IOT_2019_pxp_Y_imports_footprint_EU27[], 2, FALSE)</f>
        <v>120958.4702034228</v>
      </c>
      <c r="D157" s="4">
        <f>VLOOKUP(A157, output_exiobase_v3.10.2_EXIO_IOT_2019_pxp_Z_imports_footprint_EU27[], 2, FALSE)</f>
        <v>5025483.2087181797</v>
      </c>
      <c r="E157" s="4">
        <f>VLOOKUP(A157, output_exiobase_v3.10.2_EXIO_IOT_2019_pxp_Y_production_footprint_EU27[], 2, FALSE)</f>
        <v>43037349.595282055</v>
      </c>
      <c r="F157" s="4">
        <f>VLOOKUP(A157, output_exiobase_v3.10.2_EXIO_IOT_2019_pxp_Z_production_footprint_EU27[], 2, FALSE)</f>
        <v>1392723554.9263463</v>
      </c>
      <c r="G157" s="35">
        <f t="shared" si="17"/>
        <v>3.5716673195483207E-3</v>
      </c>
      <c r="H157" s="1">
        <f t="shared" si="18"/>
        <v>0.99642833268045161</v>
      </c>
    </row>
    <row r="158" spans="1:8" x14ac:dyDescent="0.3">
      <c r="A158" s="9" t="s">
        <v>26</v>
      </c>
      <c r="B158" s="29">
        <f t="shared" si="16"/>
        <v>1437554244.6397853</v>
      </c>
      <c r="C158" s="4">
        <f>VLOOKUP(A158,  output_exiobase_v3.10.2_EXIO_IOT_2019_pxp_Y_imports_footprint_EU27[], 2, FALSE)</f>
        <v>96840504.663091928</v>
      </c>
      <c r="D158" s="4">
        <f>VLOOKUP(A158, output_exiobase_v3.10.2_EXIO_IOT_2019_pxp_Z_imports_footprint_EU27[], 2, FALSE)</f>
        <v>220771698.67559966</v>
      </c>
      <c r="E158" s="4">
        <f>VLOOKUP(A158, output_exiobase_v3.10.2_EXIO_IOT_2019_pxp_Y_production_footprint_EU27[], 2, FALSE)</f>
        <v>156946875.64491671</v>
      </c>
      <c r="F158" s="4">
        <f>VLOOKUP(A158, output_exiobase_v3.10.2_EXIO_IOT_2019_pxp_Z_production_footprint_EU27[], 2, FALSE)</f>
        <v>962995165.65617704</v>
      </c>
      <c r="G158" s="35">
        <f t="shared" si="17"/>
        <v>0.22093928248132103</v>
      </c>
      <c r="H158" s="1">
        <f t="shared" si="18"/>
        <v>0.77906071751867911</v>
      </c>
    </row>
    <row r="159" spans="1:8" x14ac:dyDescent="0.3">
      <c r="A159" s="9" t="s">
        <v>84</v>
      </c>
      <c r="B159" s="29">
        <f t="shared" si="16"/>
        <v>1434190982.1681142</v>
      </c>
      <c r="C159" s="4">
        <f>VLOOKUP(A159,  output_exiobase_v3.10.2_EXIO_IOT_2019_pxp_Y_imports_footprint_EU27[], 2, FALSE)</f>
        <v>15051643.637472905</v>
      </c>
      <c r="D159" s="4">
        <f>VLOOKUP(A159, output_exiobase_v3.10.2_EXIO_IOT_2019_pxp_Z_imports_footprint_EU27[], 2, FALSE)</f>
        <v>55367065.16535861</v>
      </c>
      <c r="E159" s="4">
        <f>VLOOKUP(A159, output_exiobase_v3.10.2_EXIO_IOT_2019_pxp_Y_production_footprint_EU27[], 2, FALSE)</f>
        <v>173073594.44374576</v>
      </c>
      <c r="F159" s="4">
        <f>VLOOKUP(A159, output_exiobase_v3.10.2_EXIO_IOT_2019_pxp_Z_production_footprint_EU27[], 2, FALSE)</f>
        <v>1190698678.9215369</v>
      </c>
      <c r="G159" s="35">
        <f t="shared" si="17"/>
        <v>4.9099952292530252E-2</v>
      </c>
      <c r="H159" s="1">
        <f t="shared" si="18"/>
        <v>0.95090004770746983</v>
      </c>
    </row>
    <row r="160" spans="1:8" x14ac:dyDescent="0.3">
      <c r="A160" s="9" t="s">
        <v>13</v>
      </c>
      <c r="B160" s="29">
        <f t="shared" si="16"/>
        <v>1426535376.2671659</v>
      </c>
      <c r="C160" s="4">
        <f>VLOOKUP(A160,  output_exiobase_v3.10.2_EXIO_IOT_2019_pxp_Y_imports_footprint_EU27[], 2, FALSE)</f>
        <v>400.45737094413136</v>
      </c>
      <c r="D160" s="4">
        <f>VLOOKUP(A160, output_exiobase_v3.10.2_EXIO_IOT_2019_pxp_Z_imports_footprint_EU27[], 2, FALSE)</f>
        <v>284154.39877691917</v>
      </c>
      <c r="E160" s="4">
        <f>VLOOKUP(A160, output_exiobase_v3.10.2_EXIO_IOT_2019_pxp_Y_production_footprint_EU27[], 2, FALSE)</f>
        <v>14839407.22831222</v>
      </c>
      <c r="F160" s="4">
        <f>VLOOKUP(A160, output_exiobase_v3.10.2_EXIO_IOT_2019_pxp_Z_production_footprint_EU27[], 2, FALSE)</f>
        <v>1411411414.1827059</v>
      </c>
      <c r="G160" s="35">
        <f t="shared" si="17"/>
        <v>1.9947269509183979E-4</v>
      </c>
      <c r="H160" s="1">
        <f t="shared" si="18"/>
        <v>0.9998005273049082</v>
      </c>
    </row>
    <row r="161" spans="1:8" x14ac:dyDescent="0.3">
      <c r="A161" s="9" t="s">
        <v>184</v>
      </c>
      <c r="B161" s="29">
        <f t="shared" si="16"/>
        <v>1421540587.0054789</v>
      </c>
      <c r="C161" s="4">
        <f>VLOOKUP(A161,  output_exiobase_v3.10.2_EXIO_IOT_2019_pxp_Y_imports_footprint_EU27[], 2, FALSE)</f>
        <v>203207.83385516793</v>
      </c>
      <c r="D161" s="4">
        <f>VLOOKUP(A161, output_exiobase_v3.10.2_EXIO_IOT_2019_pxp_Z_imports_footprint_EU27[], 2, FALSE)</f>
        <v>7114953.2486492451</v>
      </c>
      <c r="E161" s="4">
        <f>VLOOKUP(A161, output_exiobase_v3.10.2_EXIO_IOT_2019_pxp_Y_production_footprint_EU27[], 2, FALSE)</f>
        <v>311581095.53844696</v>
      </c>
      <c r="F161" s="4">
        <f>VLOOKUP(A161, output_exiobase_v3.10.2_EXIO_IOT_2019_pxp_Z_production_footprint_EU27[], 2, FALSE)</f>
        <v>1102641330.3845274</v>
      </c>
      <c r="G161" s="35">
        <f t="shared" si="17"/>
        <v>5.1480493412575405E-3</v>
      </c>
      <c r="H161" s="1">
        <f t="shared" si="18"/>
        <v>0.99485195065874243</v>
      </c>
    </row>
    <row r="162" spans="1:8" x14ac:dyDescent="0.3">
      <c r="A162" s="9" t="s">
        <v>132</v>
      </c>
      <c r="B162" s="29">
        <f t="shared" si="16"/>
        <v>1414273668.6737733</v>
      </c>
      <c r="C162" s="4">
        <f>VLOOKUP(A162,  output_exiobase_v3.10.2_EXIO_IOT_2019_pxp_Y_imports_footprint_EU27[], 2, FALSE)</f>
        <v>220105769.30291003</v>
      </c>
      <c r="D162" s="4">
        <f>VLOOKUP(A162, output_exiobase_v3.10.2_EXIO_IOT_2019_pxp_Z_imports_footprint_EU27[], 2, FALSE)</f>
        <v>408632182.33571732</v>
      </c>
      <c r="E162" s="4">
        <f>VLOOKUP(A162, output_exiobase_v3.10.2_EXIO_IOT_2019_pxp_Y_production_footprint_EU27[], 2, FALSE)</f>
        <v>172683490.79968816</v>
      </c>
      <c r="F162" s="4">
        <f>VLOOKUP(A162, output_exiobase_v3.10.2_EXIO_IOT_2019_pxp_Z_production_footprint_EU27[], 2, FALSE)</f>
        <v>612852226.2354579</v>
      </c>
      <c r="G162" s="35">
        <f t="shared" si="17"/>
        <v>0.44456597443988516</v>
      </c>
      <c r="H162" s="1">
        <f t="shared" si="18"/>
        <v>0.5554340255601149</v>
      </c>
    </row>
    <row r="163" spans="1:8" x14ac:dyDescent="0.3">
      <c r="A163" s="9" t="s">
        <v>198</v>
      </c>
      <c r="B163" s="29">
        <f t="shared" si="16"/>
        <v>1313850301.3031068</v>
      </c>
      <c r="C163" s="4">
        <f>VLOOKUP(A163,  output_exiobase_v3.10.2_EXIO_IOT_2019_pxp_Y_imports_footprint_EU27[], 2, FALSE)</f>
        <v>209269.77890570095</v>
      </c>
      <c r="D163" s="4">
        <f>VLOOKUP(A163, output_exiobase_v3.10.2_EXIO_IOT_2019_pxp_Z_imports_footprint_EU27[], 2, FALSE)</f>
        <v>4371770.9933877699</v>
      </c>
      <c r="E163" s="4">
        <f>VLOOKUP(A163, output_exiobase_v3.10.2_EXIO_IOT_2019_pxp_Y_production_footprint_EU27[], 2, FALSE)</f>
        <v>345483309.35506463</v>
      </c>
      <c r="F163" s="4">
        <f>VLOOKUP(A163, output_exiobase_v3.10.2_EXIO_IOT_2019_pxp_Z_production_footprint_EU27[], 2, FALSE)</f>
        <v>963785951.17574871</v>
      </c>
      <c r="G163" s="35">
        <f t="shared" si="17"/>
        <v>3.4867296279872144E-3</v>
      </c>
      <c r="H163" s="1">
        <f t="shared" si="18"/>
        <v>0.99651327037201276</v>
      </c>
    </row>
    <row r="164" spans="1:8" x14ac:dyDescent="0.3">
      <c r="A164" s="9" t="s">
        <v>23</v>
      </c>
      <c r="B164" s="29">
        <f t="shared" si="16"/>
        <v>1284444628.7823124</v>
      </c>
      <c r="C164" s="4">
        <f>VLOOKUP(A164,  output_exiobase_v3.10.2_EXIO_IOT_2019_pxp_Y_imports_footprint_EU27[], 2, FALSE)</f>
        <v>703016336.70653701</v>
      </c>
      <c r="D164" s="4">
        <f>VLOOKUP(A164, output_exiobase_v3.10.2_EXIO_IOT_2019_pxp_Z_imports_footprint_EU27[], 2, FALSE)</f>
        <v>485902797.61651903</v>
      </c>
      <c r="E164" s="4">
        <f>VLOOKUP(A164, output_exiobase_v3.10.2_EXIO_IOT_2019_pxp_Y_production_footprint_EU27[], 2, FALSE)</f>
        <v>70793897.22091721</v>
      </c>
      <c r="F164" s="4">
        <f>VLOOKUP(A164, output_exiobase_v3.10.2_EXIO_IOT_2019_pxp_Z_production_footprint_EU27[], 2, FALSE)</f>
        <v>24731597.238339096</v>
      </c>
      <c r="G164" s="35">
        <f t="shared" si="17"/>
        <v>0.92562895097329567</v>
      </c>
      <c r="H164" s="1">
        <f t="shared" si="18"/>
        <v>7.4371049026704258E-2</v>
      </c>
    </row>
    <row r="165" spans="1:8" x14ac:dyDescent="0.3">
      <c r="A165" s="9" t="s">
        <v>113</v>
      </c>
      <c r="B165" s="29">
        <f t="shared" si="16"/>
        <v>1240505290.033592</v>
      </c>
      <c r="C165" s="4">
        <f>VLOOKUP(A165,  output_exiobase_v3.10.2_EXIO_IOT_2019_pxp_Y_imports_footprint_EU27[], 2, FALSE)</f>
        <v>308384.172991789</v>
      </c>
      <c r="D165" s="4">
        <f>VLOOKUP(A165, output_exiobase_v3.10.2_EXIO_IOT_2019_pxp_Z_imports_footprint_EU27[], 2, FALSE)</f>
        <v>2881583.6883947784</v>
      </c>
      <c r="E165" s="4">
        <f>VLOOKUP(A165, output_exiobase_v3.10.2_EXIO_IOT_2019_pxp_Y_production_footprint_EU27[], 2, FALSE)</f>
        <v>15247184.113698475</v>
      </c>
      <c r="F165" s="4">
        <f>VLOOKUP(A165, output_exiobase_v3.10.2_EXIO_IOT_2019_pxp_Z_production_footprint_EU27[], 2, FALSE)</f>
        <v>1222068138.058507</v>
      </c>
      <c r="G165" s="35">
        <f t="shared" si="17"/>
        <v>2.5715068585480884E-3</v>
      </c>
      <c r="H165" s="1">
        <f t="shared" si="18"/>
        <v>0.99742849314145199</v>
      </c>
    </row>
    <row r="166" spans="1:8" x14ac:dyDescent="0.3">
      <c r="A166" s="9" t="s">
        <v>61</v>
      </c>
      <c r="B166" s="29">
        <f t="shared" si="16"/>
        <v>1048131617.0292985</v>
      </c>
      <c r="C166" s="4">
        <f>VLOOKUP(A166,  output_exiobase_v3.10.2_EXIO_IOT_2019_pxp_Y_imports_footprint_EU27[], 2, FALSE)</f>
        <v>28501.527787365223</v>
      </c>
      <c r="D166" s="4">
        <f>VLOOKUP(A166, output_exiobase_v3.10.2_EXIO_IOT_2019_pxp_Z_imports_footprint_EU27[], 2, FALSE)</f>
        <v>3121511.149759118</v>
      </c>
      <c r="E166" s="4">
        <f>VLOOKUP(A166, output_exiobase_v3.10.2_EXIO_IOT_2019_pxp_Y_production_footprint_EU27[], 2, FALSE)</f>
        <v>323802023.81314963</v>
      </c>
      <c r="F166" s="4">
        <f>VLOOKUP(A166, output_exiobase_v3.10.2_EXIO_IOT_2019_pxp_Z_production_footprint_EU27[], 2, FALSE)</f>
        <v>721179580.53860235</v>
      </c>
      <c r="G166" s="35">
        <f t="shared" si="17"/>
        <v>3.0053598482932039E-3</v>
      </c>
      <c r="H166" s="1">
        <f t="shared" si="18"/>
        <v>0.9969946401517068</v>
      </c>
    </row>
    <row r="167" spans="1:8" x14ac:dyDescent="0.3">
      <c r="A167" s="9" t="s">
        <v>130</v>
      </c>
      <c r="B167" s="29">
        <f t="shared" si="16"/>
        <v>1025743399.9780092</v>
      </c>
      <c r="C167" s="4">
        <f>VLOOKUP(A167,  output_exiobase_v3.10.2_EXIO_IOT_2019_pxp_Y_imports_footprint_EU27[], 2, FALSE)</f>
        <v>57530212.609882511</v>
      </c>
      <c r="D167" s="4">
        <f>VLOOKUP(A167, output_exiobase_v3.10.2_EXIO_IOT_2019_pxp_Z_imports_footprint_EU27[], 2, FALSE)</f>
        <v>464587235.99817342</v>
      </c>
      <c r="E167" s="4">
        <f>VLOOKUP(A167, output_exiobase_v3.10.2_EXIO_IOT_2019_pxp_Y_production_footprint_EU27[], 2, FALSE)</f>
        <v>24628182.914162107</v>
      </c>
      <c r="F167" s="4">
        <f>VLOOKUP(A167, output_exiobase_v3.10.2_EXIO_IOT_2019_pxp_Z_production_footprint_EU27[], 2, FALSE)</f>
        <v>478997768.45579106</v>
      </c>
      <c r="G167" s="35">
        <f t="shared" si="17"/>
        <v>0.50901370520078371</v>
      </c>
      <c r="H167" s="1">
        <f t="shared" si="18"/>
        <v>0.49098629479921618</v>
      </c>
    </row>
    <row r="168" spans="1:8" x14ac:dyDescent="0.3">
      <c r="A168" s="9" t="s">
        <v>185</v>
      </c>
      <c r="B168" s="29">
        <f t="shared" si="16"/>
        <v>985723401.0525291</v>
      </c>
      <c r="C168" s="4">
        <f>VLOOKUP(A168,  output_exiobase_v3.10.2_EXIO_IOT_2019_pxp_Y_imports_footprint_EU27[], 2, FALSE)</f>
        <v>156433.01482077703</v>
      </c>
      <c r="D168" s="4">
        <f>VLOOKUP(A168, output_exiobase_v3.10.2_EXIO_IOT_2019_pxp_Z_imports_footprint_EU27[], 2, FALSE)</f>
        <v>2788400.1966151353</v>
      </c>
      <c r="E168" s="4">
        <f>VLOOKUP(A168, output_exiobase_v3.10.2_EXIO_IOT_2019_pxp_Y_production_footprint_EU27[], 2, FALSE)</f>
        <v>269564386.28606874</v>
      </c>
      <c r="F168" s="4">
        <f>VLOOKUP(A168, output_exiobase_v3.10.2_EXIO_IOT_2019_pxp_Z_production_footprint_EU27[], 2, FALSE)</f>
        <v>713214181.55502439</v>
      </c>
      <c r="G168" s="35">
        <f t="shared" si="17"/>
        <v>2.9874843270348435E-3</v>
      </c>
      <c r="H168" s="1">
        <f t="shared" si="18"/>
        <v>0.99701251567296501</v>
      </c>
    </row>
    <row r="169" spans="1:8" x14ac:dyDescent="0.3">
      <c r="A169" s="9" t="s">
        <v>134</v>
      </c>
      <c r="B169" s="29">
        <f t="shared" si="16"/>
        <v>881166672.42322397</v>
      </c>
      <c r="C169" s="4">
        <f>VLOOKUP(A169,  output_exiobase_v3.10.2_EXIO_IOT_2019_pxp_Y_imports_footprint_EU27[], 2, FALSE)</f>
        <v>211571.79238133988</v>
      </c>
      <c r="D169" s="4">
        <f>VLOOKUP(A169, output_exiobase_v3.10.2_EXIO_IOT_2019_pxp_Z_imports_footprint_EU27[], 2, FALSE)</f>
        <v>5520606.9678953383</v>
      </c>
      <c r="E169" s="4">
        <f>VLOOKUP(A169, output_exiobase_v3.10.2_EXIO_IOT_2019_pxp_Y_production_footprint_EU27[], 2, FALSE)</f>
        <v>210461421.87602064</v>
      </c>
      <c r="F169" s="4">
        <f>VLOOKUP(A169, output_exiobase_v3.10.2_EXIO_IOT_2019_pxp_Z_production_footprint_EU27[], 2, FALSE)</f>
        <v>664973071.78692663</v>
      </c>
      <c r="G169" s="35">
        <f t="shared" si="17"/>
        <v>6.5052151195336121E-3</v>
      </c>
      <c r="H169" s="1">
        <f t="shared" si="18"/>
        <v>0.99349478488046639</v>
      </c>
    </row>
    <row r="170" spans="1:8" x14ac:dyDescent="0.3">
      <c r="A170" s="9" t="s">
        <v>155</v>
      </c>
      <c r="B170" s="29">
        <f t="shared" ref="B170:B201" si="19">SUM(C170:F170)</f>
        <v>713074971.96237683</v>
      </c>
      <c r="C170" s="4">
        <f>VLOOKUP(A170,  output_exiobase_v3.10.2_EXIO_IOT_2019_pxp_Y_imports_footprint_EU27[], 2, FALSE)</f>
        <v>124493.11453308754</v>
      </c>
      <c r="D170" s="4">
        <f>VLOOKUP(A170, output_exiobase_v3.10.2_EXIO_IOT_2019_pxp_Z_imports_footprint_EU27[], 2, FALSE)</f>
        <v>3888334.6757426434</v>
      </c>
      <c r="E170" s="4">
        <f>VLOOKUP(A170, output_exiobase_v3.10.2_EXIO_IOT_2019_pxp_Y_production_footprint_EU27[], 2, FALSE)</f>
        <v>76930.9918938177</v>
      </c>
      <c r="F170" s="4">
        <f>VLOOKUP(A170, output_exiobase_v3.10.2_EXIO_IOT_2019_pxp_Z_production_footprint_EU27[], 2, FALSE)</f>
        <v>708985213.18020725</v>
      </c>
      <c r="G170" s="35">
        <f t="shared" si="17"/>
        <v>5.6274977359427715E-3</v>
      </c>
      <c r="H170" s="1">
        <f t="shared" si="18"/>
        <v>0.99437250226405716</v>
      </c>
    </row>
    <row r="171" spans="1:8" x14ac:dyDescent="0.3">
      <c r="A171" s="9" t="s">
        <v>199</v>
      </c>
      <c r="B171" s="29">
        <f t="shared" si="19"/>
        <v>605591356.15883982</v>
      </c>
      <c r="C171" s="4">
        <f>VLOOKUP(A171,  output_exiobase_v3.10.2_EXIO_IOT_2019_pxp_Y_imports_footprint_EU27[], 2, FALSE)</f>
        <v>103646840.88745421</v>
      </c>
      <c r="D171" s="4">
        <f>VLOOKUP(A171, output_exiobase_v3.10.2_EXIO_IOT_2019_pxp_Z_imports_footprint_EU27[], 2, FALSE)</f>
        <v>373788810.88160378</v>
      </c>
      <c r="E171" s="4">
        <f>VLOOKUP(A171, output_exiobase_v3.10.2_EXIO_IOT_2019_pxp_Y_production_footprint_EU27[], 2, FALSE)</f>
        <v>25081657.63089522</v>
      </c>
      <c r="F171" s="4">
        <f>VLOOKUP(A171, output_exiobase_v3.10.2_EXIO_IOT_2019_pxp_Z_production_footprint_EU27[], 2, FALSE)</f>
        <v>103074046.75888659</v>
      </c>
      <c r="G171" s="35">
        <f t="shared" si="17"/>
        <v>0.78837923777074514</v>
      </c>
      <c r="H171" s="1">
        <f t="shared" si="18"/>
        <v>0.2116207622292548</v>
      </c>
    </row>
    <row r="172" spans="1:8" x14ac:dyDescent="0.3">
      <c r="A172" s="9" t="s">
        <v>80</v>
      </c>
      <c r="B172" s="29">
        <f t="shared" si="19"/>
        <v>605415106.19295323</v>
      </c>
      <c r="C172" s="4">
        <f>VLOOKUP(A172,  output_exiobase_v3.10.2_EXIO_IOT_2019_pxp_Y_imports_footprint_EU27[], 2, FALSE)</f>
        <v>2176630.4896383961</v>
      </c>
      <c r="D172" s="4">
        <f>VLOOKUP(A172, output_exiobase_v3.10.2_EXIO_IOT_2019_pxp_Z_imports_footprint_EU27[], 2, FALSE)</f>
        <v>1935917.4029742747</v>
      </c>
      <c r="E172" s="4">
        <f>VLOOKUP(A172, output_exiobase_v3.10.2_EXIO_IOT_2019_pxp_Y_production_footprint_EU27[], 2, FALSE)</f>
        <v>21357376.277288225</v>
      </c>
      <c r="F172" s="4">
        <f>VLOOKUP(A172, output_exiobase_v3.10.2_EXIO_IOT_2019_pxp_Z_production_footprint_EU27[], 2, FALSE)</f>
        <v>579945182.02305233</v>
      </c>
      <c r="G172" s="35">
        <f t="shared" si="17"/>
        <v>6.7929390108444881E-3</v>
      </c>
      <c r="H172" s="1">
        <f t="shared" si="18"/>
        <v>0.99320706098915545</v>
      </c>
    </row>
    <row r="173" spans="1:8" x14ac:dyDescent="0.3">
      <c r="A173" s="9" t="s">
        <v>110</v>
      </c>
      <c r="B173" s="29">
        <f t="shared" si="19"/>
        <v>564905339.23576236</v>
      </c>
      <c r="C173" s="4">
        <f>VLOOKUP(A173,  output_exiobase_v3.10.2_EXIO_IOT_2019_pxp_Y_imports_footprint_EU27[], 2, FALSE)</f>
        <v>647.93764301084889</v>
      </c>
      <c r="D173" s="4">
        <f>VLOOKUP(A173, output_exiobase_v3.10.2_EXIO_IOT_2019_pxp_Z_imports_footprint_EU27[], 2, FALSE)</f>
        <v>34765.419737897428</v>
      </c>
      <c r="E173" s="4">
        <f>VLOOKUP(A173, output_exiobase_v3.10.2_EXIO_IOT_2019_pxp_Y_production_footprint_EU27[], 2, FALSE)</f>
        <v>3421240.8478793451</v>
      </c>
      <c r="F173" s="4">
        <f>VLOOKUP(A173, output_exiobase_v3.10.2_EXIO_IOT_2019_pxp_Z_production_footprint_EU27[], 2, FALSE)</f>
        <v>561448685.03050208</v>
      </c>
      <c r="G173" s="35">
        <f t="shared" si="17"/>
        <v>6.2689011629483938E-5</v>
      </c>
      <c r="H173" s="1">
        <f t="shared" si="18"/>
        <v>0.99993731098837035</v>
      </c>
    </row>
    <row r="174" spans="1:8" x14ac:dyDescent="0.3">
      <c r="A174" s="9" t="s">
        <v>179</v>
      </c>
      <c r="B174" s="29">
        <f t="shared" si="19"/>
        <v>526001542.03685457</v>
      </c>
      <c r="C174" s="4">
        <f>VLOOKUP(A174,  output_exiobase_v3.10.2_EXIO_IOT_2019_pxp_Y_imports_footprint_EU27[], 2, FALSE)</f>
        <v>66773134.915271819</v>
      </c>
      <c r="D174" s="4">
        <f>VLOOKUP(A174, output_exiobase_v3.10.2_EXIO_IOT_2019_pxp_Z_imports_footprint_EU27[], 2, FALSE)</f>
        <v>175689112.57270998</v>
      </c>
      <c r="E174" s="4">
        <f>VLOOKUP(A174, output_exiobase_v3.10.2_EXIO_IOT_2019_pxp_Y_production_footprint_EU27[], 2, FALSE)</f>
        <v>784.0610709064407</v>
      </c>
      <c r="F174" s="4">
        <f>VLOOKUP(A174, output_exiobase_v3.10.2_EXIO_IOT_2019_pxp_Z_production_footprint_EU27[], 2, FALSE)</f>
        <v>283538510.48780185</v>
      </c>
      <c r="G174" s="35">
        <f t="shared" si="17"/>
        <v>0.46095349178842054</v>
      </c>
      <c r="H174" s="1">
        <f t="shared" si="18"/>
        <v>0.5390465082115794</v>
      </c>
    </row>
    <row r="175" spans="1:8" x14ac:dyDescent="0.3">
      <c r="A175" s="9" t="s">
        <v>8</v>
      </c>
      <c r="B175" s="29">
        <f t="shared" si="19"/>
        <v>508219895.08333671</v>
      </c>
      <c r="C175" s="4">
        <f>VLOOKUP(A175,  output_exiobase_v3.10.2_EXIO_IOT_2019_pxp_Y_imports_footprint_EU27[], 2, FALSE)</f>
        <v>24389.428084249794</v>
      </c>
      <c r="D175" s="4">
        <f>VLOOKUP(A175, output_exiobase_v3.10.2_EXIO_IOT_2019_pxp_Z_imports_footprint_EU27[], 2, FALSE)</f>
        <v>4152249.123015156</v>
      </c>
      <c r="E175" s="4">
        <f>VLOOKUP(A175, output_exiobase_v3.10.2_EXIO_IOT_2019_pxp_Y_production_footprint_EU27[], 2, FALSE)</f>
        <v>72881.588390798323</v>
      </c>
      <c r="F175" s="4">
        <f>VLOOKUP(A175, output_exiobase_v3.10.2_EXIO_IOT_2019_pxp_Z_production_footprint_EU27[], 2, FALSE)</f>
        <v>503970374.94384652</v>
      </c>
      <c r="G175" s="35">
        <f t="shared" si="17"/>
        <v>8.2181720776880064E-3</v>
      </c>
      <c r="H175" s="1">
        <f t="shared" si="18"/>
        <v>0.99178182792231206</v>
      </c>
    </row>
    <row r="176" spans="1:8" x14ac:dyDescent="0.3">
      <c r="A176" s="9" t="s">
        <v>127</v>
      </c>
      <c r="B176" s="29">
        <f t="shared" si="19"/>
        <v>490100658.35169864</v>
      </c>
      <c r="C176" s="4">
        <f>VLOOKUP(A176,  output_exiobase_v3.10.2_EXIO_IOT_2019_pxp_Y_imports_footprint_EU27[], 2, FALSE)</f>
        <v>8592443.3681513388</v>
      </c>
      <c r="D176" s="4">
        <f>VLOOKUP(A176, output_exiobase_v3.10.2_EXIO_IOT_2019_pxp_Z_imports_footprint_EU27[], 2, FALSE)</f>
        <v>169854130.03023872</v>
      </c>
      <c r="E176" s="4">
        <f>VLOOKUP(A176, output_exiobase_v3.10.2_EXIO_IOT_2019_pxp_Y_production_footprint_EU27[], 2, FALSE)</f>
        <v>14139508.088958878</v>
      </c>
      <c r="F176" s="4">
        <f>VLOOKUP(A176, output_exiobase_v3.10.2_EXIO_IOT_2019_pxp_Z_production_footprint_EU27[], 2, FALSE)</f>
        <v>297514576.86434966</v>
      </c>
      <c r="G176" s="35">
        <f t="shared" si="17"/>
        <v>0.36410188469964455</v>
      </c>
      <c r="H176" s="1">
        <f t="shared" si="18"/>
        <v>0.63589811530035534</v>
      </c>
    </row>
    <row r="177" spans="1:8" x14ac:dyDescent="0.3">
      <c r="A177" s="9" t="s">
        <v>28</v>
      </c>
      <c r="B177" s="29">
        <f t="shared" si="19"/>
        <v>468903473.72774261</v>
      </c>
      <c r="C177" s="4">
        <f>VLOOKUP(A177,  output_exiobase_v3.10.2_EXIO_IOT_2019_pxp_Y_imports_footprint_EU27[], 2, FALSE)</f>
        <v>89761.575759883097</v>
      </c>
      <c r="D177" s="4">
        <f>VLOOKUP(A177, output_exiobase_v3.10.2_EXIO_IOT_2019_pxp_Z_imports_footprint_EU27[], 2, FALSE)</f>
        <v>2297927.7382276971</v>
      </c>
      <c r="E177" s="4">
        <f>VLOOKUP(A177, output_exiobase_v3.10.2_EXIO_IOT_2019_pxp_Y_production_footprint_EU27[], 2, FALSE)</f>
        <v>80052452.900128111</v>
      </c>
      <c r="F177" s="4">
        <f>VLOOKUP(A177, output_exiobase_v3.10.2_EXIO_IOT_2019_pxp_Z_production_footprint_EU27[], 2, FALSE)</f>
        <v>386463331.51362693</v>
      </c>
    </row>
    <row r="178" spans="1:8" x14ac:dyDescent="0.3">
      <c r="A178" s="9" t="s">
        <v>69</v>
      </c>
      <c r="B178" s="29">
        <f t="shared" si="19"/>
        <v>430940799.46980155</v>
      </c>
      <c r="C178" s="4">
        <f>VLOOKUP(A178,  output_exiobase_v3.10.2_EXIO_IOT_2019_pxp_Y_imports_footprint_EU27[], 2, FALSE)</f>
        <v>3736.8924356290149</v>
      </c>
      <c r="D178" s="4">
        <f>VLOOKUP(A178, output_exiobase_v3.10.2_EXIO_IOT_2019_pxp_Z_imports_footprint_EU27[], 2, FALSE)</f>
        <v>18814.413109665478</v>
      </c>
      <c r="E178" s="4">
        <f>VLOOKUP(A178, output_exiobase_v3.10.2_EXIO_IOT_2019_pxp_Y_production_footprint_EU27[], 2, FALSE)</f>
        <v>950022.72457695391</v>
      </c>
      <c r="F178" s="4">
        <f>VLOOKUP(A178, output_exiobase_v3.10.2_EXIO_IOT_2019_pxp_Z_production_footprint_EU27[], 2, FALSE)</f>
        <v>429968225.43967932</v>
      </c>
    </row>
    <row r="179" spans="1:8" x14ac:dyDescent="0.3">
      <c r="A179" s="9" t="s">
        <v>109</v>
      </c>
      <c r="B179" s="29">
        <f t="shared" si="19"/>
        <v>347227764.48936498</v>
      </c>
      <c r="C179" s="4">
        <f>VLOOKUP(A179,  output_exiobase_v3.10.2_EXIO_IOT_2019_pxp_Y_imports_footprint_EU27[], 2, FALSE)</f>
        <v>2161.6338706493657</v>
      </c>
      <c r="D179" s="4">
        <f>VLOOKUP(A179, output_exiobase_v3.10.2_EXIO_IOT_2019_pxp_Z_imports_footprint_EU27[], 2, FALSE)</f>
        <v>30856.747242083529</v>
      </c>
      <c r="E179" s="4">
        <f>VLOOKUP(A179, output_exiobase_v3.10.2_EXIO_IOT_2019_pxp_Y_production_footprint_EU27[], 2, FALSE)</f>
        <v>1036701.5243051838</v>
      </c>
      <c r="F179" s="4">
        <f>VLOOKUP(A179, output_exiobase_v3.10.2_EXIO_IOT_2019_pxp_Z_production_footprint_EU27[], 2, FALSE)</f>
        <v>346158044.58394706</v>
      </c>
      <c r="G179" s="35">
        <f t="shared" ref="G179:G209" si="20">(C179+D179)/B179</f>
        <v>9.5091419781162672E-5</v>
      </c>
      <c r="H179" s="1">
        <f t="shared" ref="H179:H209" si="21">(E179+F179)/B179</f>
        <v>0.99990490858021874</v>
      </c>
    </row>
    <row r="180" spans="1:8" x14ac:dyDescent="0.3">
      <c r="A180" s="9" t="s">
        <v>54</v>
      </c>
      <c r="B180" s="29">
        <f t="shared" si="19"/>
        <v>289756874.71230865</v>
      </c>
      <c r="C180" s="4">
        <f>VLOOKUP(A180,  output_exiobase_v3.10.2_EXIO_IOT_2019_pxp_Y_imports_footprint_EU27[], 2, FALSE)</f>
        <v>28988074.451488465</v>
      </c>
      <c r="D180" s="4">
        <f>VLOOKUP(A180, output_exiobase_v3.10.2_EXIO_IOT_2019_pxp_Z_imports_footprint_EU27[], 2, FALSE)</f>
        <v>259057092.8168447</v>
      </c>
      <c r="E180" s="4">
        <f>VLOOKUP(A180, output_exiobase_v3.10.2_EXIO_IOT_2019_pxp_Y_production_footprint_EU27[], 2, FALSE)</f>
        <v>150073.07853287572</v>
      </c>
      <c r="F180" s="4">
        <f>VLOOKUP(A180, output_exiobase_v3.10.2_EXIO_IOT_2019_pxp_Z_production_footprint_EU27[], 2, FALSE)</f>
        <v>1561634.3654425861</v>
      </c>
      <c r="G180" s="35">
        <f t="shared" si="20"/>
        <v>0.99409260799877497</v>
      </c>
      <c r="H180" s="1">
        <f t="shared" si="21"/>
        <v>5.9073920012250531E-3</v>
      </c>
    </row>
    <row r="181" spans="1:8" x14ac:dyDescent="0.3">
      <c r="A181" s="9" t="s">
        <v>53</v>
      </c>
      <c r="B181" s="29">
        <f t="shared" si="19"/>
        <v>281910920.31086022</v>
      </c>
      <c r="C181" s="4">
        <f>VLOOKUP(A181,  output_exiobase_v3.10.2_EXIO_IOT_2019_pxp_Y_imports_footprint_EU27[], 2, FALSE)</f>
        <v>62048.449750555708</v>
      </c>
      <c r="D181" s="4">
        <f>VLOOKUP(A181, output_exiobase_v3.10.2_EXIO_IOT_2019_pxp_Z_imports_footprint_EU27[], 2, FALSE)</f>
        <v>306802.14559252548</v>
      </c>
      <c r="E181" s="4">
        <f>VLOOKUP(A181, output_exiobase_v3.10.2_EXIO_IOT_2019_pxp_Y_production_footprint_EU27[], 2, FALSE)</f>
        <v>28975393.11847721</v>
      </c>
      <c r="F181" s="4">
        <f>VLOOKUP(A181, output_exiobase_v3.10.2_EXIO_IOT_2019_pxp_Z_production_footprint_EU27[], 2, FALSE)</f>
        <v>252566676.59703991</v>
      </c>
      <c r="G181" s="35">
        <f t="shared" si="20"/>
        <v>1.3083941371847302E-3</v>
      </c>
      <c r="H181" s="1">
        <f t="shared" si="21"/>
        <v>0.99869160586281513</v>
      </c>
    </row>
    <row r="182" spans="1:8" x14ac:dyDescent="0.3">
      <c r="A182" s="9" t="s">
        <v>125</v>
      </c>
      <c r="B182" s="29">
        <f t="shared" si="19"/>
        <v>239539749.51032901</v>
      </c>
      <c r="C182" s="4">
        <f>VLOOKUP(A182,  output_exiobase_v3.10.2_EXIO_IOT_2019_pxp_Y_imports_footprint_EU27[], 2, FALSE)</f>
        <v>4332.4950004976827</v>
      </c>
      <c r="D182" s="4">
        <f>VLOOKUP(A182, output_exiobase_v3.10.2_EXIO_IOT_2019_pxp_Z_imports_footprint_EU27[], 2, FALSE)</f>
        <v>397532.55103650526</v>
      </c>
      <c r="E182" s="4">
        <f>VLOOKUP(A182, output_exiobase_v3.10.2_EXIO_IOT_2019_pxp_Y_production_footprint_EU27[], 2, FALSE)</f>
        <v>66543053.956500009</v>
      </c>
      <c r="F182" s="4">
        <f>VLOOKUP(A182, output_exiobase_v3.10.2_EXIO_IOT_2019_pxp_Z_production_footprint_EU27[], 2, FALSE)</f>
        <v>172594830.507792</v>
      </c>
      <c r="G182" s="35">
        <f t="shared" si="20"/>
        <v>1.6776549481182222E-3</v>
      </c>
      <c r="H182" s="1">
        <f t="shared" si="21"/>
        <v>0.99832234505188167</v>
      </c>
    </row>
    <row r="183" spans="1:8" x14ac:dyDescent="0.3">
      <c r="A183" s="9" t="s">
        <v>4</v>
      </c>
      <c r="B183" s="29">
        <f t="shared" si="19"/>
        <v>173102547.54997149</v>
      </c>
      <c r="C183" s="4">
        <f>VLOOKUP(A183,  output_exiobase_v3.10.2_EXIO_IOT_2019_pxp_Y_imports_footprint_EU27[], 2, FALSE)</f>
        <v>6432793.6532471748</v>
      </c>
      <c r="D183" s="4">
        <f>VLOOKUP(A183, output_exiobase_v3.10.2_EXIO_IOT_2019_pxp_Z_imports_footprint_EU27[], 2, FALSE)</f>
        <v>9520573.5084815789</v>
      </c>
      <c r="E183" s="4">
        <f>VLOOKUP(A183, output_exiobase_v3.10.2_EXIO_IOT_2019_pxp_Y_production_footprint_EU27[], 2, FALSE)</f>
        <v>1384348.7518199603</v>
      </c>
      <c r="F183" s="4">
        <f>VLOOKUP(A183, output_exiobase_v3.10.2_EXIO_IOT_2019_pxp_Z_production_footprint_EU27[], 2, FALSE)</f>
        <v>155764831.63642278</v>
      </c>
      <c r="G183" s="35">
        <f t="shared" si="20"/>
        <v>9.2161365546184773E-2</v>
      </c>
      <c r="H183" s="1">
        <f t="shared" si="21"/>
        <v>0.9078386344538153</v>
      </c>
    </row>
    <row r="184" spans="1:8" x14ac:dyDescent="0.3">
      <c r="A184" s="9" t="s">
        <v>129</v>
      </c>
      <c r="B184" s="29">
        <f t="shared" si="19"/>
        <v>143533025.08356327</v>
      </c>
      <c r="C184" s="4">
        <f>VLOOKUP(A184,  output_exiobase_v3.10.2_EXIO_IOT_2019_pxp_Y_imports_footprint_EU27[], 2, FALSE)</f>
        <v>9840276.361430306</v>
      </c>
      <c r="D184" s="4">
        <f>VLOOKUP(A184, output_exiobase_v3.10.2_EXIO_IOT_2019_pxp_Z_imports_footprint_EU27[], 2, FALSE)</f>
        <v>22937311.418066014</v>
      </c>
      <c r="E184" s="4">
        <f>VLOOKUP(A184, output_exiobase_v3.10.2_EXIO_IOT_2019_pxp_Y_production_footprint_EU27[], 2, FALSE)</f>
        <v>10957728.043311369</v>
      </c>
      <c r="F184" s="4">
        <f>VLOOKUP(A184, output_exiobase_v3.10.2_EXIO_IOT_2019_pxp_Z_production_footprint_EU27[], 2, FALSE)</f>
        <v>99797709.260755569</v>
      </c>
      <c r="G184" s="35">
        <f t="shared" si="20"/>
        <v>0.2283626904708069</v>
      </c>
      <c r="H184" s="1">
        <f t="shared" si="21"/>
        <v>0.77163730952919307</v>
      </c>
    </row>
    <row r="185" spans="1:8" x14ac:dyDescent="0.3">
      <c r="A185" s="9" t="s">
        <v>42</v>
      </c>
      <c r="B185" s="29">
        <f t="shared" si="19"/>
        <v>104620591.09117767</v>
      </c>
      <c r="C185" s="4">
        <f>VLOOKUP(A185,  output_exiobase_v3.10.2_EXIO_IOT_2019_pxp_Y_imports_footprint_EU27[], 2, FALSE)</f>
        <v>5265721.3436672268</v>
      </c>
      <c r="D185" s="4">
        <f>VLOOKUP(A185, output_exiobase_v3.10.2_EXIO_IOT_2019_pxp_Z_imports_footprint_EU27[], 2, FALSE)</f>
        <v>23661721.112870395</v>
      </c>
      <c r="E185" s="4">
        <f>VLOOKUP(A185, output_exiobase_v3.10.2_EXIO_IOT_2019_pxp_Y_production_footprint_EU27[], 2, FALSE)</f>
        <v>11455035.659437459</v>
      </c>
      <c r="F185" s="4">
        <f>VLOOKUP(A185, output_exiobase_v3.10.2_EXIO_IOT_2019_pxp_Z_production_footprint_EU27[], 2, FALSE)</f>
        <v>64238112.975202598</v>
      </c>
      <c r="G185" s="35">
        <f t="shared" si="20"/>
        <v>0.27649855687899078</v>
      </c>
      <c r="H185" s="1">
        <f t="shared" si="21"/>
        <v>0.72350144312100928</v>
      </c>
    </row>
    <row r="186" spans="1:8" x14ac:dyDescent="0.3">
      <c r="A186" s="9" t="s">
        <v>119</v>
      </c>
      <c r="B186" s="29">
        <f t="shared" si="19"/>
        <v>51130465.020864762</v>
      </c>
      <c r="C186" s="4">
        <f>VLOOKUP(A186,  output_exiobase_v3.10.2_EXIO_IOT_2019_pxp_Y_imports_footprint_EU27[], 2, FALSE)</f>
        <v>1.6973578292085187E-3</v>
      </c>
      <c r="D186" s="4">
        <f>VLOOKUP(A186, output_exiobase_v3.10.2_EXIO_IOT_2019_pxp_Z_imports_footprint_EU27[], 2, FALSE)</f>
        <v>17796.840223080049</v>
      </c>
      <c r="E186" s="4">
        <f>VLOOKUP(A186, output_exiobase_v3.10.2_EXIO_IOT_2019_pxp_Y_production_footprint_EU27[], 2, FALSE)</f>
        <v>196938.42157712759</v>
      </c>
      <c r="F186" s="4">
        <f>VLOOKUP(A186, output_exiobase_v3.10.2_EXIO_IOT_2019_pxp_Z_production_footprint_EU27[], 2, FALSE)</f>
        <v>50915729.757367194</v>
      </c>
      <c r="G186" s="35">
        <f t="shared" si="20"/>
        <v>3.4806728069411332E-4</v>
      </c>
      <c r="H186" s="1">
        <f t="shared" si="21"/>
        <v>0.99965193271930575</v>
      </c>
    </row>
    <row r="187" spans="1:8" x14ac:dyDescent="0.3">
      <c r="A187" s="9" t="s">
        <v>123</v>
      </c>
      <c r="B187" s="29">
        <f t="shared" si="19"/>
        <v>38824646.584008761</v>
      </c>
      <c r="C187" s="4">
        <f>VLOOKUP(A187,  output_exiobase_v3.10.2_EXIO_IOT_2019_pxp_Y_imports_footprint_EU27[], 2, FALSE)</f>
        <v>19108.492262174161</v>
      </c>
      <c r="D187" s="4">
        <f>VLOOKUP(A187, output_exiobase_v3.10.2_EXIO_IOT_2019_pxp_Z_imports_footprint_EU27[], 2, FALSE)</f>
        <v>256159.47282817887</v>
      </c>
      <c r="E187" s="4">
        <f>VLOOKUP(A187, output_exiobase_v3.10.2_EXIO_IOT_2019_pxp_Y_production_footprint_EU27[], 2, FALSE)</f>
        <v>7476146.8576765014</v>
      </c>
      <c r="F187" s="4">
        <f>VLOOKUP(A187, output_exiobase_v3.10.2_EXIO_IOT_2019_pxp_Z_production_footprint_EU27[], 2, FALSE)</f>
        <v>31073231.761241909</v>
      </c>
      <c r="G187" s="35">
        <f t="shared" si="20"/>
        <v>7.090031444194303E-3</v>
      </c>
      <c r="H187" s="1">
        <f t="shared" si="21"/>
        <v>0.99290996855580582</v>
      </c>
    </row>
    <row r="188" spans="1:8" x14ac:dyDescent="0.3">
      <c r="A188" s="9" t="s">
        <v>50</v>
      </c>
      <c r="B188" s="29">
        <f t="shared" si="19"/>
        <v>32595464.272246484</v>
      </c>
      <c r="C188" s="4">
        <f>VLOOKUP(A188,  output_exiobase_v3.10.2_EXIO_IOT_2019_pxp_Y_imports_footprint_EU27[], 2, FALSE)</f>
        <v>0</v>
      </c>
      <c r="D188" s="4">
        <f>VLOOKUP(A188, output_exiobase_v3.10.2_EXIO_IOT_2019_pxp_Z_imports_footprint_EU27[], 2, FALSE)</f>
        <v>355747.31026767311</v>
      </c>
      <c r="E188" s="4">
        <f>VLOOKUP(A188, output_exiobase_v3.10.2_EXIO_IOT_2019_pxp_Y_production_footprint_EU27[], 2, FALSE)</f>
        <v>4245956.6279182043</v>
      </c>
      <c r="F188" s="4">
        <f>VLOOKUP(A188, output_exiobase_v3.10.2_EXIO_IOT_2019_pxp_Z_production_footprint_EU27[], 2, FALSE)</f>
        <v>27993760.334060606</v>
      </c>
      <c r="G188" s="35">
        <f t="shared" si="20"/>
        <v>1.0914012676621862E-2</v>
      </c>
      <c r="H188" s="1">
        <f t="shared" si="21"/>
        <v>0.98908598732337805</v>
      </c>
    </row>
    <row r="189" spans="1:8" x14ac:dyDescent="0.3">
      <c r="A189" s="9" t="s">
        <v>128</v>
      </c>
      <c r="B189" s="29">
        <f t="shared" si="19"/>
        <v>26396847.158142567</v>
      </c>
      <c r="C189" s="4">
        <f>VLOOKUP(A189,  output_exiobase_v3.10.2_EXIO_IOT_2019_pxp_Y_imports_footprint_EU27[], 2, FALSE)</f>
        <v>1257694.8822168796</v>
      </c>
      <c r="D189" s="4">
        <f>VLOOKUP(A189, output_exiobase_v3.10.2_EXIO_IOT_2019_pxp_Z_imports_footprint_EU27[], 2, FALSE)</f>
        <v>21464111.395216569</v>
      </c>
      <c r="E189" s="4">
        <f>VLOOKUP(A189, output_exiobase_v3.10.2_EXIO_IOT_2019_pxp_Y_production_footprint_EU27[], 2, FALSE)</f>
        <v>1055099.2592049225</v>
      </c>
      <c r="F189" s="4">
        <f>VLOOKUP(A189, output_exiobase_v3.10.2_EXIO_IOT_2019_pxp_Z_production_footprint_EU27[], 2, FALSE)</f>
        <v>2619941.6215041969</v>
      </c>
      <c r="G189" s="35">
        <f t="shared" si="20"/>
        <v>0.86077727924505221</v>
      </c>
      <c r="H189" s="1">
        <f t="shared" si="21"/>
        <v>0.13922272075494777</v>
      </c>
    </row>
    <row r="190" spans="1:8" x14ac:dyDescent="0.3">
      <c r="A190" s="9" t="s">
        <v>51</v>
      </c>
      <c r="B190" s="29">
        <f t="shared" si="19"/>
        <v>8383539.6795076225</v>
      </c>
      <c r="C190" s="4">
        <f>VLOOKUP(A190,  output_exiobase_v3.10.2_EXIO_IOT_2019_pxp_Y_imports_footprint_EU27[], 2, FALSE)</f>
        <v>8500.8186439228321</v>
      </c>
      <c r="D190" s="4">
        <f>VLOOKUP(A190, output_exiobase_v3.10.2_EXIO_IOT_2019_pxp_Z_imports_footprint_EU27[], 2, FALSE)</f>
        <v>14073.183577928196</v>
      </c>
      <c r="E190" s="4">
        <f>VLOOKUP(A190, output_exiobase_v3.10.2_EXIO_IOT_2019_pxp_Y_production_footprint_EU27[], 2, FALSE)</f>
        <v>2867376.9465601714</v>
      </c>
      <c r="F190" s="4">
        <f>VLOOKUP(A190, output_exiobase_v3.10.2_EXIO_IOT_2019_pxp_Z_production_footprint_EU27[], 2, FALSE)</f>
        <v>5493588.7307255995</v>
      </c>
      <c r="G190" s="35">
        <f t="shared" si="20"/>
        <v>2.6926576463912953E-3</v>
      </c>
      <c r="H190" s="1">
        <f t="shared" si="21"/>
        <v>0.99730734235360863</v>
      </c>
    </row>
    <row r="191" spans="1:8" x14ac:dyDescent="0.3">
      <c r="A191" s="9" t="s">
        <v>189</v>
      </c>
      <c r="B191" s="29">
        <f t="shared" si="19"/>
        <v>6877064.0944249146</v>
      </c>
      <c r="C191" s="4">
        <f>VLOOKUP(A191,  output_exiobase_v3.10.2_EXIO_IOT_2019_pxp_Y_imports_footprint_EU27[], 2, FALSE)</f>
        <v>0</v>
      </c>
      <c r="D191" s="4">
        <f>VLOOKUP(A191, output_exiobase_v3.10.2_EXIO_IOT_2019_pxp_Z_imports_footprint_EU27[], 2, FALSE)</f>
        <v>0</v>
      </c>
      <c r="E191" s="4">
        <f>VLOOKUP(A191, output_exiobase_v3.10.2_EXIO_IOT_2019_pxp_Y_production_footprint_EU27[], 2, FALSE)</f>
        <v>2170917.2498894562</v>
      </c>
      <c r="F191" s="4">
        <f>VLOOKUP(A191, output_exiobase_v3.10.2_EXIO_IOT_2019_pxp_Z_production_footprint_EU27[], 2, FALSE)</f>
        <v>4706146.8445354588</v>
      </c>
      <c r="G191" s="35">
        <f t="shared" si="20"/>
        <v>0</v>
      </c>
      <c r="H191" s="1">
        <f t="shared" si="21"/>
        <v>1</v>
      </c>
    </row>
    <row r="192" spans="1:8" x14ac:dyDescent="0.3">
      <c r="A192" s="9" t="s">
        <v>17</v>
      </c>
      <c r="B192" s="29">
        <f t="shared" si="19"/>
        <v>0</v>
      </c>
      <c r="C192" s="4">
        <f>VLOOKUP(A192,  output_exiobase_v3.10.2_EXIO_IOT_2019_pxp_Y_imports_footprint_EU27[], 2, FALSE)</f>
        <v>0</v>
      </c>
      <c r="D192" s="4">
        <f>VLOOKUP(A192, output_exiobase_v3.10.2_EXIO_IOT_2019_pxp_Z_imports_footprint_EU27[], 2, FALSE)</f>
        <v>0</v>
      </c>
      <c r="E192" s="4">
        <f>VLOOKUP(A192, output_exiobase_v3.10.2_EXIO_IOT_2019_pxp_Y_production_footprint_EU27[], 2, FALSE)</f>
        <v>0</v>
      </c>
      <c r="F192" s="4">
        <f>VLOOKUP(A192, output_exiobase_v3.10.2_EXIO_IOT_2019_pxp_Z_production_footprint_EU27[], 2, FALSE)</f>
        <v>0</v>
      </c>
      <c r="G192" s="35" t="e">
        <f t="shared" si="20"/>
        <v>#DIV/0!</v>
      </c>
      <c r="H192" s="1" t="e">
        <f t="shared" si="21"/>
        <v>#DIV/0!</v>
      </c>
    </row>
    <row r="193" spans="1:8" x14ac:dyDescent="0.3">
      <c r="A193" s="9" t="s">
        <v>165</v>
      </c>
      <c r="B193" s="29">
        <f t="shared" si="19"/>
        <v>0</v>
      </c>
      <c r="C193" s="4">
        <f>VLOOKUP(A193,  output_exiobase_v3.10.2_EXIO_IOT_2019_pxp_Y_imports_footprint_EU27[], 2, FALSE)</f>
        <v>0</v>
      </c>
      <c r="D193" s="4">
        <f>VLOOKUP(A193, output_exiobase_v3.10.2_EXIO_IOT_2019_pxp_Z_imports_footprint_EU27[], 2, FALSE)</f>
        <v>0</v>
      </c>
      <c r="E193" s="4">
        <f>VLOOKUP(A193, output_exiobase_v3.10.2_EXIO_IOT_2019_pxp_Y_production_footprint_EU27[], 2, FALSE)</f>
        <v>0</v>
      </c>
      <c r="F193" s="4">
        <f>VLOOKUP(A193, output_exiobase_v3.10.2_EXIO_IOT_2019_pxp_Z_production_footprint_EU27[], 2, FALSE)</f>
        <v>0</v>
      </c>
      <c r="G193" s="35" t="e">
        <f t="shared" si="20"/>
        <v>#DIV/0!</v>
      </c>
      <c r="H193" s="1" t="e">
        <f t="shared" si="21"/>
        <v>#DIV/0!</v>
      </c>
    </row>
    <row r="194" spans="1:8" x14ac:dyDescent="0.3">
      <c r="A194" s="9" t="s">
        <v>7</v>
      </c>
      <c r="B194" s="29">
        <f t="shared" si="19"/>
        <v>0</v>
      </c>
      <c r="C194" s="4">
        <f>VLOOKUP(A194,  output_exiobase_v3.10.2_EXIO_IOT_2019_pxp_Y_imports_footprint_EU27[], 2, FALSE)</f>
        <v>0</v>
      </c>
      <c r="D194" s="4">
        <f>VLOOKUP(A194, output_exiobase_v3.10.2_EXIO_IOT_2019_pxp_Z_imports_footprint_EU27[], 2, FALSE)</f>
        <v>0</v>
      </c>
      <c r="E194" s="4">
        <f>VLOOKUP(A194, output_exiobase_v3.10.2_EXIO_IOT_2019_pxp_Y_production_footprint_EU27[], 2, FALSE)</f>
        <v>0</v>
      </c>
      <c r="F194" s="4">
        <f>VLOOKUP(A194, output_exiobase_v3.10.2_EXIO_IOT_2019_pxp_Z_production_footprint_EU27[], 2, FALSE)</f>
        <v>0</v>
      </c>
      <c r="G194" s="35" t="e">
        <f t="shared" si="20"/>
        <v>#DIV/0!</v>
      </c>
      <c r="H194" s="1" t="e">
        <f t="shared" si="21"/>
        <v>#DIV/0!</v>
      </c>
    </row>
    <row r="195" spans="1:8" x14ac:dyDescent="0.3">
      <c r="A195" s="9" t="s">
        <v>167</v>
      </c>
      <c r="B195" s="29">
        <f t="shared" si="19"/>
        <v>0</v>
      </c>
      <c r="C195" s="4">
        <f>VLOOKUP(A195,  output_exiobase_v3.10.2_EXIO_IOT_2019_pxp_Y_imports_footprint_EU27[], 2, FALSE)</f>
        <v>0</v>
      </c>
      <c r="D195" s="4">
        <f>VLOOKUP(A195, output_exiobase_v3.10.2_EXIO_IOT_2019_pxp_Z_imports_footprint_EU27[], 2, FALSE)</f>
        <v>0</v>
      </c>
      <c r="E195" s="4">
        <f>VLOOKUP(A195, output_exiobase_v3.10.2_EXIO_IOT_2019_pxp_Y_production_footprint_EU27[], 2, FALSE)</f>
        <v>0</v>
      </c>
      <c r="F195" s="4">
        <f>VLOOKUP(A195, output_exiobase_v3.10.2_EXIO_IOT_2019_pxp_Z_production_footprint_EU27[], 2, FALSE)</f>
        <v>0</v>
      </c>
      <c r="G195" s="35" t="e">
        <f t="shared" si="20"/>
        <v>#DIV/0!</v>
      </c>
      <c r="H195" s="1" t="e">
        <f t="shared" si="21"/>
        <v>#DIV/0!</v>
      </c>
    </row>
    <row r="196" spans="1:8" x14ac:dyDescent="0.3">
      <c r="A196" s="9" t="s">
        <v>174</v>
      </c>
      <c r="B196" s="29">
        <f t="shared" si="19"/>
        <v>0</v>
      </c>
      <c r="C196" s="4">
        <f>VLOOKUP(A196,  output_exiobase_v3.10.2_EXIO_IOT_2019_pxp_Y_imports_footprint_EU27[], 2, FALSE)</f>
        <v>0</v>
      </c>
      <c r="D196" s="4">
        <f>VLOOKUP(A196, output_exiobase_v3.10.2_EXIO_IOT_2019_pxp_Z_imports_footprint_EU27[], 2, FALSE)</f>
        <v>0</v>
      </c>
      <c r="E196" s="4">
        <f>VLOOKUP(A196, output_exiobase_v3.10.2_EXIO_IOT_2019_pxp_Y_production_footprint_EU27[], 2, FALSE)</f>
        <v>0</v>
      </c>
      <c r="F196" s="4">
        <f>VLOOKUP(A196, output_exiobase_v3.10.2_EXIO_IOT_2019_pxp_Z_production_footprint_EU27[], 2, FALSE)</f>
        <v>0</v>
      </c>
      <c r="G196" s="35" t="e">
        <f t="shared" si="20"/>
        <v>#DIV/0!</v>
      </c>
      <c r="H196" s="1" t="e">
        <f t="shared" si="21"/>
        <v>#DIV/0!</v>
      </c>
    </row>
    <row r="197" spans="1:8" x14ac:dyDescent="0.3">
      <c r="A197" s="9" t="s">
        <v>164</v>
      </c>
      <c r="B197" s="29">
        <f t="shared" si="19"/>
        <v>0</v>
      </c>
      <c r="C197" s="4">
        <f>VLOOKUP(A197,  output_exiobase_v3.10.2_EXIO_IOT_2019_pxp_Y_imports_footprint_EU27[], 2, FALSE)</f>
        <v>0</v>
      </c>
      <c r="D197" s="4">
        <f>VLOOKUP(A197, output_exiobase_v3.10.2_EXIO_IOT_2019_pxp_Z_imports_footprint_EU27[], 2, FALSE)</f>
        <v>0</v>
      </c>
      <c r="E197" s="4">
        <f>VLOOKUP(A197, output_exiobase_v3.10.2_EXIO_IOT_2019_pxp_Y_production_footprint_EU27[], 2, FALSE)</f>
        <v>0</v>
      </c>
      <c r="F197" s="4">
        <f>VLOOKUP(A197, output_exiobase_v3.10.2_EXIO_IOT_2019_pxp_Z_production_footprint_EU27[], 2, FALSE)</f>
        <v>0</v>
      </c>
      <c r="G197" s="35" t="e">
        <f t="shared" si="20"/>
        <v>#DIV/0!</v>
      </c>
      <c r="H197" s="1" t="e">
        <f t="shared" si="21"/>
        <v>#DIV/0!</v>
      </c>
    </row>
    <row r="198" spans="1:8" x14ac:dyDescent="0.3">
      <c r="A198" s="9" t="s">
        <v>169</v>
      </c>
      <c r="B198" s="29">
        <f t="shared" si="19"/>
        <v>0</v>
      </c>
      <c r="C198" s="4">
        <f>VLOOKUP(A198,  output_exiobase_v3.10.2_EXIO_IOT_2019_pxp_Y_imports_footprint_EU27[], 2, FALSE)</f>
        <v>0</v>
      </c>
      <c r="D198" s="4">
        <f>VLOOKUP(A198, output_exiobase_v3.10.2_EXIO_IOT_2019_pxp_Z_imports_footprint_EU27[], 2, FALSE)</f>
        <v>0</v>
      </c>
      <c r="E198" s="4">
        <f>VLOOKUP(A198, output_exiobase_v3.10.2_EXIO_IOT_2019_pxp_Y_production_footprint_EU27[], 2, FALSE)</f>
        <v>0</v>
      </c>
      <c r="F198" s="4">
        <f>VLOOKUP(A198, output_exiobase_v3.10.2_EXIO_IOT_2019_pxp_Z_production_footprint_EU27[], 2, FALSE)</f>
        <v>0</v>
      </c>
      <c r="G198" s="35" t="e">
        <f t="shared" si="20"/>
        <v>#DIV/0!</v>
      </c>
      <c r="H198" s="1" t="e">
        <f t="shared" si="21"/>
        <v>#DIV/0!</v>
      </c>
    </row>
    <row r="199" spans="1:8" x14ac:dyDescent="0.3">
      <c r="A199" s="9" t="s">
        <v>168</v>
      </c>
      <c r="B199" s="29">
        <f t="shared" si="19"/>
        <v>0</v>
      </c>
      <c r="C199" s="4">
        <f>VLOOKUP(A199,  output_exiobase_v3.10.2_EXIO_IOT_2019_pxp_Y_imports_footprint_EU27[], 2, FALSE)</f>
        <v>0</v>
      </c>
      <c r="D199" s="4">
        <f>VLOOKUP(A199, output_exiobase_v3.10.2_EXIO_IOT_2019_pxp_Z_imports_footprint_EU27[], 2, FALSE)</f>
        <v>0</v>
      </c>
      <c r="E199" s="4">
        <f>VLOOKUP(A199, output_exiobase_v3.10.2_EXIO_IOT_2019_pxp_Y_production_footprint_EU27[], 2, FALSE)</f>
        <v>0</v>
      </c>
      <c r="F199" s="4">
        <f>VLOOKUP(A199, output_exiobase_v3.10.2_EXIO_IOT_2019_pxp_Z_production_footprint_EU27[], 2, FALSE)</f>
        <v>0</v>
      </c>
      <c r="G199" s="35" t="e">
        <f t="shared" si="20"/>
        <v>#DIV/0!</v>
      </c>
      <c r="H199" s="1" t="e">
        <f t="shared" si="21"/>
        <v>#DIV/0!</v>
      </c>
    </row>
    <row r="200" spans="1:8" x14ac:dyDescent="0.3">
      <c r="A200" s="9" t="s">
        <v>166</v>
      </c>
      <c r="B200" s="29">
        <f t="shared" si="19"/>
        <v>0</v>
      </c>
      <c r="C200" s="4">
        <f>VLOOKUP(A200,  output_exiobase_v3.10.2_EXIO_IOT_2019_pxp_Y_imports_footprint_EU27[], 2, FALSE)</f>
        <v>0</v>
      </c>
      <c r="D200" s="4">
        <f>VLOOKUP(A200, output_exiobase_v3.10.2_EXIO_IOT_2019_pxp_Z_imports_footprint_EU27[], 2, FALSE)</f>
        <v>0</v>
      </c>
      <c r="E200" s="4">
        <f>VLOOKUP(A200, output_exiobase_v3.10.2_EXIO_IOT_2019_pxp_Y_production_footprint_EU27[], 2, FALSE)</f>
        <v>0</v>
      </c>
      <c r="F200" s="4">
        <f>VLOOKUP(A200, output_exiobase_v3.10.2_EXIO_IOT_2019_pxp_Z_production_footprint_EU27[], 2, FALSE)</f>
        <v>0</v>
      </c>
      <c r="G200" s="35" t="e">
        <f t="shared" si="20"/>
        <v>#DIV/0!</v>
      </c>
      <c r="H200" s="1" t="e">
        <f t="shared" si="21"/>
        <v>#DIV/0!</v>
      </c>
    </row>
    <row r="201" spans="1:8" x14ac:dyDescent="0.3">
      <c r="A201" s="9" t="s">
        <v>172</v>
      </c>
      <c r="B201" s="29">
        <f t="shared" si="19"/>
        <v>0</v>
      </c>
      <c r="C201" s="4">
        <f>VLOOKUP(A201,  output_exiobase_v3.10.2_EXIO_IOT_2019_pxp_Y_imports_footprint_EU27[], 2, FALSE)</f>
        <v>0</v>
      </c>
      <c r="D201" s="4">
        <f>VLOOKUP(A201, output_exiobase_v3.10.2_EXIO_IOT_2019_pxp_Z_imports_footprint_EU27[], 2, FALSE)</f>
        <v>0</v>
      </c>
      <c r="E201" s="4">
        <f>VLOOKUP(A201, output_exiobase_v3.10.2_EXIO_IOT_2019_pxp_Y_production_footprint_EU27[], 2, FALSE)</f>
        <v>0</v>
      </c>
      <c r="F201" s="4">
        <f>VLOOKUP(A201, output_exiobase_v3.10.2_EXIO_IOT_2019_pxp_Z_production_footprint_EU27[], 2, FALSE)</f>
        <v>0</v>
      </c>
      <c r="G201" s="35" t="e">
        <f t="shared" si="20"/>
        <v>#DIV/0!</v>
      </c>
      <c r="H201" s="1" t="e">
        <f t="shared" si="21"/>
        <v>#DIV/0!</v>
      </c>
    </row>
    <row r="202" spans="1:8" x14ac:dyDescent="0.3">
      <c r="A202" s="9" t="s">
        <v>196</v>
      </c>
      <c r="B202" s="29">
        <f t="shared" ref="B202:B209" si="22">SUM(C202:F202)</f>
        <v>0</v>
      </c>
      <c r="C202" s="4">
        <f>VLOOKUP(A202,  output_exiobase_v3.10.2_EXIO_IOT_2019_pxp_Y_imports_footprint_EU27[], 2, FALSE)</f>
        <v>0</v>
      </c>
      <c r="D202" s="4">
        <f>VLOOKUP(A202, output_exiobase_v3.10.2_EXIO_IOT_2019_pxp_Z_imports_footprint_EU27[], 2, FALSE)</f>
        <v>0</v>
      </c>
      <c r="E202" s="4">
        <f>VLOOKUP(A202, output_exiobase_v3.10.2_EXIO_IOT_2019_pxp_Y_production_footprint_EU27[], 2, FALSE)</f>
        <v>0</v>
      </c>
      <c r="F202" s="4">
        <f>VLOOKUP(A202, output_exiobase_v3.10.2_EXIO_IOT_2019_pxp_Z_production_footprint_EU27[], 2, FALSE)</f>
        <v>0</v>
      </c>
      <c r="G202" s="35" t="e">
        <f t="shared" si="20"/>
        <v>#DIV/0!</v>
      </c>
      <c r="H202" s="1" t="e">
        <f t="shared" si="21"/>
        <v>#DIV/0!</v>
      </c>
    </row>
    <row r="203" spans="1:8" x14ac:dyDescent="0.3">
      <c r="A203" s="9" t="s">
        <v>171</v>
      </c>
      <c r="B203" s="29">
        <f t="shared" si="22"/>
        <v>0</v>
      </c>
      <c r="C203" s="4">
        <f>VLOOKUP(A203,  output_exiobase_v3.10.2_EXIO_IOT_2019_pxp_Y_imports_footprint_EU27[], 2, FALSE)</f>
        <v>0</v>
      </c>
      <c r="D203" s="4">
        <f>VLOOKUP(A203, output_exiobase_v3.10.2_EXIO_IOT_2019_pxp_Z_imports_footprint_EU27[], 2, FALSE)</f>
        <v>0</v>
      </c>
      <c r="E203" s="4">
        <f>VLOOKUP(A203, output_exiobase_v3.10.2_EXIO_IOT_2019_pxp_Y_production_footprint_EU27[], 2, FALSE)</f>
        <v>0</v>
      </c>
      <c r="F203" s="4">
        <f>VLOOKUP(A203, output_exiobase_v3.10.2_EXIO_IOT_2019_pxp_Z_production_footprint_EU27[], 2, FALSE)</f>
        <v>0</v>
      </c>
      <c r="G203" s="35" t="e">
        <f t="shared" si="20"/>
        <v>#DIV/0!</v>
      </c>
      <c r="H203" s="1" t="e">
        <f t="shared" si="21"/>
        <v>#DIV/0!</v>
      </c>
    </row>
    <row r="204" spans="1:8" x14ac:dyDescent="0.3">
      <c r="A204" s="9" t="s">
        <v>170</v>
      </c>
      <c r="B204" s="29">
        <f t="shared" si="22"/>
        <v>0</v>
      </c>
      <c r="C204" s="4">
        <f>VLOOKUP(A204,  output_exiobase_v3.10.2_EXIO_IOT_2019_pxp_Y_imports_footprint_EU27[], 2, FALSE)</f>
        <v>0</v>
      </c>
      <c r="D204" s="4">
        <f>VLOOKUP(A204, output_exiobase_v3.10.2_EXIO_IOT_2019_pxp_Z_imports_footprint_EU27[], 2, FALSE)</f>
        <v>0</v>
      </c>
      <c r="E204" s="4">
        <f>VLOOKUP(A204, output_exiobase_v3.10.2_EXIO_IOT_2019_pxp_Y_production_footprint_EU27[], 2, FALSE)</f>
        <v>0</v>
      </c>
      <c r="F204" s="4">
        <f>VLOOKUP(A204, output_exiobase_v3.10.2_EXIO_IOT_2019_pxp_Z_production_footprint_EU27[], 2, FALSE)</f>
        <v>0</v>
      </c>
      <c r="G204" s="35" t="e">
        <f t="shared" si="20"/>
        <v>#DIV/0!</v>
      </c>
      <c r="H204" s="1" t="e">
        <f t="shared" si="21"/>
        <v>#DIV/0!</v>
      </c>
    </row>
    <row r="205" spans="1:8" x14ac:dyDescent="0.3">
      <c r="A205" s="9" t="s">
        <v>71</v>
      </c>
      <c r="B205" s="29">
        <f t="shared" si="22"/>
        <v>0</v>
      </c>
      <c r="C205" s="4">
        <f>VLOOKUP(A205,  output_exiobase_v3.10.2_EXIO_IOT_2019_pxp_Y_imports_footprint_EU27[], 2, FALSE)</f>
        <v>0</v>
      </c>
      <c r="D205" s="4">
        <f>VLOOKUP(A205, output_exiobase_v3.10.2_EXIO_IOT_2019_pxp_Z_imports_footprint_EU27[], 2, FALSE)</f>
        <v>0</v>
      </c>
      <c r="E205" s="4">
        <f>VLOOKUP(A205, output_exiobase_v3.10.2_EXIO_IOT_2019_pxp_Y_production_footprint_EU27[], 2, FALSE)</f>
        <v>0</v>
      </c>
      <c r="F205" s="4">
        <f>VLOOKUP(A205, output_exiobase_v3.10.2_EXIO_IOT_2019_pxp_Z_production_footprint_EU27[], 2, FALSE)</f>
        <v>0</v>
      </c>
      <c r="G205" s="35" t="e">
        <f t="shared" si="20"/>
        <v>#DIV/0!</v>
      </c>
      <c r="H205" s="1" t="e">
        <f t="shared" si="21"/>
        <v>#DIV/0!</v>
      </c>
    </row>
    <row r="206" spans="1:8" x14ac:dyDescent="0.3">
      <c r="A206" s="9" t="s">
        <v>68</v>
      </c>
      <c r="B206" s="29">
        <f t="shared" si="22"/>
        <v>0</v>
      </c>
      <c r="C206" s="4">
        <f>VLOOKUP(A206,  output_exiobase_v3.10.2_EXIO_IOT_2019_pxp_Y_imports_footprint_EU27[], 2, FALSE)</f>
        <v>0</v>
      </c>
      <c r="D206" s="4">
        <f>VLOOKUP(A206, output_exiobase_v3.10.2_EXIO_IOT_2019_pxp_Z_imports_footprint_EU27[], 2, FALSE)</f>
        <v>0</v>
      </c>
      <c r="E206" s="4">
        <f>VLOOKUP(A206, output_exiobase_v3.10.2_EXIO_IOT_2019_pxp_Y_production_footprint_EU27[], 2, FALSE)</f>
        <v>0</v>
      </c>
      <c r="F206" s="4">
        <f>VLOOKUP(A206, output_exiobase_v3.10.2_EXIO_IOT_2019_pxp_Z_production_footprint_EU27[], 2, FALSE)</f>
        <v>0</v>
      </c>
      <c r="G206" s="35" t="e">
        <f t="shared" si="20"/>
        <v>#DIV/0!</v>
      </c>
      <c r="H206" s="1" t="e">
        <f t="shared" si="21"/>
        <v>#DIV/0!</v>
      </c>
    </row>
    <row r="207" spans="1:8" x14ac:dyDescent="0.3">
      <c r="A207" s="9" t="s">
        <v>90</v>
      </c>
      <c r="B207" s="29">
        <f t="shared" si="22"/>
        <v>0</v>
      </c>
      <c r="C207" s="4">
        <f>VLOOKUP(A207,  output_exiobase_v3.10.2_EXIO_IOT_2019_pxp_Y_imports_footprint_EU27[], 2, FALSE)</f>
        <v>0</v>
      </c>
      <c r="D207" s="4">
        <f>VLOOKUP(A207, output_exiobase_v3.10.2_EXIO_IOT_2019_pxp_Z_imports_footprint_EU27[], 2, FALSE)</f>
        <v>0</v>
      </c>
      <c r="E207" s="4">
        <f>VLOOKUP(A207, output_exiobase_v3.10.2_EXIO_IOT_2019_pxp_Y_production_footprint_EU27[], 2, FALSE)</f>
        <v>0</v>
      </c>
      <c r="F207" s="4">
        <f>VLOOKUP(A207, output_exiobase_v3.10.2_EXIO_IOT_2019_pxp_Z_production_footprint_EU27[], 2, FALSE)</f>
        <v>0</v>
      </c>
      <c r="G207" s="35" t="e">
        <f t="shared" si="20"/>
        <v>#DIV/0!</v>
      </c>
      <c r="H207" s="1" t="e">
        <f t="shared" si="21"/>
        <v>#DIV/0!</v>
      </c>
    </row>
    <row r="208" spans="1:8" x14ac:dyDescent="0.3">
      <c r="A208" s="9" t="s">
        <v>91</v>
      </c>
      <c r="B208" s="29">
        <f t="shared" si="22"/>
        <v>0</v>
      </c>
      <c r="C208" s="4">
        <f>VLOOKUP(A208,  output_exiobase_v3.10.2_EXIO_IOT_2019_pxp_Y_imports_footprint_EU27[], 2, FALSE)</f>
        <v>0</v>
      </c>
      <c r="D208" s="4">
        <f>VLOOKUP(A208, output_exiobase_v3.10.2_EXIO_IOT_2019_pxp_Z_imports_footprint_EU27[], 2, FALSE)</f>
        <v>0</v>
      </c>
      <c r="E208" s="4">
        <f>VLOOKUP(A208, output_exiobase_v3.10.2_EXIO_IOT_2019_pxp_Y_production_footprint_EU27[], 2, FALSE)</f>
        <v>0</v>
      </c>
      <c r="F208" s="4">
        <f>VLOOKUP(A208, output_exiobase_v3.10.2_EXIO_IOT_2019_pxp_Z_production_footprint_EU27[], 2, FALSE)</f>
        <v>0</v>
      </c>
      <c r="G208" s="35" t="e">
        <f t="shared" si="20"/>
        <v>#DIV/0!</v>
      </c>
      <c r="H208" s="1" t="e">
        <f t="shared" si="21"/>
        <v>#DIV/0!</v>
      </c>
    </row>
    <row r="209" spans="1:8" x14ac:dyDescent="0.3">
      <c r="A209" s="9" t="s">
        <v>55</v>
      </c>
      <c r="B209" s="29">
        <f t="shared" si="22"/>
        <v>0</v>
      </c>
      <c r="C209" s="4">
        <f>VLOOKUP(A209,  output_exiobase_v3.10.2_EXIO_IOT_2019_pxp_Y_imports_footprint_EU27[], 2, FALSE)</f>
        <v>0</v>
      </c>
      <c r="D209" s="4">
        <f>VLOOKUP(A209, output_exiobase_v3.10.2_EXIO_IOT_2019_pxp_Z_imports_footprint_EU27[], 2, FALSE)</f>
        <v>0</v>
      </c>
      <c r="E209" s="4">
        <f>VLOOKUP(A209, output_exiobase_v3.10.2_EXIO_IOT_2019_pxp_Y_production_footprint_EU27[], 2, FALSE)</f>
        <v>0</v>
      </c>
      <c r="F209" s="4">
        <f>VLOOKUP(A209, output_exiobase_v3.10.2_EXIO_IOT_2019_pxp_Z_production_footprint_EU27[], 2, FALSE)</f>
        <v>0</v>
      </c>
      <c r="G209" s="35" t="e">
        <f t="shared" si="20"/>
        <v>#DIV/0!</v>
      </c>
      <c r="H209" s="1" t="e">
        <f t="shared" si="21"/>
        <v>#DIV/0!</v>
      </c>
    </row>
  </sheetData>
  <autoFilter ref="A9:H209" xr:uid="{D128262F-2692-4D3F-9EA9-5C378385CE66}">
    <sortState xmlns:xlrd2="http://schemas.microsoft.com/office/spreadsheetml/2017/richdata2" ref="A10:H209">
      <sortCondition descending="1" ref="B9:B209"/>
    </sortState>
  </autoFilter>
  <conditionalFormatting sqref="B10:B209">
    <cfRule type="dataBar" priority="2">
      <dataBar>
        <cfvo type="min"/>
        <cfvo type="max"/>
        <color theme="2" tint="-9.9978637043366805E-2"/>
      </dataBar>
      <extLst>
        <ext xmlns:x14="http://schemas.microsoft.com/office/spreadsheetml/2009/9/main" uri="{B025F937-C7B1-47D3-B67F-A62EFF666E3E}">
          <x14:id>{FBEC259C-D05D-43DE-84E7-7D2BFB63E97D}</x14:id>
        </ext>
      </extLst>
    </cfRule>
    <cfRule type="cellIs" dxfId="9" priority="3" operator="equal">
      <formula>0</formula>
    </cfRule>
  </conditionalFormatting>
  <conditionalFormatting sqref="G10:H209">
    <cfRule type="dataBar" priority="1">
      <dataBar>
        <cfvo type="min"/>
        <cfvo type="max"/>
        <color theme="2" tint="-9.9978637043366805E-2"/>
      </dataBar>
      <extLst>
        <ext xmlns:x14="http://schemas.microsoft.com/office/spreadsheetml/2009/9/main" uri="{B025F937-C7B1-47D3-B67F-A62EFF666E3E}">
          <x14:id>{A3D4023B-59D2-4F9F-A520-8B97606729BE}</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FBEC259C-D05D-43DE-84E7-7D2BFB63E97D}">
            <x14:dataBar minLength="0" maxLength="100" gradient="0">
              <x14:cfvo type="autoMin"/>
              <x14:cfvo type="autoMax"/>
              <x14:negativeFillColor rgb="FFFF0000"/>
              <x14:axisColor rgb="FF000000"/>
            </x14:dataBar>
          </x14:cfRule>
          <xm:sqref>B10:B209</xm:sqref>
        </x14:conditionalFormatting>
        <x14:conditionalFormatting xmlns:xm="http://schemas.microsoft.com/office/excel/2006/main">
          <x14:cfRule type="dataBar" id="{A3D4023B-59D2-4F9F-A520-8B97606729BE}">
            <x14:dataBar minLength="0" maxLength="100" gradient="0">
              <x14:cfvo type="autoMin"/>
              <x14:cfvo type="autoMax"/>
              <x14:negativeFillColor rgb="FFFF0000"/>
              <x14:axisColor rgb="FF000000"/>
            </x14:dataBar>
          </x14:cfRule>
          <xm:sqref>G10:H209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2031-2B88-4CB6-8008-E6F04EE02AC5}">
  <sheetPr codeName="Sheet17"/>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291</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40561502.637581185</v>
      </c>
    </row>
    <row r="6" spans="1:2" x14ac:dyDescent="0.3">
      <c r="A6" s="34" t="s">
        <v>2</v>
      </c>
      <c r="B6" s="36">
        <v>39594416375.69603</v>
      </c>
    </row>
    <row r="7" spans="1:2" x14ac:dyDescent="0.3">
      <c r="A7" s="34" t="s">
        <v>3</v>
      </c>
      <c r="B7" s="36">
        <v>1436627067.5187845</v>
      </c>
    </row>
    <row r="8" spans="1:2" x14ac:dyDescent="0.3">
      <c r="A8" s="34" t="s">
        <v>4</v>
      </c>
      <c r="B8" s="36">
        <v>489081.0231258432</v>
      </c>
    </row>
    <row r="9" spans="1:2" x14ac:dyDescent="0.3">
      <c r="A9" s="34" t="s">
        <v>5</v>
      </c>
      <c r="B9" s="36">
        <v>1375599825.6439631</v>
      </c>
    </row>
    <row r="10" spans="1:2" x14ac:dyDescent="0.3">
      <c r="A10" s="34" t="s">
        <v>6</v>
      </c>
      <c r="B10" s="36">
        <v>401515742.7541604</v>
      </c>
    </row>
    <row r="11" spans="1:2" x14ac:dyDescent="0.3">
      <c r="A11" s="34" t="s">
        <v>7</v>
      </c>
      <c r="B11" s="36">
        <v>0</v>
      </c>
    </row>
    <row r="12" spans="1:2" x14ac:dyDescent="0.3">
      <c r="A12" s="34" t="s">
        <v>8</v>
      </c>
      <c r="B12" s="36">
        <v>16671.667287496319</v>
      </c>
    </row>
    <row r="13" spans="1:2" x14ac:dyDescent="0.3">
      <c r="A13" s="34" t="s">
        <v>9</v>
      </c>
      <c r="B13" s="36">
        <v>11678835.441550912</v>
      </c>
    </row>
    <row r="14" spans="1:2" x14ac:dyDescent="0.3">
      <c r="A14" s="34" t="s">
        <v>10</v>
      </c>
      <c r="B14" s="36">
        <v>6930193307.0168638</v>
      </c>
    </row>
    <row r="15" spans="1:2" x14ac:dyDescent="0.3">
      <c r="A15" s="34" t="s">
        <v>11</v>
      </c>
      <c r="B15" s="36">
        <v>3127507880.22121</v>
      </c>
    </row>
    <row r="16" spans="1:2" x14ac:dyDescent="0.3">
      <c r="A16" s="34" t="s">
        <v>12</v>
      </c>
      <c r="B16" s="36">
        <v>1667701992.9777372</v>
      </c>
    </row>
    <row r="17" spans="1:2" x14ac:dyDescent="0.3">
      <c r="A17" s="34" t="s">
        <v>13</v>
      </c>
      <c r="B17" s="36">
        <v>0.99030237316452752</v>
      </c>
    </row>
    <row r="18" spans="1:2" x14ac:dyDescent="0.3">
      <c r="A18" s="34" t="s">
        <v>14</v>
      </c>
      <c r="B18" s="36">
        <v>1216958434.0319173</v>
      </c>
    </row>
    <row r="19" spans="1:2" x14ac:dyDescent="0.3">
      <c r="A19" s="34" t="s">
        <v>15</v>
      </c>
      <c r="B19" s="36">
        <v>11869771.590925964</v>
      </c>
    </row>
    <row r="20" spans="1:2" x14ac:dyDescent="0.3">
      <c r="A20" s="34" t="s">
        <v>16</v>
      </c>
      <c r="B20" s="36">
        <v>102170.86419296928</v>
      </c>
    </row>
    <row r="21" spans="1:2" x14ac:dyDescent="0.3">
      <c r="A21" s="34" t="s">
        <v>17</v>
      </c>
      <c r="B21" s="36">
        <v>0</v>
      </c>
    </row>
    <row r="22" spans="1:2" x14ac:dyDescent="0.3">
      <c r="A22" s="34" t="s">
        <v>18</v>
      </c>
      <c r="B22" s="36">
        <v>9263217.4050513785</v>
      </c>
    </row>
    <row r="23" spans="1:2" x14ac:dyDescent="0.3">
      <c r="A23" s="34" t="s">
        <v>19</v>
      </c>
      <c r="B23" s="36">
        <v>5169946.0721809808</v>
      </c>
    </row>
    <row r="24" spans="1:2" x14ac:dyDescent="0.3">
      <c r="A24" s="34" t="s">
        <v>20</v>
      </c>
      <c r="B24" s="36">
        <v>537978077.80314827</v>
      </c>
    </row>
    <row r="25" spans="1:2" x14ac:dyDescent="0.3">
      <c r="A25" s="34" t="s">
        <v>21</v>
      </c>
      <c r="B25" s="36">
        <v>5700460230.5617237</v>
      </c>
    </row>
    <row r="26" spans="1:2" x14ac:dyDescent="0.3">
      <c r="A26" s="34" t="s">
        <v>22</v>
      </c>
      <c r="B26" s="36">
        <v>698478741.83780825</v>
      </c>
    </row>
    <row r="27" spans="1:2" x14ac:dyDescent="0.3">
      <c r="A27" s="34" t="s">
        <v>23</v>
      </c>
      <c r="B27" s="36">
        <v>1264696656.1874526</v>
      </c>
    </row>
    <row r="28" spans="1:2" x14ac:dyDescent="0.3">
      <c r="A28" s="34" t="s">
        <v>24</v>
      </c>
      <c r="B28" s="36">
        <v>59934303.962586738</v>
      </c>
    </row>
    <row r="29" spans="1:2" x14ac:dyDescent="0.3">
      <c r="A29" s="34" t="s">
        <v>25</v>
      </c>
      <c r="B29" s="36">
        <v>66132909563.707161</v>
      </c>
    </row>
    <row r="30" spans="1:2" x14ac:dyDescent="0.3">
      <c r="A30" s="34" t="s">
        <v>26</v>
      </c>
      <c r="B30" s="36">
        <v>42833996.624990001</v>
      </c>
    </row>
    <row r="31" spans="1:2" x14ac:dyDescent="0.3">
      <c r="A31" s="34" t="s">
        <v>27</v>
      </c>
      <c r="B31" s="36">
        <v>128146458.39405517</v>
      </c>
    </row>
    <row r="32" spans="1:2" x14ac:dyDescent="0.3">
      <c r="A32" s="34" t="s">
        <v>28</v>
      </c>
      <c r="B32" s="36">
        <v>372179.77676563489</v>
      </c>
    </row>
    <row r="33" spans="1:2" x14ac:dyDescent="0.3">
      <c r="A33" s="34" t="s">
        <v>29</v>
      </c>
      <c r="B33" s="36">
        <v>102874407.04323404</v>
      </c>
    </row>
    <row r="34" spans="1:2" x14ac:dyDescent="0.3">
      <c r="A34" s="34" t="s">
        <v>30</v>
      </c>
      <c r="B34" s="36">
        <v>0</v>
      </c>
    </row>
    <row r="35" spans="1:2" x14ac:dyDescent="0.3">
      <c r="A35" s="34" t="s">
        <v>31</v>
      </c>
      <c r="B35" s="36">
        <v>4184033191.2934232</v>
      </c>
    </row>
    <row r="36" spans="1:2" x14ac:dyDescent="0.3">
      <c r="A36" s="34" t="s">
        <v>32</v>
      </c>
      <c r="B36" s="36">
        <v>22649861952.567947</v>
      </c>
    </row>
    <row r="37" spans="1:2" x14ac:dyDescent="0.3">
      <c r="A37" s="34" t="s">
        <v>33</v>
      </c>
      <c r="B37" s="36">
        <v>50516.644150698135</v>
      </c>
    </row>
    <row r="38" spans="1:2" x14ac:dyDescent="0.3">
      <c r="A38" s="34" t="s">
        <v>34</v>
      </c>
      <c r="B38" s="36">
        <v>509499860.968009</v>
      </c>
    </row>
    <row r="39" spans="1:2" x14ac:dyDescent="0.3">
      <c r="A39" s="34" t="s">
        <v>35</v>
      </c>
      <c r="B39" s="36">
        <v>6091061605.446332</v>
      </c>
    </row>
    <row r="40" spans="1:2" x14ac:dyDescent="0.3">
      <c r="A40" s="34" t="s">
        <v>36</v>
      </c>
      <c r="B40" s="36">
        <v>21054680188.162712</v>
      </c>
    </row>
    <row r="41" spans="1:2" x14ac:dyDescent="0.3">
      <c r="A41" s="34" t="s">
        <v>37</v>
      </c>
      <c r="B41" s="36">
        <v>3621376028.5509691</v>
      </c>
    </row>
    <row r="42" spans="1:2" x14ac:dyDescent="0.3">
      <c r="A42" s="34" t="s">
        <v>38</v>
      </c>
      <c r="B42" s="36">
        <v>0</v>
      </c>
    </row>
    <row r="43" spans="1:2" x14ac:dyDescent="0.3">
      <c r="A43" s="34" t="s">
        <v>39</v>
      </c>
      <c r="B43" s="36">
        <v>0</v>
      </c>
    </row>
    <row r="44" spans="1:2" x14ac:dyDescent="0.3">
      <c r="A44" s="34" t="s">
        <v>40</v>
      </c>
      <c r="B44" s="36">
        <v>2737357830.4834137</v>
      </c>
    </row>
    <row r="45" spans="1:2" x14ac:dyDescent="0.3">
      <c r="A45" s="34" t="s">
        <v>41</v>
      </c>
      <c r="B45" s="36">
        <v>20711837529.888775</v>
      </c>
    </row>
    <row r="46" spans="1:2" x14ac:dyDescent="0.3">
      <c r="A46" s="34" t="s">
        <v>42</v>
      </c>
      <c r="B46" s="36">
        <v>3205514.4491789397</v>
      </c>
    </row>
    <row r="47" spans="1:2" x14ac:dyDescent="0.3">
      <c r="A47" s="34" t="s">
        <v>43</v>
      </c>
      <c r="B47" s="36">
        <v>109537562.61572866</v>
      </c>
    </row>
    <row r="48" spans="1:2" x14ac:dyDescent="0.3">
      <c r="A48" s="34" t="s">
        <v>44</v>
      </c>
      <c r="B48" s="36">
        <v>3878820869.4556613</v>
      </c>
    </row>
    <row r="49" spans="1:2" x14ac:dyDescent="0.3">
      <c r="A49" s="34" t="s">
        <v>45</v>
      </c>
      <c r="B49" s="36">
        <v>4772747072.1179218</v>
      </c>
    </row>
    <row r="50" spans="1:2" x14ac:dyDescent="0.3">
      <c r="A50" s="34" t="s">
        <v>46</v>
      </c>
      <c r="B50" s="36">
        <v>97371356.654500365</v>
      </c>
    </row>
    <row r="51" spans="1:2" x14ac:dyDescent="0.3">
      <c r="A51" s="34" t="s">
        <v>47</v>
      </c>
      <c r="B51" s="36">
        <v>136995763.40672973</v>
      </c>
    </row>
    <row r="52" spans="1:2" x14ac:dyDescent="0.3">
      <c r="A52" s="34" t="s">
        <v>48</v>
      </c>
      <c r="B52" s="36">
        <v>100750662.74254224</v>
      </c>
    </row>
    <row r="53" spans="1:2" x14ac:dyDescent="0.3">
      <c r="A53" s="34" t="s">
        <v>49</v>
      </c>
      <c r="B53" s="36">
        <v>27397956.024437662</v>
      </c>
    </row>
    <row r="54" spans="1:2" x14ac:dyDescent="0.3">
      <c r="A54" s="34" t="s">
        <v>50</v>
      </c>
      <c r="B54" s="36">
        <v>5427.3696385416106</v>
      </c>
    </row>
    <row r="55" spans="1:2" x14ac:dyDescent="0.3">
      <c r="A55" s="34" t="s">
        <v>51</v>
      </c>
      <c r="B55" s="36">
        <v>14122.521514213695</v>
      </c>
    </row>
    <row r="56" spans="1:2" x14ac:dyDescent="0.3">
      <c r="A56" s="34" t="s">
        <v>52</v>
      </c>
      <c r="B56" s="36">
        <v>17006409.080419231</v>
      </c>
    </row>
    <row r="57" spans="1:2" x14ac:dyDescent="0.3">
      <c r="A57" s="34" t="s">
        <v>53</v>
      </c>
      <c r="B57" s="36">
        <v>213450.17698320682</v>
      </c>
    </row>
    <row r="58" spans="1:2" x14ac:dyDescent="0.3">
      <c r="A58" s="34" t="s">
        <v>54</v>
      </c>
      <c r="B58" s="36">
        <v>52968059.392184898</v>
      </c>
    </row>
    <row r="59" spans="1:2" x14ac:dyDescent="0.3">
      <c r="A59" s="34" t="s">
        <v>55</v>
      </c>
      <c r="B59" s="36">
        <v>0</v>
      </c>
    </row>
    <row r="60" spans="1:2" x14ac:dyDescent="0.3">
      <c r="A60" s="34" t="s">
        <v>56</v>
      </c>
      <c r="B60" s="36">
        <v>17892699011.979259</v>
      </c>
    </row>
    <row r="61" spans="1:2" x14ac:dyDescent="0.3">
      <c r="A61" s="34" t="s">
        <v>57</v>
      </c>
      <c r="B61" s="36">
        <v>800931975.59908736</v>
      </c>
    </row>
    <row r="62" spans="1:2" x14ac:dyDescent="0.3">
      <c r="A62" s="34" t="s">
        <v>58</v>
      </c>
      <c r="B62" s="36">
        <v>3617664607.0459304</v>
      </c>
    </row>
    <row r="63" spans="1:2" x14ac:dyDescent="0.3">
      <c r="A63" s="34" t="s">
        <v>59</v>
      </c>
      <c r="B63" s="36">
        <v>4625401758.1677599</v>
      </c>
    </row>
    <row r="64" spans="1:2" x14ac:dyDescent="0.3">
      <c r="A64" s="34" t="s">
        <v>60</v>
      </c>
      <c r="B64" s="36">
        <v>30880494455.672993</v>
      </c>
    </row>
    <row r="65" spans="1:2" x14ac:dyDescent="0.3">
      <c r="A65" s="34" t="s">
        <v>61</v>
      </c>
      <c r="B65" s="36">
        <v>315.04004067296961</v>
      </c>
    </row>
    <row r="66" spans="1:2" x14ac:dyDescent="0.3">
      <c r="A66" s="34" t="s">
        <v>62</v>
      </c>
      <c r="B66" s="36">
        <v>1698479.8231714421</v>
      </c>
    </row>
    <row r="67" spans="1:2" x14ac:dyDescent="0.3">
      <c r="A67" s="34" t="s">
        <v>63</v>
      </c>
      <c r="B67" s="36">
        <v>1212658.3722178556</v>
      </c>
    </row>
    <row r="68" spans="1:2" x14ac:dyDescent="0.3">
      <c r="A68" s="34" t="s">
        <v>64</v>
      </c>
      <c r="B68" s="36">
        <v>826700.65256359102</v>
      </c>
    </row>
    <row r="69" spans="1:2" x14ac:dyDescent="0.3">
      <c r="A69" s="34" t="s">
        <v>65</v>
      </c>
      <c r="B69" s="36">
        <v>464843.91322405735</v>
      </c>
    </row>
    <row r="70" spans="1:2" x14ac:dyDescent="0.3">
      <c r="A70" s="34" t="s">
        <v>66</v>
      </c>
      <c r="B70" s="36">
        <v>0</v>
      </c>
    </row>
    <row r="71" spans="1:2" x14ac:dyDescent="0.3">
      <c r="A71" s="34" t="s">
        <v>67</v>
      </c>
      <c r="B71" s="36">
        <v>65511626117.734169</v>
      </c>
    </row>
    <row r="72" spans="1:2" x14ac:dyDescent="0.3">
      <c r="A72" s="34" t="s">
        <v>68</v>
      </c>
      <c r="B72" s="36">
        <v>0</v>
      </c>
    </row>
    <row r="73" spans="1:2" x14ac:dyDescent="0.3">
      <c r="A73" s="34" t="s">
        <v>69</v>
      </c>
      <c r="B73" s="36">
        <v>76067.807299475899</v>
      </c>
    </row>
    <row r="74" spans="1:2" x14ac:dyDescent="0.3">
      <c r="A74" s="34" t="s">
        <v>70</v>
      </c>
      <c r="B74" s="36">
        <v>11397382901.258528</v>
      </c>
    </row>
    <row r="75" spans="1:2" x14ac:dyDescent="0.3">
      <c r="A75" s="34" t="s">
        <v>71</v>
      </c>
      <c r="B75" s="36">
        <v>0</v>
      </c>
    </row>
    <row r="76" spans="1:2" x14ac:dyDescent="0.3">
      <c r="A76" s="34" t="s">
        <v>72</v>
      </c>
      <c r="B76" s="36">
        <v>729383932.84792483</v>
      </c>
    </row>
    <row r="77" spans="1:2" x14ac:dyDescent="0.3">
      <c r="A77" s="34" t="s">
        <v>73</v>
      </c>
      <c r="B77" s="36">
        <v>5493534024.1285267</v>
      </c>
    </row>
    <row r="78" spans="1:2" x14ac:dyDescent="0.3">
      <c r="A78" s="34" t="s">
        <v>74</v>
      </c>
      <c r="B78" s="36">
        <v>2806325051.1771255</v>
      </c>
    </row>
    <row r="79" spans="1:2" x14ac:dyDescent="0.3">
      <c r="A79" s="34" t="s">
        <v>75</v>
      </c>
      <c r="B79" s="36">
        <v>49120146301.513992</v>
      </c>
    </row>
    <row r="80" spans="1:2" x14ac:dyDescent="0.3">
      <c r="A80" s="34" t="s">
        <v>76</v>
      </c>
      <c r="B80" s="36">
        <v>819566.14560472465</v>
      </c>
    </row>
    <row r="81" spans="1:2" x14ac:dyDescent="0.3">
      <c r="A81" s="34" t="s">
        <v>77</v>
      </c>
      <c r="B81" s="36">
        <v>284714192.6354351</v>
      </c>
    </row>
    <row r="82" spans="1:2" x14ac:dyDescent="0.3">
      <c r="A82" s="34" t="s">
        <v>78</v>
      </c>
      <c r="B82" s="36">
        <v>1509797734.9100649</v>
      </c>
    </row>
    <row r="83" spans="1:2" x14ac:dyDescent="0.3">
      <c r="A83" s="34" t="s">
        <v>79</v>
      </c>
      <c r="B83" s="36">
        <v>3777620.0915334998</v>
      </c>
    </row>
    <row r="84" spans="1:2" x14ac:dyDescent="0.3">
      <c r="A84" s="34" t="s">
        <v>80</v>
      </c>
      <c r="B84" s="36">
        <v>4.3872819437104988</v>
      </c>
    </row>
    <row r="85" spans="1:2" x14ac:dyDescent="0.3">
      <c r="A85" s="34" t="s">
        <v>81</v>
      </c>
      <c r="B85" s="36">
        <v>176348181.49945116</v>
      </c>
    </row>
    <row r="86" spans="1:2" x14ac:dyDescent="0.3">
      <c r="A86" s="34" t="s">
        <v>82</v>
      </c>
      <c r="B86" s="36">
        <v>1672776490.2084055</v>
      </c>
    </row>
    <row r="87" spans="1:2" x14ac:dyDescent="0.3">
      <c r="A87" s="34" t="s">
        <v>83</v>
      </c>
      <c r="B87" s="36">
        <v>1547310734.6070592</v>
      </c>
    </row>
    <row r="88" spans="1:2" x14ac:dyDescent="0.3">
      <c r="A88" s="34" t="s">
        <v>84</v>
      </c>
      <c r="B88" s="36">
        <v>3939755.0992522608</v>
      </c>
    </row>
    <row r="89" spans="1:2" x14ac:dyDescent="0.3">
      <c r="A89" s="34" t="s">
        <v>85</v>
      </c>
      <c r="B89" s="36">
        <v>28466211708.220459</v>
      </c>
    </row>
    <row r="90" spans="1:2" x14ac:dyDescent="0.3">
      <c r="A90" s="34" t="s">
        <v>86</v>
      </c>
      <c r="B90" s="36">
        <v>1367824.784182735</v>
      </c>
    </row>
    <row r="91" spans="1:2" x14ac:dyDescent="0.3">
      <c r="A91" s="34" t="s">
        <v>87</v>
      </c>
      <c r="B91" s="36">
        <v>6184751256.9110947</v>
      </c>
    </row>
    <row r="92" spans="1:2" x14ac:dyDescent="0.3">
      <c r="A92" s="34" t="s">
        <v>88</v>
      </c>
      <c r="B92" s="36">
        <v>3588881.9602603838</v>
      </c>
    </row>
    <row r="93" spans="1:2" x14ac:dyDescent="0.3">
      <c r="A93" s="34" t="s">
        <v>89</v>
      </c>
      <c r="B93" s="36">
        <v>165945747.44663182</v>
      </c>
    </row>
    <row r="94" spans="1:2" x14ac:dyDescent="0.3">
      <c r="A94" s="34" t="s">
        <v>90</v>
      </c>
      <c r="B94" s="36">
        <v>0</v>
      </c>
    </row>
    <row r="95" spans="1:2" x14ac:dyDescent="0.3">
      <c r="A95" s="34" t="s">
        <v>91</v>
      </c>
      <c r="B95" s="36">
        <v>0</v>
      </c>
    </row>
    <row r="96" spans="1:2" x14ac:dyDescent="0.3">
      <c r="A96" s="34" t="s">
        <v>92</v>
      </c>
      <c r="B96" s="36">
        <v>4950371971.937314</v>
      </c>
    </row>
    <row r="97" spans="1:2" x14ac:dyDescent="0.3">
      <c r="A97" s="34" t="s">
        <v>93</v>
      </c>
      <c r="B97" s="36">
        <v>4197461246.3244643</v>
      </c>
    </row>
    <row r="98" spans="1:2" x14ac:dyDescent="0.3">
      <c r="A98" s="34" t="s">
        <v>94</v>
      </c>
      <c r="B98" s="36">
        <v>1474382857.9343174</v>
      </c>
    </row>
    <row r="99" spans="1:2" x14ac:dyDescent="0.3">
      <c r="A99" s="34" t="s">
        <v>95</v>
      </c>
      <c r="B99" s="36">
        <v>636165635.76289749</v>
      </c>
    </row>
    <row r="100" spans="1:2" x14ac:dyDescent="0.3">
      <c r="A100" s="34" t="s">
        <v>96</v>
      </c>
      <c r="B100" s="36">
        <v>12957231252.478359</v>
      </c>
    </row>
    <row r="101" spans="1:2" x14ac:dyDescent="0.3">
      <c r="A101" s="34" t="s">
        <v>97</v>
      </c>
      <c r="B101" s="36">
        <v>55798681072.18325</v>
      </c>
    </row>
    <row r="102" spans="1:2" x14ac:dyDescent="0.3">
      <c r="A102" s="34" t="s">
        <v>98</v>
      </c>
      <c r="B102" s="36">
        <v>65983231.81489031</v>
      </c>
    </row>
    <row r="103" spans="1:2" x14ac:dyDescent="0.3">
      <c r="A103" s="34" t="s">
        <v>99</v>
      </c>
      <c r="B103" s="36">
        <v>281244085.53302604</v>
      </c>
    </row>
    <row r="104" spans="1:2" x14ac:dyDescent="0.3">
      <c r="A104" s="34" t="s">
        <v>100</v>
      </c>
      <c r="B104" s="36">
        <v>1911853785.0184999</v>
      </c>
    </row>
    <row r="105" spans="1:2" x14ac:dyDescent="0.3">
      <c r="A105" s="34" t="s">
        <v>101</v>
      </c>
      <c r="B105" s="36">
        <v>133123293726.75891</v>
      </c>
    </row>
    <row r="106" spans="1:2" x14ac:dyDescent="0.3">
      <c r="A106" s="34" t="s">
        <v>102</v>
      </c>
      <c r="B106" s="36">
        <v>22932.489436606538</v>
      </c>
    </row>
    <row r="107" spans="1:2" x14ac:dyDescent="0.3">
      <c r="A107" s="34" t="s">
        <v>103</v>
      </c>
      <c r="B107" s="36">
        <v>73147700.525421903</v>
      </c>
    </row>
    <row r="108" spans="1:2" x14ac:dyDescent="0.3">
      <c r="A108" s="34" t="s">
        <v>104</v>
      </c>
      <c r="B108" s="36">
        <v>22823309.570650835</v>
      </c>
    </row>
    <row r="109" spans="1:2" x14ac:dyDescent="0.3">
      <c r="A109" s="34" t="s">
        <v>105</v>
      </c>
      <c r="B109" s="36">
        <v>28969518481.399181</v>
      </c>
    </row>
    <row r="110" spans="1:2" x14ac:dyDescent="0.3">
      <c r="A110" s="34" t="s">
        <v>106</v>
      </c>
      <c r="B110" s="36">
        <v>3513570400.4977665</v>
      </c>
    </row>
    <row r="111" spans="1:2" x14ac:dyDescent="0.3">
      <c r="A111" s="34" t="s">
        <v>107</v>
      </c>
      <c r="B111" s="36">
        <v>754948.64096463425</v>
      </c>
    </row>
    <row r="112" spans="1:2" x14ac:dyDescent="0.3">
      <c r="A112" s="34" t="s">
        <v>108</v>
      </c>
      <c r="B112" s="36">
        <v>13189854275.337761</v>
      </c>
    </row>
    <row r="113" spans="1:2" x14ac:dyDescent="0.3">
      <c r="A113" s="34" t="s">
        <v>109</v>
      </c>
      <c r="B113" s="36">
        <v>356716.62160557159</v>
      </c>
    </row>
    <row r="114" spans="1:2" x14ac:dyDescent="0.3">
      <c r="A114" s="34" t="s">
        <v>110</v>
      </c>
      <c r="B114" s="36">
        <v>3140.3607527872714</v>
      </c>
    </row>
    <row r="115" spans="1:2" x14ac:dyDescent="0.3">
      <c r="A115" s="34" t="s">
        <v>111</v>
      </c>
      <c r="B115" s="36">
        <v>3047305824.2993999</v>
      </c>
    </row>
    <row r="116" spans="1:2" x14ac:dyDescent="0.3">
      <c r="A116" s="34" t="s">
        <v>112</v>
      </c>
      <c r="B116" s="36">
        <v>10851145238.946051</v>
      </c>
    </row>
    <row r="117" spans="1:2" x14ac:dyDescent="0.3">
      <c r="A117" s="34" t="s">
        <v>113</v>
      </c>
      <c r="B117" s="36">
        <v>3036.1916522860206</v>
      </c>
    </row>
    <row r="118" spans="1:2" x14ac:dyDescent="0.3">
      <c r="A118" s="34" t="s">
        <v>114</v>
      </c>
      <c r="B118" s="36">
        <v>277254182.27210724</v>
      </c>
    </row>
    <row r="119" spans="1:2" x14ac:dyDescent="0.3">
      <c r="A119" s="34" t="s">
        <v>115</v>
      </c>
      <c r="B119" s="36">
        <v>7960441142.5399313</v>
      </c>
    </row>
    <row r="120" spans="1:2" x14ac:dyDescent="0.3">
      <c r="A120" s="34" t="s">
        <v>116</v>
      </c>
      <c r="B120" s="36">
        <v>3039685182.6999722</v>
      </c>
    </row>
    <row r="121" spans="1:2" x14ac:dyDescent="0.3">
      <c r="A121" s="34" t="s">
        <v>117</v>
      </c>
      <c r="B121" s="36">
        <v>22148633242.091557</v>
      </c>
    </row>
    <row r="122" spans="1:2" x14ac:dyDescent="0.3">
      <c r="A122" s="34" t="s">
        <v>118</v>
      </c>
      <c r="B122" s="36">
        <v>893070.7761245236</v>
      </c>
    </row>
    <row r="123" spans="1:2" x14ac:dyDescent="0.3">
      <c r="A123" s="34" t="s">
        <v>119</v>
      </c>
      <c r="B123" s="36">
        <v>24890.546903384708</v>
      </c>
    </row>
    <row r="124" spans="1:2" x14ac:dyDescent="0.3">
      <c r="A124" s="34" t="s">
        <v>120</v>
      </c>
      <c r="B124" s="36">
        <v>3319622002.8821907</v>
      </c>
    </row>
    <row r="125" spans="1:2" x14ac:dyDescent="0.3">
      <c r="A125" s="34" t="s">
        <v>121</v>
      </c>
      <c r="B125" s="36">
        <v>138288175.44494295</v>
      </c>
    </row>
    <row r="126" spans="1:2" x14ac:dyDescent="0.3">
      <c r="A126" s="34" t="s">
        <v>122</v>
      </c>
      <c r="B126" s="36">
        <v>3085976204.6913323</v>
      </c>
    </row>
    <row r="127" spans="1:2" x14ac:dyDescent="0.3">
      <c r="A127" s="34" t="s">
        <v>123</v>
      </c>
      <c r="B127" s="36">
        <v>0</v>
      </c>
    </row>
    <row r="128" spans="1:2" x14ac:dyDescent="0.3">
      <c r="A128" s="34" t="s">
        <v>124</v>
      </c>
      <c r="B128" s="36">
        <v>489430.02338767704</v>
      </c>
    </row>
    <row r="129" spans="1:2" x14ac:dyDescent="0.3">
      <c r="A129" s="34" t="s">
        <v>125</v>
      </c>
      <c r="B129" s="36">
        <v>3.3151452046595282</v>
      </c>
    </row>
    <row r="130" spans="1:2" x14ac:dyDescent="0.3">
      <c r="A130" s="34" t="s">
        <v>126</v>
      </c>
      <c r="B130" s="36">
        <v>1445868.2858396287</v>
      </c>
    </row>
    <row r="131" spans="1:2" x14ac:dyDescent="0.3">
      <c r="A131" s="34" t="s">
        <v>127</v>
      </c>
      <c r="B131" s="36">
        <v>43453521.597794741</v>
      </c>
    </row>
    <row r="132" spans="1:2" x14ac:dyDescent="0.3">
      <c r="A132" s="34" t="s">
        <v>128</v>
      </c>
      <c r="B132" s="36">
        <v>11384826.905338453</v>
      </c>
    </row>
    <row r="133" spans="1:2" x14ac:dyDescent="0.3">
      <c r="A133" s="34" t="s">
        <v>129</v>
      </c>
      <c r="B133" s="36">
        <v>20777815.065933894</v>
      </c>
    </row>
    <row r="134" spans="1:2" x14ac:dyDescent="0.3">
      <c r="A134" s="34" t="s">
        <v>130</v>
      </c>
      <c r="B134" s="36">
        <v>58805909.110304721</v>
      </c>
    </row>
    <row r="135" spans="1:2" x14ac:dyDescent="0.3">
      <c r="A135" s="34" t="s">
        <v>131</v>
      </c>
      <c r="B135" s="36">
        <v>407244.86525745364</v>
      </c>
    </row>
    <row r="136" spans="1:2" x14ac:dyDescent="0.3">
      <c r="A136" s="34" t="s">
        <v>132</v>
      </c>
      <c r="B136" s="36">
        <v>262663058.7379491</v>
      </c>
    </row>
    <row r="137" spans="1:2" x14ac:dyDescent="0.3">
      <c r="A137" s="34" t="s">
        <v>133</v>
      </c>
      <c r="B137" s="36">
        <v>423704.61775252776</v>
      </c>
    </row>
    <row r="138" spans="1:2" x14ac:dyDescent="0.3">
      <c r="A138" s="34" t="s">
        <v>134</v>
      </c>
      <c r="B138" s="36">
        <v>158267.99500398291</v>
      </c>
    </row>
    <row r="139" spans="1:2" x14ac:dyDescent="0.3">
      <c r="A139" s="34" t="s">
        <v>135</v>
      </c>
      <c r="B139" s="36">
        <v>12347819549.489408</v>
      </c>
    </row>
    <row r="140" spans="1:2" x14ac:dyDescent="0.3">
      <c r="A140" s="34" t="s">
        <v>136</v>
      </c>
      <c r="B140" s="36">
        <v>1922024834.9295845</v>
      </c>
    </row>
    <row r="141" spans="1:2" x14ac:dyDescent="0.3">
      <c r="A141" s="34" t="s">
        <v>137</v>
      </c>
      <c r="B141" s="36">
        <v>164015295.28163341</v>
      </c>
    </row>
    <row r="142" spans="1:2" x14ac:dyDescent="0.3">
      <c r="A142" s="34" t="s">
        <v>138</v>
      </c>
      <c r="B142" s="36">
        <v>549804.64173889812</v>
      </c>
    </row>
    <row r="143" spans="1:2" x14ac:dyDescent="0.3">
      <c r="A143" s="34" t="s">
        <v>139</v>
      </c>
      <c r="B143" s="36">
        <v>119117509.48467569</v>
      </c>
    </row>
    <row r="144" spans="1:2" x14ac:dyDescent="0.3">
      <c r="A144" s="34" t="s">
        <v>140</v>
      </c>
      <c r="B144" s="36">
        <v>798002558.37785327</v>
      </c>
    </row>
    <row r="145" spans="1:2" x14ac:dyDescent="0.3">
      <c r="A145" s="34" t="s">
        <v>141</v>
      </c>
      <c r="B145" s="36">
        <v>4854935746.6788845</v>
      </c>
    </row>
    <row r="146" spans="1:2" x14ac:dyDescent="0.3">
      <c r="A146" s="34" t="s">
        <v>142</v>
      </c>
      <c r="B146" s="36">
        <v>2110592191.7653136</v>
      </c>
    </row>
    <row r="147" spans="1:2" x14ac:dyDescent="0.3">
      <c r="A147" s="34" t="s">
        <v>143</v>
      </c>
      <c r="B147" s="36">
        <v>335809000.62020051</v>
      </c>
    </row>
    <row r="148" spans="1:2" x14ac:dyDescent="0.3">
      <c r="A148" s="34" t="s">
        <v>144</v>
      </c>
      <c r="B148" s="36">
        <v>14743263861.956627</v>
      </c>
    </row>
    <row r="149" spans="1:2" x14ac:dyDescent="0.3">
      <c r="A149" s="34" t="s">
        <v>145</v>
      </c>
      <c r="B149" s="36">
        <v>149394831.70961282</v>
      </c>
    </row>
    <row r="150" spans="1:2" x14ac:dyDescent="0.3">
      <c r="A150" s="34" t="s">
        <v>146</v>
      </c>
      <c r="B150" s="36">
        <v>1112542408.1096597</v>
      </c>
    </row>
    <row r="151" spans="1:2" x14ac:dyDescent="0.3">
      <c r="A151" s="34" t="s">
        <v>147</v>
      </c>
      <c r="B151" s="36">
        <v>7552456730.2962942</v>
      </c>
    </row>
    <row r="152" spans="1:2" x14ac:dyDescent="0.3">
      <c r="A152" s="34" t="s">
        <v>148</v>
      </c>
      <c r="B152" s="36">
        <v>222414058.16564521</v>
      </c>
    </row>
    <row r="153" spans="1:2" x14ac:dyDescent="0.3">
      <c r="A153" s="34" t="s">
        <v>149</v>
      </c>
      <c r="B153" s="36">
        <v>2241902977.2669964</v>
      </c>
    </row>
    <row r="154" spans="1:2" x14ac:dyDescent="0.3">
      <c r="A154" s="34" t="s">
        <v>150</v>
      </c>
      <c r="B154" s="36">
        <v>2193104429.9689364</v>
      </c>
    </row>
    <row r="155" spans="1:2" x14ac:dyDescent="0.3">
      <c r="A155" s="34" t="s">
        <v>151</v>
      </c>
      <c r="B155" s="36">
        <v>0</v>
      </c>
    </row>
    <row r="156" spans="1:2" x14ac:dyDescent="0.3">
      <c r="A156" s="34" t="s">
        <v>152</v>
      </c>
      <c r="B156" s="36">
        <v>5282673605.6081657</v>
      </c>
    </row>
    <row r="157" spans="1:2" x14ac:dyDescent="0.3">
      <c r="A157" s="34" t="s">
        <v>153</v>
      </c>
      <c r="B157" s="36">
        <v>1848137020.7774274</v>
      </c>
    </row>
    <row r="158" spans="1:2" x14ac:dyDescent="0.3">
      <c r="A158" s="34" t="s">
        <v>154</v>
      </c>
      <c r="B158" s="36">
        <v>1071.9517544454659</v>
      </c>
    </row>
    <row r="159" spans="1:2" x14ac:dyDescent="0.3">
      <c r="A159" s="34" t="s">
        <v>155</v>
      </c>
      <c r="B159" s="36">
        <v>12202.175216727665</v>
      </c>
    </row>
    <row r="160" spans="1:2" x14ac:dyDescent="0.3">
      <c r="A160" s="34" t="s">
        <v>156</v>
      </c>
      <c r="B160" s="36">
        <v>3379827.5182744181</v>
      </c>
    </row>
    <row r="161" spans="1:2" x14ac:dyDescent="0.3">
      <c r="A161" s="34" t="s">
        <v>157</v>
      </c>
      <c r="B161" s="36">
        <v>2685552191.2609744</v>
      </c>
    </row>
    <row r="162" spans="1:2" x14ac:dyDescent="0.3">
      <c r="A162" s="34" t="s">
        <v>158</v>
      </c>
      <c r="B162" s="36">
        <v>5411334886.3985386</v>
      </c>
    </row>
    <row r="163" spans="1:2" x14ac:dyDescent="0.3">
      <c r="A163" s="34" t="s">
        <v>159</v>
      </c>
      <c r="B163" s="36">
        <v>135474948.11244699</v>
      </c>
    </row>
    <row r="164" spans="1:2" x14ac:dyDescent="0.3">
      <c r="A164" s="34" t="s">
        <v>160</v>
      </c>
      <c r="B164" s="36">
        <v>17682622222.757915</v>
      </c>
    </row>
    <row r="165" spans="1:2" x14ac:dyDescent="0.3">
      <c r="A165" s="34" t="s">
        <v>161</v>
      </c>
      <c r="B165" s="36">
        <v>1499113518.0954075</v>
      </c>
    </row>
    <row r="166" spans="1:2" x14ac:dyDescent="0.3">
      <c r="A166" s="34" t="s">
        <v>162</v>
      </c>
      <c r="B166" s="36">
        <v>2127465.1855828473</v>
      </c>
    </row>
    <row r="167" spans="1:2" x14ac:dyDescent="0.3">
      <c r="A167" s="34" t="s">
        <v>163</v>
      </c>
      <c r="B167" s="36">
        <v>40573866331.415947</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201355049.38860995</v>
      </c>
    </row>
    <row r="180" spans="1:2" x14ac:dyDescent="0.3">
      <c r="A180" s="34" t="s">
        <v>176</v>
      </c>
      <c r="B180" s="36">
        <v>340620.07262268703</v>
      </c>
    </row>
    <row r="181" spans="1:2" x14ac:dyDescent="0.3">
      <c r="A181" s="34" t="s">
        <v>177</v>
      </c>
      <c r="B181" s="36">
        <v>0</v>
      </c>
    </row>
    <row r="182" spans="1:2" x14ac:dyDescent="0.3">
      <c r="A182" s="34" t="s">
        <v>178</v>
      </c>
      <c r="B182" s="36">
        <v>3892362.3423561556</v>
      </c>
    </row>
    <row r="183" spans="1:2" x14ac:dyDescent="0.3">
      <c r="A183" s="34" t="s">
        <v>179</v>
      </c>
      <c r="B183" s="36">
        <v>51382893.537803836</v>
      </c>
    </row>
    <row r="184" spans="1:2" x14ac:dyDescent="0.3">
      <c r="A184" s="34" t="s">
        <v>180</v>
      </c>
      <c r="B184" s="36">
        <v>593319133.50267994</v>
      </c>
    </row>
    <row r="185" spans="1:2" x14ac:dyDescent="0.3">
      <c r="A185" s="34" t="s">
        <v>181</v>
      </c>
      <c r="B185" s="36">
        <v>406358.47620078269</v>
      </c>
    </row>
    <row r="186" spans="1:2" x14ac:dyDescent="0.3">
      <c r="A186" s="34" t="s">
        <v>182</v>
      </c>
      <c r="B186" s="36">
        <v>1416506304.7265868</v>
      </c>
    </row>
    <row r="187" spans="1:2" x14ac:dyDescent="0.3">
      <c r="A187" s="34" t="s">
        <v>183</v>
      </c>
      <c r="B187" s="36">
        <v>21304556966.350925</v>
      </c>
    </row>
    <row r="188" spans="1:2" x14ac:dyDescent="0.3">
      <c r="A188" s="34" t="s">
        <v>184</v>
      </c>
      <c r="B188" s="36">
        <v>138011.17414111193</v>
      </c>
    </row>
    <row r="189" spans="1:2" x14ac:dyDescent="0.3">
      <c r="A189" s="34" t="s">
        <v>185</v>
      </c>
      <c r="B189" s="36">
        <v>56271.815727926929</v>
      </c>
    </row>
    <row r="190" spans="1:2" x14ac:dyDescent="0.3">
      <c r="A190" s="34" t="s">
        <v>186</v>
      </c>
      <c r="B190" s="36">
        <v>566787156.04954457</v>
      </c>
    </row>
    <row r="191" spans="1:2" x14ac:dyDescent="0.3">
      <c r="A191" s="34" t="s">
        <v>187</v>
      </c>
      <c r="B191" s="36">
        <v>0</v>
      </c>
    </row>
    <row r="192" spans="1:2" x14ac:dyDescent="0.3">
      <c r="A192" s="34" t="s">
        <v>188</v>
      </c>
      <c r="B192" s="36">
        <v>6542683.9155682661</v>
      </c>
    </row>
    <row r="193" spans="1:2" x14ac:dyDescent="0.3">
      <c r="A193" s="34" t="s">
        <v>189</v>
      </c>
      <c r="B193" s="36">
        <v>0</v>
      </c>
    </row>
    <row r="194" spans="1:2" x14ac:dyDescent="0.3">
      <c r="A194" s="34" t="s">
        <v>190</v>
      </c>
      <c r="B194" s="36">
        <v>19787961273.916656</v>
      </c>
    </row>
    <row r="195" spans="1:2" x14ac:dyDescent="0.3">
      <c r="A195" s="34" t="s">
        <v>191</v>
      </c>
      <c r="B195" s="36">
        <v>40535856853.702934</v>
      </c>
    </row>
    <row r="196" spans="1:2" x14ac:dyDescent="0.3">
      <c r="A196" s="34" t="s">
        <v>192</v>
      </c>
      <c r="B196" s="36">
        <v>1283749695.5887873</v>
      </c>
    </row>
    <row r="197" spans="1:2" x14ac:dyDescent="0.3">
      <c r="A197" s="34" t="s">
        <v>193</v>
      </c>
      <c r="B197" s="36">
        <v>3468720.6500092666</v>
      </c>
    </row>
    <row r="198" spans="1:2" x14ac:dyDescent="0.3">
      <c r="A198" s="34" t="s">
        <v>194</v>
      </c>
      <c r="B198" s="36">
        <v>104867923.67922674</v>
      </c>
    </row>
    <row r="199" spans="1:2" x14ac:dyDescent="0.3">
      <c r="A199" s="34" t="s">
        <v>195</v>
      </c>
      <c r="B199" s="36">
        <v>2189376432.6405759</v>
      </c>
    </row>
    <row r="200" spans="1:2" x14ac:dyDescent="0.3">
      <c r="A200" s="34" t="s">
        <v>196</v>
      </c>
      <c r="B200" s="36">
        <v>0</v>
      </c>
    </row>
    <row r="201" spans="1:2" x14ac:dyDescent="0.3">
      <c r="A201" s="34" t="s">
        <v>197</v>
      </c>
      <c r="B201" s="36">
        <v>343697.51587768464</v>
      </c>
    </row>
    <row r="202" spans="1:2" x14ac:dyDescent="0.3">
      <c r="A202" s="34" t="s">
        <v>198</v>
      </c>
      <c r="B202" s="36">
        <v>90652.249311356602</v>
      </c>
    </row>
    <row r="203" spans="1:2" x14ac:dyDescent="0.3">
      <c r="A203" s="34" t="s">
        <v>199</v>
      </c>
      <c r="B203" s="36">
        <v>267959452.02888933</v>
      </c>
    </row>
    <row r="204" spans="1:2" x14ac:dyDescent="0.3">
      <c r="A204" s="34" t="s">
        <v>200</v>
      </c>
      <c r="B204" s="36">
        <v>2098532585.4302313</v>
      </c>
    </row>
  </sheetData>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E5E6-DAEE-420E-BD16-BD371BAF355F}">
  <sheetPr codeName="Sheet18"/>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292</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84946357.195858523</v>
      </c>
    </row>
    <row r="6" spans="1:2" x14ac:dyDescent="0.3">
      <c r="A6" s="34" t="s">
        <v>2</v>
      </c>
      <c r="B6" s="36">
        <v>31406648937.248867</v>
      </c>
    </row>
    <row r="7" spans="1:2" x14ac:dyDescent="0.3">
      <c r="A7" s="34" t="s">
        <v>3</v>
      </c>
      <c r="B7" s="36">
        <v>22890590356.702656</v>
      </c>
    </row>
    <row r="8" spans="1:2" x14ac:dyDescent="0.3">
      <c r="A8" s="34" t="s">
        <v>4</v>
      </c>
      <c r="B8" s="36">
        <v>13715861.532633236</v>
      </c>
    </row>
    <row r="9" spans="1:2" x14ac:dyDescent="0.3">
      <c r="A9" s="34" t="s">
        <v>5</v>
      </c>
      <c r="B9" s="36">
        <v>296195565.03396547</v>
      </c>
    </row>
    <row r="10" spans="1:2" x14ac:dyDescent="0.3">
      <c r="A10" s="34" t="s">
        <v>6</v>
      </c>
      <c r="B10" s="36">
        <v>875431507.3969698</v>
      </c>
    </row>
    <row r="11" spans="1:2" x14ac:dyDescent="0.3">
      <c r="A11" s="34" t="s">
        <v>7</v>
      </c>
      <c r="B11" s="36">
        <v>0</v>
      </c>
    </row>
    <row r="12" spans="1:2" x14ac:dyDescent="0.3">
      <c r="A12" s="34" t="s">
        <v>8</v>
      </c>
      <c r="B12" s="36">
        <v>4871766.1071954416</v>
      </c>
    </row>
    <row r="13" spans="1:2" x14ac:dyDescent="0.3">
      <c r="A13" s="34" t="s">
        <v>9</v>
      </c>
      <c r="B13" s="36">
        <v>25882676.952535894</v>
      </c>
    </row>
    <row r="14" spans="1:2" x14ac:dyDescent="0.3">
      <c r="A14" s="34" t="s">
        <v>10</v>
      </c>
      <c r="B14" s="36">
        <v>101544790241.02666</v>
      </c>
    </row>
    <row r="15" spans="1:2" x14ac:dyDescent="0.3">
      <c r="A15" s="34" t="s">
        <v>11</v>
      </c>
      <c r="B15" s="36">
        <v>3115704217.0688066</v>
      </c>
    </row>
    <row r="16" spans="1:2" x14ac:dyDescent="0.3">
      <c r="A16" s="34" t="s">
        <v>12</v>
      </c>
      <c r="B16" s="36">
        <v>2574486577.2790771</v>
      </c>
    </row>
    <row r="17" spans="1:2" x14ac:dyDescent="0.3">
      <c r="A17" s="34" t="s">
        <v>13</v>
      </c>
      <c r="B17" s="36">
        <v>10545.764077751042</v>
      </c>
    </row>
    <row r="18" spans="1:2" x14ac:dyDescent="0.3">
      <c r="A18" s="34" t="s">
        <v>14</v>
      </c>
      <c r="B18" s="36">
        <v>625985415.32380915</v>
      </c>
    </row>
    <row r="19" spans="1:2" x14ac:dyDescent="0.3">
      <c r="A19" s="34" t="s">
        <v>15</v>
      </c>
      <c r="B19" s="36">
        <v>480089337.67497122</v>
      </c>
    </row>
    <row r="20" spans="1:2" x14ac:dyDescent="0.3">
      <c r="A20" s="34" t="s">
        <v>16</v>
      </c>
      <c r="B20" s="36">
        <v>95463.28454353835</v>
      </c>
    </row>
    <row r="21" spans="1:2" x14ac:dyDescent="0.3">
      <c r="A21" s="34" t="s">
        <v>17</v>
      </c>
      <c r="B21" s="36">
        <v>0</v>
      </c>
    </row>
    <row r="22" spans="1:2" x14ac:dyDescent="0.3">
      <c r="A22" s="34" t="s">
        <v>18</v>
      </c>
      <c r="B22" s="36">
        <v>287572220.74352264</v>
      </c>
    </row>
    <row r="23" spans="1:2" x14ac:dyDescent="0.3">
      <c r="A23" s="34" t="s">
        <v>19</v>
      </c>
      <c r="B23" s="36">
        <v>65241846.434143633</v>
      </c>
    </row>
    <row r="24" spans="1:2" x14ac:dyDescent="0.3">
      <c r="A24" s="34" t="s">
        <v>20</v>
      </c>
      <c r="B24" s="36">
        <v>16859856227.969994</v>
      </c>
    </row>
    <row r="25" spans="1:2" x14ac:dyDescent="0.3">
      <c r="A25" s="34" t="s">
        <v>21</v>
      </c>
      <c r="B25" s="36">
        <v>5975384490.2329826</v>
      </c>
    </row>
    <row r="26" spans="1:2" x14ac:dyDescent="0.3">
      <c r="A26" s="34" t="s">
        <v>22</v>
      </c>
      <c r="B26" s="36">
        <v>3210808738.7665958</v>
      </c>
    </row>
    <row r="27" spans="1:2" x14ac:dyDescent="0.3">
      <c r="A27" s="34" t="s">
        <v>23</v>
      </c>
      <c r="B27" s="36">
        <v>238054854.09400716</v>
      </c>
    </row>
    <row r="28" spans="1:2" x14ac:dyDescent="0.3">
      <c r="A28" s="34" t="s">
        <v>24</v>
      </c>
      <c r="B28" s="36">
        <v>623583159.12094998</v>
      </c>
    </row>
    <row r="29" spans="1:2" x14ac:dyDescent="0.3">
      <c r="A29" s="34" t="s">
        <v>25</v>
      </c>
      <c r="B29" s="36">
        <v>80370203299.136139</v>
      </c>
    </row>
    <row r="30" spans="1:2" x14ac:dyDescent="0.3">
      <c r="A30" s="34" t="s">
        <v>26</v>
      </c>
      <c r="B30" s="36">
        <v>266981017.51189625</v>
      </c>
    </row>
    <row r="31" spans="1:2" x14ac:dyDescent="0.3">
      <c r="A31" s="34" t="s">
        <v>27</v>
      </c>
      <c r="B31" s="36">
        <v>1532368903.8963635</v>
      </c>
    </row>
    <row r="32" spans="1:2" x14ac:dyDescent="0.3">
      <c r="A32" s="34" t="s">
        <v>28</v>
      </c>
      <c r="B32" s="36">
        <v>468618.20938714576</v>
      </c>
    </row>
    <row r="33" spans="1:2" x14ac:dyDescent="0.3">
      <c r="A33" s="34" t="s">
        <v>29</v>
      </c>
      <c r="B33" s="36">
        <v>958420991.92285013</v>
      </c>
    </row>
    <row r="34" spans="1:2" x14ac:dyDescent="0.3">
      <c r="A34" s="34" t="s">
        <v>30</v>
      </c>
      <c r="B34" s="36">
        <v>0</v>
      </c>
    </row>
    <row r="35" spans="1:2" x14ac:dyDescent="0.3">
      <c r="A35" s="34" t="s">
        <v>31</v>
      </c>
      <c r="B35" s="36">
        <v>6766390818.584897</v>
      </c>
    </row>
    <row r="36" spans="1:2" x14ac:dyDescent="0.3">
      <c r="A36" s="34" t="s">
        <v>32</v>
      </c>
      <c r="B36" s="36">
        <v>12828130619.134598</v>
      </c>
    </row>
    <row r="37" spans="1:2" x14ac:dyDescent="0.3">
      <c r="A37" s="34" t="s">
        <v>33</v>
      </c>
      <c r="B37" s="36">
        <v>102013614.852375</v>
      </c>
    </row>
    <row r="38" spans="1:2" x14ac:dyDescent="0.3">
      <c r="A38" s="34" t="s">
        <v>34</v>
      </c>
      <c r="B38" s="36">
        <v>9836023436.1062775</v>
      </c>
    </row>
    <row r="39" spans="1:2" x14ac:dyDescent="0.3">
      <c r="A39" s="34" t="s">
        <v>35</v>
      </c>
      <c r="B39" s="36">
        <v>6924891005.9175739</v>
      </c>
    </row>
    <row r="40" spans="1:2" x14ac:dyDescent="0.3">
      <c r="A40" s="34" t="s">
        <v>36</v>
      </c>
      <c r="B40" s="36">
        <v>166263393986.78412</v>
      </c>
    </row>
    <row r="41" spans="1:2" x14ac:dyDescent="0.3">
      <c r="A41" s="34" t="s">
        <v>37</v>
      </c>
      <c r="B41" s="36">
        <v>2644481492.0526123</v>
      </c>
    </row>
    <row r="42" spans="1:2" x14ac:dyDescent="0.3">
      <c r="A42" s="34" t="s">
        <v>38</v>
      </c>
      <c r="B42" s="36">
        <v>0</v>
      </c>
    </row>
    <row r="43" spans="1:2" x14ac:dyDescent="0.3">
      <c r="A43" s="34" t="s">
        <v>39</v>
      </c>
      <c r="B43" s="36">
        <v>0</v>
      </c>
    </row>
    <row r="44" spans="1:2" x14ac:dyDescent="0.3">
      <c r="A44" s="34" t="s">
        <v>40</v>
      </c>
      <c r="B44" s="36">
        <v>791512686.30806625</v>
      </c>
    </row>
    <row r="45" spans="1:2" x14ac:dyDescent="0.3">
      <c r="A45" s="34" t="s">
        <v>41</v>
      </c>
      <c r="B45" s="36">
        <v>49164309216.215988</v>
      </c>
    </row>
    <row r="46" spans="1:2" x14ac:dyDescent="0.3">
      <c r="A46" s="34" t="s">
        <v>42</v>
      </c>
      <c r="B46" s="36">
        <v>15960403.602476943</v>
      </c>
    </row>
    <row r="47" spans="1:2" x14ac:dyDescent="0.3">
      <c r="A47" s="34" t="s">
        <v>43</v>
      </c>
      <c r="B47" s="36">
        <v>377698713.72382194</v>
      </c>
    </row>
    <row r="48" spans="1:2" x14ac:dyDescent="0.3">
      <c r="A48" s="34" t="s">
        <v>44</v>
      </c>
      <c r="B48" s="36">
        <v>17955501105.483219</v>
      </c>
    </row>
    <row r="49" spans="1:2" x14ac:dyDescent="0.3">
      <c r="A49" s="34" t="s">
        <v>45</v>
      </c>
      <c r="B49" s="36">
        <v>18312242491.722591</v>
      </c>
    </row>
    <row r="50" spans="1:2" x14ac:dyDescent="0.3">
      <c r="A50" s="34" t="s">
        <v>46</v>
      </c>
      <c r="B50" s="36">
        <v>417212427.49612391</v>
      </c>
    </row>
    <row r="51" spans="1:2" x14ac:dyDescent="0.3">
      <c r="A51" s="34" t="s">
        <v>47</v>
      </c>
      <c r="B51" s="36">
        <v>557539790.73103678</v>
      </c>
    </row>
    <row r="52" spans="1:2" x14ac:dyDescent="0.3">
      <c r="A52" s="34" t="s">
        <v>48</v>
      </c>
      <c r="B52" s="36">
        <v>561478682.94807553</v>
      </c>
    </row>
    <row r="53" spans="1:2" x14ac:dyDescent="0.3">
      <c r="A53" s="34" t="s">
        <v>49</v>
      </c>
      <c r="B53" s="36">
        <v>109508362.30885187</v>
      </c>
    </row>
    <row r="54" spans="1:2" x14ac:dyDescent="0.3">
      <c r="A54" s="34" t="s">
        <v>50</v>
      </c>
      <c r="B54" s="36">
        <v>133175.66957162271</v>
      </c>
    </row>
    <row r="55" spans="1:2" x14ac:dyDescent="0.3">
      <c r="A55" s="34" t="s">
        <v>51</v>
      </c>
      <c r="B55" s="36">
        <v>22107.671885149524</v>
      </c>
    </row>
    <row r="56" spans="1:2" x14ac:dyDescent="0.3">
      <c r="A56" s="34" t="s">
        <v>52</v>
      </c>
      <c r="B56" s="36">
        <v>57222454.168685466</v>
      </c>
    </row>
    <row r="57" spans="1:2" x14ac:dyDescent="0.3">
      <c r="A57" s="34" t="s">
        <v>53</v>
      </c>
      <c r="B57" s="36">
        <v>402611.55634559138</v>
      </c>
    </row>
    <row r="58" spans="1:2" x14ac:dyDescent="0.3">
      <c r="A58" s="34" t="s">
        <v>54</v>
      </c>
      <c r="B58" s="36">
        <v>190543139.15583262</v>
      </c>
    </row>
    <row r="59" spans="1:2" x14ac:dyDescent="0.3">
      <c r="A59" s="34" t="s">
        <v>55</v>
      </c>
      <c r="B59" s="36">
        <v>0</v>
      </c>
    </row>
    <row r="60" spans="1:2" x14ac:dyDescent="0.3">
      <c r="A60" s="34" t="s">
        <v>56</v>
      </c>
      <c r="B60" s="36">
        <v>50647060827.516754</v>
      </c>
    </row>
    <row r="61" spans="1:2" x14ac:dyDescent="0.3">
      <c r="A61" s="34" t="s">
        <v>57</v>
      </c>
      <c r="B61" s="36">
        <v>6650255210.8491678</v>
      </c>
    </row>
    <row r="62" spans="1:2" x14ac:dyDescent="0.3">
      <c r="A62" s="34" t="s">
        <v>58</v>
      </c>
      <c r="B62" s="36">
        <v>1263609133.0552282</v>
      </c>
    </row>
    <row r="63" spans="1:2" x14ac:dyDescent="0.3">
      <c r="A63" s="34" t="s">
        <v>59</v>
      </c>
      <c r="B63" s="36">
        <v>7656029561.5625877</v>
      </c>
    </row>
    <row r="64" spans="1:2" x14ac:dyDescent="0.3">
      <c r="A64" s="34" t="s">
        <v>60</v>
      </c>
      <c r="B64" s="36">
        <v>9465365732.6382275</v>
      </c>
    </row>
    <row r="65" spans="1:2" x14ac:dyDescent="0.3">
      <c r="A65" s="34" t="s">
        <v>61</v>
      </c>
      <c r="B65" s="36">
        <v>8029.2676834155873</v>
      </c>
    </row>
    <row r="66" spans="1:2" x14ac:dyDescent="0.3">
      <c r="A66" s="34" t="s">
        <v>62</v>
      </c>
      <c r="B66" s="36">
        <v>10229165.754890004</v>
      </c>
    </row>
    <row r="67" spans="1:2" x14ac:dyDescent="0.3">
      <c r="A67" s="34" t="s">
        <v>63</v>
      </c>
      <c r="B67" s="36">
        <v>11600263.932136824</v>
      </c>
    </row>
    <row r="68" spans="1:2" x14ac:dyDescent="0.3">
      <c r="A68" s="34" t="s">
        <v>64</v>
      </c>
      <c r="B68" s="36">
        <v>4952560.0108085098</v>
      </c>
    </row>
    <row r="69" spans="1:2" x14ac:dyDescent="0.3">
      <c r="A69" s="34" t="s">
        <v>65</v>
      </c>
      <c r="B69" s="36">
        <v>2580540.7768613771</v>
      </c>
    </row>
    <row r="70" spans="1:2" x14ac:dyDescent="0.3">
      <c r="A70" s="34" t="s">
        <v>66</v>
      </c>
      <c r="B70" s="36">
        <v>0</v>
      </c>
    </row>
    <row r="71" spans="1:2" x14ac:dyDescent="0.3">
      <c r="A71" s="34" t="s">
        <v>67</v>
      </c>
      <c r="B71" s="36">
        <v>16301536485.135773</v>
      </c>
    </row>
    <row r="72" spans="1:2" x14ac:dyDescent="0.3">
      <c r="A72" s="34" t="s">
        <v>68</v>
      </c>
      <c r="B72" s="36">
        <v>0</v>
      </c>
    </row>
    <row r="73" spans="1:2" x14ac:dyDescent="0.3">
      <c r="A73" s="34" t="s">
        <v>69</v>
      </c>
      <c r="B73" s="36">
        <v>84942.910210867209</v>
      </c>
    </row>
    <row r="74" spans="1:2" x14ac:dyDescent="0.3">
      <c r="A74" s="34" t="s">
        <v>70</v>
      </c>
      <c r="B74" s="36">
        <v>21254042164.443993</v>
      </c>
    </row>
    <row r="75" spans="1:2" x14ac:dyDescent="0.3">
      <c r="A75" s="34" t="s">
        <v>71</v>
      </c>
      <c r="B75" s="36">
        <v>0</v>
      </c>
    </row>
    <row r="76" spans="1:2" x14ac:dyDescent="0.3">
      <c r="A76" s="34" t="s">
        <v>72</v>
      </c>
      <c r="B76" s="36">
        <v>13262482235.445908</v>
      </c>
    </row>
    <row r="77" spans="1:2" x14ac:dyDescent="0.3">
      <c r="A77" s="34" t="s">
        <v>73</v>
      </c>
      <c r="B77" s="36">
        <v>504487439.57417506</v>
      </c>
    </row>
    <row r="78" spans="1:2" x14ac:dyDescent="0.3">
      <c r="A78" s="34" t="s">
        <v>74</v>
      </c>
      <c r="B78" s="36">
        <v>7862319445.0082684</v>
      </c>
    </row>
    <row r="79" spans="1:2" x14ac:dyDescent="0.3">
      <c r="A79" s="34" t="s">
        <v>75</v>
      </c>
      <c r="B79" s="36">
        <v>20493847942.728786</v>
      </c>
    </row>
    <row r="80" spans="1:2" x14ac:dyDescent="0.3">
      <c r="A80" s="34" t="s">
        <v>76</v>
      </c>
      <c r="B80" s="36">
        <v>5295767.1329218047</v>
      </c>
    </row>
    <row r="81" spans="1:2" x14ac:dyDescent="0.3">
      <c r="A81" s="34" t="s">
        <v>77</v>
      </c>
      <c r="B81" s="36">
        <v>574827226.97303843</v>
      </c>
    </row>
    <row r="82" spans="1:2" x14ac:dyDescent="0.3">
      <c r="A82" s="34" t="s">
        <v>78</v>
      </c>
      <c r="B82" s="36">
        <v>2393281158.4389668</v>
      </c>
    </row>
    <row r="83" spans="1:2" x14ac:dyDescent="0.3">
      <c r="A83" s="34" t="s">
        <v>79</v>
      </c>
      <c r="B83" s="36">
        <v>19043123.92186385</v>
      </c>
    </row>
    <row r="84" spans="1:2" x14ac:dyDescent="0.3">
      <c r="A84" s="34" t="s">
        <v>80</v>
      </c>
      <c r="B84" s="36">
        <v>13052.356019302038</v>
      </c>
    </row>
    <row r="85" spans="1:2" x14ac:dyDescent="0.3">
      <c r="A85" s="34" t="s">
        <v>81</v>
      </c>
      <c r="B85" s="36">
        <v>366913102.30507892</v>
      </c>
    </row>
    <row r="86" spans="1:2" x14ac:dyDescent="0.3">
      <c r="A86" s="34" t="s">
        <v>82</v>
      </c>
      <c r="B86" s="36">
        <v>12917137924.238251</v>
      </c>
    </row>
    <row r="87" spans="1:2" x14ac:dyDescent="0.3">
      <c r="A87" s="34" t="s">
        <v>83</v>
      </c>
      <c r="B87" s="36">
        <v>3262548830.2722912</v>
      </c>
    </row>
    <row r="88" spans="1:2" x14ac:dyDescent="0.3">
      <c r="A88" s="34" t="s">
        <v>84</v>
      </c>
      <c r="B88" s="36">
        <v>27593636.31576125</v>
      </c>
    </row>
    <row r="89" spans="1:2" x14ac:dyDescent="0.3">
      <c r="A89" s="34" t="s">
        <v>85</v>
      </c>
      <c r="B89" s="36">
        <v>5664865263.9536171</v>
      </c>
    </row>
    <row r="90" spans="1:2" x14ac:dyDescent="0.3">
      <c r="A90" s="34" t="s">
        <v>86</v>
      </c>
      <c r="B90" s="36">
        <v>2925038.0712013124</v>
      </c>
    </row>
    <row r="91" spans="1:2" x14ac:dyDescent="0.3">
      <c r="A91" s="34" t="s">
        <v>87</v>
      </c>
      <c r="B91" s="36">
        <v>4798891900.2689724</v>
      </c>
    </row>
    <row r="92" spans="1:2" x14ac:dyDescent="0.3">
      <c r="A92" s="34" t="s">
        <v>88</v>
      </c>
      <c r="B92" s="36">
        <v>26112069.571625233</v>
      </c>
    </row>
    <row r="93" spans="1:2" x14ac:dyDescent="0.3">
      <c r="A93" s="34" t="s">
        <v>89</v>
      </c>
      <c r="B93" s="36">
        <v>78017939.660442337</v>
      </c>
    </row>
    <row r="94" spans="1:2" x14ac:dyDescent="0.3">
      <c r="A94" s="34" t="s">
        <v>90</v>
      </c>
      <c r="B94" s="36">
        <v>0</v>
      </c>
    </row>
    <row r="95" spans="1:2" x14ac:dyDescent="0.3">
      <c r="A95" s="34" t="s">
        <v>91</v>
      </c>
      <c r="B95" s="36">
        <v>0</v>
      </c>
    </row>
    <row r="96" spans="1:2" x14ac:dyDescent="0.3">
      <c r="A96" s="34" t="s">
        <v>92</v>
      </c>
      <c r="B96" s="36">
        <v>485523276.98432702</v>
      </c>
    </row>
    <row r="97" spans="1:2" x14ac:dyDescent="0.3">
      <c r="A97" s="34" t="s">
        <v>93</v>
      </c>
      <c r="B97" s="36">
        <v>356623428.92794091</v>
      </c>
    </row>
    <row r="98" spans="1:2" x14ac:dyDescent="0.3">
      <c r="A98" s="34" t="s">
        <v>94</v>
      </c>
      <c r="B98" s="36">
        <v>6941775023.9489937</v>
      </c>
    </row>
    <row r="99" spans="1:2" x14ac:dyDescent="0.3">
      <c r="A99" s="34" t="s">
        <v>95</v>
      </c>
      <c r="B99" s="36">
        <v>411358088.17468506</v>
      </c>
    </row>
    <row r="100" spans="1:2" x14ac:dyDescent="0.3">
      <c r="A100" s="34" t="s">
        <v>96</v>
      </c>
      <c r="B100" s="36">
        <v>4063591551.9320974</v>
      </c>
    </row>
    <row r="101" spans="1:2" x14ac:dyDescent="0.3">
      <c r="A101" s="34" t="s">
        <v>97</v>
      </c>
      <c r="B101" s="36">
        <v>11918229968.7609</v>
      </c>
    </row>
    <row r="102" spans="1:2" x14ac:dyDescent="0.3">
      <c r="A102" s="34" t="s">
        <v>98</v>
      </c>
      <c r="B102" s="36">
        <v>529129332.94037199</v>
      </c>
    </row>
    <row r="103" spans="1:2" x14ac:dyDescent="0.3">
      <c r="A103" s="34" t="s">
        <v>99</v>
      </c>
      <c r="B103" s="36">
        <v>2448682767.6668234</v>
      </c>
    </row>
    <row r="104" spans="1:2" x14ac:dyDescent="0.3">
      <c r="A104" s="34" t="s">
        <v>100</v>
      </c>
      <c r="B104" s="36">
        <v>4121411301.6346431</v>
      </c>
    </row>
    <row r="105" spans="1:2" x14ac:dyDescent="0.3">
      <c r="A105" s="34" t="s">
        <v>101</v>
      </c>
      <c r="B105" s="36">
        <v>31893205888.945484</v>
      </c>
    </row>
    <row r="106" spans="1:2" x14ac:dyDescent="0.3">
      <c r="A106" s="34" t="s">
        <v>102</v>
      </c>
      <c r="B106" s="36">
        <v>2497501.2282619597</v>
      </c>
    </row>
    <row r="107" spans="1:2" x14ac:dyDescent="0.3">
      <c r="A107" s="34" t="s">
        <v>103</v>
      </c>
      <c r="B107" s="36">
        <v>573613378.81120217</v>
      </c>
    </row>
    <row r="108" spans="1:2" x14ac:dyDescent="0.3">
      <c r="A108" s="34" t="s">
        <v>104</v>
      </c>
      <c r="B108" s="36">
        <v>6423720.0747071728</v>
      </c>
    </row>
    <row r="109" spans="1:2" x14ac:dyDescent="0.3">
      <c r="A109" s="34" t="s">
        <v>105</v>
      </c>
      <c r="B109" s="36">
        <v>15179317685.605753</v>
      </c>
    </row>
    <row r="110" spans="1:2" x14ac:dyDescent="0.3">
      <c r="A110" s="34" t="s">
        <v>106</v>
      </c>
      <c r="B110" s="36">
        <v>8119174959.3621693</v>
      </c>
    </row>
    <row r="111" spans="1:2" x14ac:dyDescent="0.3">
      <c r="A111" s="34" t="s">
        <v>107</v>
      </c>
      <c r="B111" s="36">
        <v>4036783.2712166295</v>
      </c>
    </row>
    <row r="112" spans="1:2" x14ac:dyDescent="0.3">
      <c r="A112" s="34" t="s">
        <v>108</v>
      </c>
      <c r="B112" s="36">
        <v>21357085195.867428</v>
      </c>
    </row>
    <row r="113" spans="1:2" x14ac:dyDescent="0.3">
      <c r="A113" s="34" t="s">
        <v>109</v>
      </c>
      <c r="B113" s="36">
        <v>18321.837035771045</v>
      </c>
    </row>
    <row r="114" spans="1:2" x14ac:dyDescent="0.3">
      <c r="A114" s="34" t="s">
        <v>110</v>
      </c>
      <c r="B114" s="36">
        <v>16668.774142426751</v>
      </c>
    </row>
    <row r="115" spans="1:2" x14ac:dyDescent="0.3">
      <c r="A115" s="34" t="s">
        <v>111</v>
      </c>
      <c r="B115" s="36">
        <v>28010318650.063454</v>
      </c>
    </row>
    <row r="116" spans="1:2" x14ac:dyDescent="0.3">
      <c r="A116" s="34" t="s">
        <v>112</v>
      </c>
      <c r="B116" s="36">
        <v>18684344991.891663</v>
      </c>
    </row>
    <row r="117" spans="1:2" x14ac:dyDescent="0.3">
      <c r="A117" s="34" t="s">
        <v>113</v>
      </c>
      <c r="B117" s="36">
        <v>5881644.4748563347</v>
      </c>
    </row>
    <row r="118" spans="1:2" x14ac:dyDescent="0.3">
      <c r="A118" s="34" t="s">
        <v>114</v>
      </c>
      <c r="B118" s="36">
        <v>6110715158.6703806</v>
      </c>
    </row>
    <row r="119" spans="1:2" x14ac:dyDescent="0.3">
      <c r="A119" s="34" t="s">
        <v>115</v>
      </c>
      <c r="B119" s="36">
        <v>8396606043.5148544</v>
      </c>
    </row>
    <row r="120" spans="1:2" x14ac:dyDescent="0.3">
      <c r="A120" s="34" t="s">
        <v>116</v>
      </c>
      <c r="B120" s="36">
        <v>1264054723.6024265</v>
      </c>
    </row>
    <row r="121" spans="1:2" x14ac:dyDescent="0.3">
      <c r="A121" s="34" t="s">
        <v>117</v>
      </c>
      <c r="B121" s="36">
        <v>9655607970.5315228</v>
      </c>
    </row>
    <row r="122" spans="1:2" x14ac:dyDescent="0.3">
      <c r="A122" s="34" t="s">
        <v>118</v>
      </c>
      <c r="B122" s="36">
        <v>5072018.5006626826</v>
      </c>
    </row>
    <row r="123" spans="1:2" x14ac:dyDescent="0.3">
      <c r="A123" s="34" t="s">
        <v>119</v>
      </c>
      <c r="B123" s="36">
        <v>2060.5024101826234</v>
      </c>
    </row>
    <row r="124" spans="1:2" x14ac:dyDescent="0.3">
      <c r="A124" s="34" t="s">
        <v>120</v>
      </c>
      <c r="B124" s="36">
        <v>19302131143.614986</v>
      </c>
    </row>
    <row r="125" spans="1:2" x14ac:dyDescent="0.3">
      <c r="A125" s="34" t="s">
        <v>121</v>
      </c>
      <c r="B125" s="36">
        <v>469455719.82628101</v>
      </c>
    </row>
    <row r="126" spans="1:2" x14ac:dyDescent="0.3">
      <c r="A126" s="34" t="s">
        <v>122</v>
      </c>
      <c r="B126" s="36">
        <v>5513920415.6581364</v>
      </c>
    </row>
    <row r="127" spans="1:2" x14ac:dyDescent="0.3">
      <c r="A127" s="34" t="s">
        <v>123</v>
      </c>
      <c r="B127" s="36">
        <v>0</v>
      </c>
    </row>
    <row r="128" spans="1:2" x14ac:dyDescent="0.3">
      <c r="A128" s="34" t="s">
        <v>124</v>
      </c>
      <c r="B128" s="36">
        <v>2737910.0441097524</v>
      </c>
    </row>
    <row r="129" spans="1:2" x14ac:dyDescent="0.3">
      <c r="A129" s="34" t="s">
        <v>125</v>
      </c>
      <c r="B129" s="36">
        <v>989.42083366026725</v>
      </c>
    </row>
    <row r="130" spans="1:2" x14ac:dyDescent="0.3">
      <c r="A130" s="34" t="s">
        <v>126</v>
      </c>
      <c r="B130" s="36">
        <v>13881911.917475425</v>
      </c>
    </row>
    <row r="131" spans="1:2" x14ac:dyDescent="0.3">
      <c r="A131" s="34" t="s">
        <v>127</v>
      </c>
      <c r="B131" s="36">
        <v>207085138.40414971</v>
      </c>
    </row>
    <row r="132" spans="1:2" x14ac:dyDescent="0.3">
      <c r="A132" s="34" t="s">
        <v>128</v>
      </c>
      <c r="B132" s="36">
        <v>5637511.8708849512</v>
      </c>
    </row>
    <row r="133" spans="1:2" x14ac:dyDescent="0.3">
      <c r="A133" s="34" t="s">
        <v>129</v>
      </c>
      <c r="B133" s="36">
        <v>10182650.921971455</v>
      </c>
    </row>
    <row r="134" spans="1:2" x14ac:dyDescent="0.3">
      <c r="A134" s="34" t="s">
        <v>130</v>
      </c>
      <c r="B134" s="36">
        <v>221885835.88422292</v>
      </c>
    </row>
    <row r="135" spans="1:2" x14ac:dyDescent="0.3">
      <c r="A135" s="34" t="s">
        <v>131</v>
      </c>
      <c r="B135" s="36">
        <v>5012869.5420484981</v>
      </c>
    </row>
    <row r="136" spans="1:2" x14ac:dyDescent="0.3">
      <c r="A136" s="34" t="s">
        <v>132</v>
      </c>
      <c r="B136" s="36">
        <v>378905560.82815957</v>
      </c>
    </row>
    <row r="137" spans="1:2" x14ac:dyDescent="0.3">
      <c r="A137" s="34" t="s">
        <v>133</v>
      </c>
      <c r="B137" s="36">
        <v>4118447.149048062</v>
      </c>
    </row>
    <row r="138" spans="1:2" x14ac:dyDescent="0.3">
      <c r="A138" s="34" t="s">
        <v>134</v>
      </c>
      <c r="B138" s="36">
        <v>1051091.6777172906</v>
      </c>
    </row>
    <row r="139" spans="1:2" x14ac:dyDescent="0.3">
      <c r="A139" s="34" t="s">
        <v>135</v>
      </c>
      <c r="B139" s="36">
        <v>7508248813.0549431</v>
      </c>
    </row>
    <row r="140" spans="1:2" x14ac:dyDescent="0.3">
      <c r="A140" s="34" t="s">
        <v>136</v>
      </c>
      <c r="B140" s="36">
        <v>4356102025.0753574</v>
      </c>
    </row>
    <row r="141" spans="1:2" x14ac:dyDescent="0.3">
      <c r="A141" s="34" t="s">
        <v>137</v>
      </c>
      <c r="B141" s="36">
        <v>74965789.63323015</v>
      </c>
    </row>
    <row r="142" spans="1:2" x14ac:dyDescent="0.3">
      <c r="A142" s="34" t="s">
        <v>138</v>
      </c>
      <c r="B142" s="36">
        <v>557742297.63042486</v>
      </c>
    </row>
    <row r="143" spans="1:2" x14ac:dyDescent="0.3">
      <c r="A143" s="34" t="s">
        <v>139</v>
      </c>
      <c r="B143" s="36">
        <v>930369446.90754306</v>
      </c>
    </row>
    <row r="144" spans="1:2" x14ac:dyDescent="0.3">
      <c r="A144" s="34" t="s">
        <v>140</v>
      </c>
      <c r="B144" s="36">
        <v>1573784993.6556242</v>
      </c>
    </row>
    <row r="145" spans="1:2" x14ac:dyDescent="0.3">
      <c r="A145" s="34" t="s">
        <v>141</v>
      </c>
      <c r="B145" s="36">
        <v>2161620672.5789557</v>
      </c>
    </row>
    <row r="146" spans="1:2" x14ac:dyDescent="0.3">
      <c r="A146" s="34" t="s">
        <v>142</v>
      </c>
      <c r="B146" s="36">
        <v>1061091584.6664762</v>
      </c>
    </row>
    <row r="147" spans="1:2" x14ac:dyDescent="0.3">
      <c r="A147" s="34" t="s">
        <v>143</v>
      </c>
      <c r="B147" s="36">
        <v>1006373836.0525618</v>
      </c>
    </row>
    <row r="148" spans="1:2" x14ac:dyDescent="0.3">
      <c r="A148" s="34" t="s">
        <v>144</v>
      </c>
      <c r="B148" s="36">
        <v>4664604241.5863838</v>
      </c>
    </row>
    <row r="149" spans="1:2" x14ac:dyDescent="0.3">
      <c r="A149" s="34" t="s">
        <v>145</v>
      </c>
      <c r="B149" s="36">
        <v>51185258.38229382</v>
      </c>
    </row>
    <row r="150" spans="1:2" x14ac:dyDescent="0.3">
      <c r="A150" s="34" t="s">
        <v>146</v>
      </c>
      <c r="B150" s="36">
        <v>144168240.72091505</v>
      </c>
    </row>
    <row r="151" spans="1:2" x14ac:dyDescent="0.3">
      <c r="A151" s="34" t="s">
        <v>147</v>
      </c>
      <c r="B151" s="36">
        <v>828459981.57657003</v>
      </c>
    </row>
    <row r="152" spans="1:2" x14ac:dyDescent="0.3">
      <c r="A152" s="34" t="s">
        <v>148</v>
      </c>
      <c r="B152" s="36">
        <v>2294529134.7743936</v>
      </c>
    </row>
    <row r="153" spans="1:2" x14ac:dyDescent="0.3">
      <c r="A153" s="34" t="s">
        <v>149</v>
      </c>
      <c r="B153" s="36">
        <v>3423433713.3982143</v>
      </c>
    </row>
    <row r="154" spans="1:2" x14ac:dyDescent="0.3">
      <c r="A154" s="34" t="s">
        <v>150</v>
      </c>
      <c r="B154" s="36">
        <v>5719718035.7344627</v>
      </c>
    </row>
    <row r="155" spans="1:2" x14ac:dyDescent="0.3">
      <c r="A155" s="34" t="s">
        <v>151</v>
      </c>
      <c r="B155" s="36">
        <v>0</v>
      </c>
    </row>
    <row r="156" spans="1:2" x14ac:dyDescent="0.3">
      <c r="A156" s="34" t="s">
        <v>152</v>
      </c>
      <c r="B156" s="36">
        <v>3625790143.8989401</v>
      </c>
    </row>
    <row r="157" spans="1:2" x14ac:dyDescent="0.3">
      <c r="A157" s="34" t="s">
        <v>153</v>
      </c>
      <c r="B157" s="36">
        <v>1430477765.7230084</v>
      </c>
    </row>
    <row r="158" spans="1:2" x14ac:dyDescent="0.3">
      <c r="A158" s="34" t="s">
        <v>154</v>
      </c>
      <c r="B158" s="36">
        <v>52771527.466806829</v>
      </c>
    </row>
    <row r="159" spans="1:2" x14ac:dyDescent="0.3">
      <c r="A159" s="34" t="s">
        <v>155</v>
      </c>
      <c r="B159" s="36">
        <v>3371628.3177130218</v>
      </c>
    </row>
    <row r="160" spans="1:2" x14ac:dyDescent="0.3">
      <c r="A160" s="34" t="s">
        <v>156</v>
      </c>
      <c r="B160" s="36">
        <v>88126203.927370131</v>
      </c>
    </row>
    <row r="161" spans="1:2" x14ac:dyDescent="0.3">
      <c r="A161" s="34" t="s">
        <v>157</v>
      </c>
      <c r="B161" s="36">
        <v>12680296623.203442</v>
      </c>
    </row>
    <row r="162" spans="1:2" x14ac:dyDescent="0.3">
      <c r="A162" s="34" t="s">
        <v>158</v>
      </c>
      <c r="B162" s="36">
        <v>4710819267.414897</v>
      </c>
    </row>
    <row r="163" spans="1:2" x14ac:dyDescent="0.3">
      <c r="A163" s="34" t="s">
        <v>159</v>
      </c>
      <c r="B163" s="36">
        <v>523797299.1274274</v>
      </c>
    </row>
    <row r="164" spans="1:2" x14ac:dyDescent="0.3">
      <c r="A164" s="34" t="s">
        <v>160</v>
      </c>
      <c r="B164" s="36">
        <v>56265828602.540695</v>
      </c>
    </row>
    <row r="165" spans="1:2" x14ac:dyDescent="0.3">
      <c r="A165" s="34" t="s">
        <v>161</v>
      </c>
      <c r="B165" s="36">
        <v>2090972010.2977142</v>
      </c>
    </row>
    <row r="166" spans="1:2" x14ac:dyDescent="0.3">
      <c r="A166" s="34" t="s">
        <v>162</v>
      </c>
      <c r="B166" s="36">
        <v>269314583.70552433</v>
      </c>
    </row>
    <row r="167" spans="1:2" x14ac:dyDescent="0.3">
      <c r="A167" s="34" t="s">
        <v>163</v>
      </c>
      <c r="B167" s="36">
        <v>111358110366.42844</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0</v>
      </c>
    </row>
    <row r="178" spans="1:2" x14ac:dyDescent="0.3">
      <c r="A178" s="34" t="s">
        <v>174</v>
      </c>
      <c r="B178" s="36">
        <v>0</v>
      </c>
    </row>
    <row r="179" spans="1:2" x14ac:dyDescent="0.3">
      <c r="A179" s="34" t="s">
        <v>175</v>
      </c>
      <c r="B179" s="36">
        <v>1460566072.2041254</v>
      </c>
    </row>
    <row r="180" spans="1:2" x14ac:dyDescent="0.3">
      <c r="A180" s="34" t="s">
        <v>176</v>
      </c>
      <c r="B180" s="36">
        <v>2066942.3724629015</v>
      </c>
    </row>
    <row r="181" spans="1:2" x14ac:dyDescent="0.3">
      <c r="A181" s="34" t="s">
        <v>177</v>
      </c>
      <c r="B181" s="36">
        <v>0</v>
      </c>
    </row>
    <row r="182" spans="1:2" x14ac:dyDescent="0.3">
      <c r="A182" s="34" t="s">
        <v>178</v>
      </c>
      <c r="B182" s="36">
        <v>43258481.534819126</v>
      </c>
    </row>
    <row r="183" spans="1:2" x14ac:dyDescent="0.3">
      <c r="A183" s="34" t="s">
        <v>179</v>
      </c>
      <c r="B183" s="36">
        <v>168314543.30358914</v>
      </c>
    </row>
    <row r="184" spans="1:2" x14ac:dyDescent="0.3">
      <c r="A184" s="34" t="s">
        <v>180</v>
      </c>
      <c r="B184" s="36">
        <v>486408632.7525081</v>
      </c>
    </row>
    <row r="185" spans="1:2" x14ac:dyDescent="0.3">
      <c r="A185" s="34" t="s">
        <v>181</v>
      </c>
      <c r="B185" s="36">
        <v>2155473.4387930678</v>
      </c>
    </row>
    <row r="186" spans="1:2" x14ac:dyDescent="0.3">
      <c r="A186" s="34" t="s">
        <v>182</v>
      </c>
      <c r="B186" s="36">
        <v>9546222330.9568748</v>
      </c>
    </row>
    <row r="187" spans="1:2" x14ac:dyDescent="0.3">
      <c r="A187" s="34" t="s">
        <v>183</v>
      </c>
      <c r="B187" s="36">
        <v>12800459825.30323</v>
      </c>
    </row>
    <row r="188" spans="1:2" x14ac:dyDescent="0.3">
      <c r="A188" s="34" t="s">
        <v>184</v>
      </c>
      <c r="B188" s="36">
        <v>1296659.5163715265</v>
      </c>
    </row>
    <row r="189" spans="1:2" x14ac:dyDescent="0.3">
      <c r="A189" s="34" t="s">
        <v>185</v>
      </c>
      <c r="B189" s="36">
        <v>353288.94015819044</v>
      </c>
    </row>
    <row r="190" spans="1:2" x14ac:dyDescent="0.3">
      <c r="A190" s="34" t="s">
        <v>186</v>
      </c>
      <c r="B190" s="36">
        <v>96155124.521923229</v>
      </c>
    </row>
    <row r="191" spans="1:2" x14ac:dyDescent="0.3">
      <c r="A191" s="34" t="s">
        <v>187</v>
      </c>
      <c r="B191" s="36">
        <v>0</v>
      </c>
    </row>
    <row r="192" spans="1:2" x14ac:dyDescent="0.3">
      <c r="A192" s="34" t="s">
        <v>188</v>
      </c>
      <c r="B192" s="36">
        <v>15224031995.837683</v>
      </c>
    </row>
    <row r="193" spans="1:2" x14ac:dyDescent="0.3">
      <c r="A193" s="34" t="s">
        <v>189</v>
      </c>
      <c r="B193" s="36">
        <v>0</v>
      </c>
    </row>
    <row r="194" spans="1:2" x14ac:dyDescent="0.3">
      <c r="A194" s="34" t="s">
        <v>190</v>
      </c>
      <c r="B194" s="36">
        <v>4969237639.631794</v>
      </c>
    </row>
    <row r="195" spans="1:2" x14ac:dyDescent="0.3">
      <c r="A195" s="34" t="s">
        <v>191</v>
      </c>
      <c r="B195" s="36">
        <v>4328445665.6870995</v>
      </c>
    </row>
    <row r="196" spans="1:2" x14ac:dyDescent="0.3">
      <c r="A196" s="34" t="s">
        <v>192</v>
      </c>
      <c r="B196" s="36">
        <v>1047659912.9161766</v>
      </c>
    </row>
    <row r="197" spans="1:2" x14ac:dyDescent="0.3">
      <c r="A197" s="34" t="s">
        <v>193</v>
      </c>
      <c r="B197" s="36">
        <v>74164405.495362401</v>
      </c>
    </row>
    <row r="198" spans="1:2" x14ac:dyDescent="0.3">
      <c r="A198" s="34" t="s">
        <v>194</v>
      </c>
      <c r="B198" s="36">
        <v>15044340220.727961</v>
      </c>
    </row>
    <row r="199" spans="1:2" x14ac:dyDescent="0.3">
      <c r="A199" s="34" t="s">
        <v>195</v>
      </c>
      <c r="B199" s="36">
        <v>6027881928.366663</v>
      </c>
    </row>
    <row r="200" spans="1:2" x14ac:dyDescent="0.3">
      <c r="A200" s="34" t="s">
        <v>196</v>
      </c>
      <c r="B200" s="36">
        <v>0</v>
      </c>
    </row>
    <row r="201" spans="1:2" x14ac:dyDescent="0.3">
      <c r="A201" s="34" t="s">
        <v>197</v>
      </c>
      <c r="B201" s="36">
        <v>2826726.7855757358</v>
      </c>
    </row>
    <row r="202" spans="1:2" x14ac:dyDescent="0.3">
      <c r="A202" s="34" t="s">
        <v>198</v>
      </c>
      <c r="B202" s="36">
        <v>544387.70337590028</v>
      </c>
    </row>
    <row r="203" spans="1:2" x14ac:dyDescent="0.3">
      <c r="A203" s="34" t="s">
        <v>199</v>
      </c>
      <c r="B203" s="36">
        <v>353752281.90789735</v>
      </c>
    </row>
    <row r="204" spans="1:2" x14ac:dyDescent="0.3">
      <c r="A204" s="34" t="s">
        <v>200</v>
      </c>
      <c r="B204" s="36">
        <v>10408916064.68339</v>
      </c>
    </row>
  </sheetData>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D3B4-1229-43BA-A14C-45A6401DC803}">
  <sheetPr codeName="Sheet19"/>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293</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63529424.640639618</v>
      </c>
    </row>
    <row r="6" spans="1:2" x14ac:dyDescent="0.3">
      <c r="A6" s="34" t="s">
        <v>2</v>
      </c>
      <c r="B6" s="36">
        <v>70943852299.85643</v>
      </c>
    </row>
    <row r="7" spans="1:2" x14ac:dyDescent="0.3">
      <c r="A7" s="34" t="s">
        <v>3</v>
      </c>
      <c r="B7" s="36">
        <v>3107897594.3383083</v>
      </c>
    </row>
    <row r="8" spans="1:2" x14ac:dyDescent="0.3">
      <c r="A8" s="34" t="s">
        <v>4</v>
      </c>
      <c r="B8" s="36">
        <v>1267618.300995806</v>
      </c>
    </row>
    <row r="9" spans="1:2" x14ac:dyDescent="0.3">
      <c r="A9" s="34" t="s">
        <v>5</v>
      </c>
      <c r="B9" s="36">
        <v>3297589934.7729082</v>
      </c>
    </row>
    <row r="10" spans="1:2" x14ac:dyDescent="0.3">
      <c r="A10" s="34" t="s">
        <v>6</v>
      </c>
      <c r="B10" s="36">
        <v>286527270.12670112</v>
      </c>
    </row>
    <row r="11" spans="1:2" x14ac:dyDescent="0.3">
      <c r="A11" s="34" t="s">
        <v>7</v>
      </c>
      <c r="B11" s="36">
        <v>0</v>
      </c>
    </row>
    <row r="12" spans="1:2" x14ac:dyDescent="0.3">
      <c r="A12" s="34" t="s">
        <v>8</v>
      </c>
      <c r="B12" s="36">
        <v>8164601.9730901876</v>
      </c>
    </row>
    <row r="13" spans="1:2" x14ac:dyDescent="0.3">
      <c r="A13" s="34" t="s">
        <v>9</v>
      </c>
      <c r="B13" s="36">
        <v>389976528.33986592</v>
      </c>
    </row>
    <row r="14" spans="1:2" x14ac:dyDescent="0.3">
      <c r="A14" s="34" t="s">
        <v>10</v>
      </c>
      <c r="B14" s="36">
        <v>9233143843.601593</v>
      </c>
    </row>
    <row r="15" spans="1:2" x14ac:dyDescent="0.3">
      <c r="A15" s="34" t="s">
        <v>11</v>
      </c>
      <c r="B15" s="36">
        <v>35198626242.006119</v>
      </c>
    </row>
    <row r="16" spans="1:2" x14ac:dyDescent="0.3">
      <c r="A16" s="34" t="s">
        <v>12</v>
      </c>
      <c r="B16" s="36">
        <v>2531376208.1815968</v>
      </c>
    </row>
    <row r="17" spans="1:2" x14ac:dyDescent="0.3">
      <c r="A17" s="34" t="s">
        <v>13</v>
      </c>
      <c r="B17" s="36">
        <v>26925739.051794376</v>
      </c>
    </row>
    <row r="18" spans="1:2" x14ac:dyDescent="0.3">
      <c r="A18" s="34" t="s">
        <v>14</v>
      </c>
      <c r="B18" s="36">
        <v>1227734280.9405127</v>
      </c>
    </row>
    <row r="19" spans="1:2" x14ac:dyDescent="0.3">
      <c r="A19" s="34" t="s">
        <v>15</v>
      </c>
      <c r="B19" s="36">
        <v>65885151.650311142</v>
      </c>
    </row>
    <row r="20" spans="1:2" x14ac:dyDescent="0.3">
      <c r="A20" s="34" t="s">
        <v>16</v>
      </c>
      <c r="B20" s="36">
        <v>1835453.4800970519</v>
      </c>
    </row>
    <row r="21" spans="1:2" x14ac:dyDescent="0.3">
      <c r="A21" s="34" t="s">
        <v>17</v>
      </c>
      <c r="B21" s="36">
        <v>0</v>
      </c>
    </row>
    <row r="22" spans="1:2" x14ac:dyDescent="0.3">
      <c r="A22" s="34" t="s">
        <v>18</v>
      </c>
      <c r="B22" s="36">
        <v>563836124.93633866</v>
      </c>
    </row>
    <row r="23" spans="1:2" x14ac:dyDescent="0.3">
      <c r="A23" s="34" t="s">
        <v>19</v>
      </c>
      <c r="B23" s="36">
        <v>26432472440.6208</v>
      </c>
    </row>
    <row r="24" spans="1:2" x14ac:dyDescent="0.3">
      <c r="A24" s="34" t="s">
        <v>20</v>
      </c>
      <c r="B24" s="36">
        <v>6054924262.5401888</v>
      </c>
    </row>
    <row r="25" spans="1:2" x14ac:dyDescent="0.3">
      <c r="A25" s="34" t="s">
        <v>21</v>
      </c>
      <c r="B25" s="36">
        <v>8068773982.5034275</v>
      </c>
    </row>
    <row r="26" spans="1:2" x14ac:dyDescent="0.3">
      <c r="A26" s="34" t="s">
        <v>22</v>
      </c>
      <c r="B26" s="36">
        <v>10225028291.703695</v>
      </c>
    </row>
    <row r="27" spans="1:2" x14ac:dyDescent="0.3">
      <c r="A27" s="34" t="s">
        <v>23</v>
      </c>
      <c r="B27" s="36">
        <v>37641645.252037801</v>
      </c>
    </row>
    <row r="28" spans="1:2" x14ac:dyDescent="0.3">
      <c r="A28" s="34" t="s">
        <v>24</v>
      </c>
      <c r="B28" s="36">
        <v>396637922.37112558</v>
      </c>
    </row>
    <row r="29" spans="1:2" x14ac:dyDescent="0.3">
      <c r="A29" s="34" t="s">
        <v>25</v>
      </c>
      <c r="B29" s="36">
        <v>28347340509.175697</v>
      </c>
    </row>
    <row r="30" spans="1:2" x14ac:dyDescent="0.3">
      <c r="A30" s="34" t="s">
        <v>26</v>
      </c>
      <c r="B30" s="36">
        <v>185400486.91484836</v>
      </c>
    </row>
    <row r="31" spans="1:2" x14ac:dyDescent="0.3">
      <c r="A31" s="34" t="s">
        <v>27</v>
      </c>
      <c r="B31" s="36">
        <v>278676848.41116405</v>
      </c>
    </row>
    <row r="32" spans="1:2" x14ac:dyDescent="0.3">
      <c r="A32" s="34" t="s">
        <v>28</v>
      </c>
      <c r="B32" s="36">
        <v>56592190.775346451</v>
      </c>
    </row>
    <row r="33" spans="1:2" x14ac:dyDescent="0.3">
      <c r="A33" s="34" t="s">
        <v>29</v>
      </c>
      <c r="B33" s="36">
        <v>105063212.84818923</v>
      </c>
    </row>
    <row r="34" spans="1:2" x14ac:dyDescent="0.3">
      <c r="A34" s="34" t="s">
        <v>30</v>
      </c>
      <c r="B34" s="36">
        <v>10352784978.58374</v>
      </c>
    </row>
    <row r="35" spans="1:2" x14ac:dyDescent="0.3">
      <c r="A35" s="34" t="s">
        <v>31</v>
      </c>
      <c r="B35" s="36">
        <v>40282900540.520523</v>
      </c>
    </row>
    <row r="36" spans="1:2" x14ac:dyDescent="0.3">
      <c r="A36" s="34" t="s">
        <v>32</v>
      </c>
      <c r="B36" s="36">
        <v>337231868005.33337</v>
      </c>
    </row>
    <row r="37" spans="1:2" x14ac:dyDescent="0.3">
      <c r="A37" s="34" t="s">
        <v>33</v>
      </c>
      <c r="B37" s="36">
        <v>186379793.56624806</v>
      </c>
    </row>
    <row r="38" spans="1:2" x14ac:dyDescent="0.3">
      <c r="A38" s="34" t="s">
        <v>34</v>
      </c>
      <c r="B38" s="36">
        <v>1396379453.2527139</v>
      </c>
    </row>
    <row r="39" spans="1:2" x14ac:dyDescent="0.3">
      <c r="A39" s="34" t="s">
        <v>35</v>
      </c>
      <c r="B39" s="36">
        <v>1390728837.4002924</v>
      </c>
    </row>
    <row r="40" spans="1:2" x14ac:dyDescent="0.3">
      <c r="A40" s="34" t="s">
        <v>36</v>
      </c>
      <c r="B40" s="36">
        <v>4206144913.4738183</v>
      </c>
    </row>
    <row r="41" spans="1:2" x14ac:dyDescent="0.3">
      <c r="A41" s="34" t="s">
        <v>37</v>
      </c>
      <c r="B41" s="36">
        <v>104736467395.99884</v>
      </c>
    </row>
    <row r="42" spans="1:2" x14ac:dyDescent="0.3">
      <c r="A42" s="34" t="s">
        <v>38</v>
      </c>
      <c r="B42" s="36">
        <v>29812787705.63422</v>
      </c>
    </row>
    <row r="43" spans="1:2" x14ac:dyDescent="0.3">
      <c r="A43" s="34" t="s">
        <v>39</v>
      </c>
      <c r="B43" s="36">
        <v>35893689760.548569</v>
      </c>
    </row>
    <row r="44" spans="1:2" x14ac:dyDescent="0.3">
      <c r="A44" s="34" t="s">
        <v>40</v>
      </c>
      <c r="B44" s="36">
        <v>73619013293.324814</v>
      </c>
    </row>
    <row r="45" spans="1:2" x14ac:dyDescent="0.3">
      <c r="A45" s="34" t="s">
        <v>41</v>
      </c>
      <c r="B45" s="36">
        <v>3963126243.3453846</v>
      </c>
    </row>
    <row r="46" spans="1:2" x14ac:dyDescent="0.3">
      <c r="A46" s="34" t="s">
        <v>42</v>
      </c>
      <c r="B46" s="36">
        <v>30721493.409331687</v>
      </c>
    </row>
    <row r="47" spans="1:2" x14ac:dyDescent="0.3">
      <c r="A47" s="34" t="s">
        <v>43</v>
      </c>
      <c r="B47" s="36">
        <v>2095188488.5342746</v>
      </c>
    </row>
    <row r="48" spans="1:2" x14ac:dyDescent="0.3">
      <c r="A48" s="34" t="s">
        <v>44</v>
      </c>
      <c r="B48" s="36">
        <v>72157046214.103745</v>
      </c>
    </row>
    <row r="49" spans="1:2" x14ac:dyDescent="0.3">
      <c r="A49" s="34" t="s">
        <v>45</v>
      </c>
      <c r="B49" s="36">
        <v>43769914431.690247</v>
      </c>
    </row>
    <row r="50" spans="1:2" x14ac:dyDescent="0.3">
      <c r="A50" s="34" t="s">
        <v>46</v>
      </c>
      <c r="B50" s="36">
        <v>1245565613.7544112</v>
      </c>
    </row>
    <row r="51" spans="1:2" x14ac:dyDescent="0.3">
      <c r="A51" s="34" t="s">
        <v>47</v>
      </c>
      <c r="B51" s="36">
        <v>1513719056.2379487</v>
      </c>
    </row>
    <row r="52" spans="1:2" x14ac:dyDescent="0.3">
      <c r="A52" s="34" t="s">
        <v>48</v>
      </c>
      <c r="B52" s="36">
        <v>5926127361.8574343</v>
      </c>
    </row>
    <row r="53" spans="1:2" x14ac:dyDescent="0.3">
      <c r="A53" s="34" t="s">
        <v>49</v>
      </c>
      <c r="B53" s="36">
        <v>366679086.67841762</v>
      </c>
    </row>
    <row r="54" spans="1:2" x14ac:dyDescent="0.3">
      <c r="A54" s="34" t="s">
        <v>50</v>
      </c>
      <c r="B54" s="36">
        <v>15117698.444151361</v>
      </c>
    </row>
    <row r="55" spans="1:2" x14ac:dyDescent="0.3">
      <c r="A55" s="34" t="s">
        <v>51</v>
      </c>
      <c r="B55" s="36">
        <v>1333668.9754657145</v>
      </c>
    </row>
    <row r="56" spans="1:2" x14ac:dyDescent="0.3">
      <c r="A56" s="34" t="s">
        <v>52</v>
      </c>
      <c r="B56" s="36">
        <v>702985881.45470703</v>
      </c>
    </row>
    <row r="57" spans="1:2" x14ac:dyDescent="0.3">
      <c r="A57" s="34" t="s">
        <v>53</v>
      </c>
      <c r="B57" s="36">
        <v>17233365.421886072</v>
      </c>
    </row>
    <row r="58" spans="1:2" x14ac:dyDescent="0.3">
      <c r="A58" s="34" t="s">
        <v>54</v>
      </c>
      <c r="B58" s="36">
        <v>247594.3487237583</v>
      </c>
    </row>
    <row r="59" spans="1:2" x14ac:dyDescent="0.3">
      <c r="A59" s="34" t="s">
        <v>55</v>
      </c>
      <c r="B59" s="36">
        <v>0</v>
      </c>
    </row>
    <row r="60" spans="1:2" x14ac:dyDescent="0.3">
      <c r="A60" s="34" t="s">
        <v>56</v>
      </c>
      <c r="B60" s="36">
        <v>44063618653.780594</v>
      </c>
    </row>
    <row r="61" spans="1:2" x14ac:dyDescent="0.3">
      <c r="A61" s="34" t="s">
        <v>57</v>
      </c>
      <c r="B61" s="36">
        <v>12688302561.574078</v>
      </c>
    </row>
    <row r="62" spans="1:2" x14ac:dyDescent="0.3">
      <c r="A62" s="34" t="s">
        <v>58</v>
      </c>
      <c r="B62" s="36">
        <v>8401900170.7509737</v>
      </c>
    </row>
    <row r="63" spans="1:2" x14ac:dyDescent="0.3">
      <c r="A63" s="34" t="s">
        <v>59</v>
      </c>
      <c r="B63" s="36">
        <v>7324514084.2017565</v>
      </c>
    </row>
    <row r="64" spans="1:2" x14ac:dyDescent="0.3">
      <c r="A64" s="34" t="s">
        <v>60</v>
      </c>
      <c r="B64" s="36">
        <v>195928196615.25638</v>
      </c>
    </row>
    <row r="65" spans="1:2" x14ac:dyDescent="0.3">
      <c r="A65" s="34" t="s">
        <v>61</v>
      </c>
      <c r="B65" s="36">
        <v>494331984.62868655</v>
      </c>
    </row>
    <row r="66" spans="1:2" x14ac:dyDescent="0.3">
      <c r="A66" s="34" t="s">
        <v>62</v>
      </c>
      <c r="B66" s="36">
        <v>3798303572.6600385</v>
      </c>
    </row>
    <row r="67" spans="1:2" x14ac:dyDescent="0.3">
      <c r="A67" s="34" t="s">
        <v>63</v>
      </c>
      <c r="B67" s="36">
        <v>2321071867.2265906</v>
      </c>
    </row>
    <row r="68" spans="1:2" x14ac:dyDescent="0.3">
      <c r="A68" s="34" t="s">
        <v>64</v>
      </c>
      <c r="B68" s="36">
        <v>5228422527.0128613</v>
      </c>
    </row>
    <row r="69" spans="1:2" x14ac:dyDescent="0.3">
      <c r="A69" s="34" t="s">
        <v>65</v>
      </c>
      <c r="B69" s="36">
        <v>4544126572.1432304</v>
      </c>
    </row>
    <row r="70" spans="1:2" x14ac:dyDescent="0.3">
      <c r="A70" s="34" t="s">
        <v>66</v>
      </c>
      <c r="B70" s="36">
        <v>732969965.64324391</v>
      </c>
    </row>
    <row r="71" spans="1:2" x14ac:dyDescent="0.3">
      <c r="A71" s="34" t="s">
        <v>67</v>
      </c>
      <c r="B71" s="36">
        <v>7254041482.0699768</v>
      </c>
    </row>
    <row r="72" spans="1:2" x14ac:dyDescent="0.3">
      <c r="A72" s="34" t="s">
        <v>68</v>
      </c>
      <c r="B72" s="36">
        <v>0</v>
      </c>
    </row>
    <row r="73" spans="1:2" x14ac:dyDescent="0.3">
      <c r="A73" s="34" t="s">
        <v>69</v>
      </c>
      <c r="B73" s="36">
        <v>601242.10451574507</v>
      </c>
    </row>
    <row r="74" spans="1:2" x14ac:dyDescent="0.3">
      <c r="A74" s="34" t="s">
        <v>70</v>
      </c>
      <c r="B74" s="36">
        <v>68788919479.691772</v>
      </c>
    </row>
    <row r="75" spans="1:2" x14ac:dyDescent="0.3">
      <c r="A75" s="34" t="s">
        <v>71</v>
      </c>
      <c r="B75" s="36">
        <v>0</v>
      </c>
    </row>
    <row r="76" spans="1:2" x14ac:dyDescent="0.3">
      <c r="A76" s="34" t="s">
        <v>72</v>
      </c>
      <c r="B76" s="36">
        <v>1473348348.4333525</v>
      </c>
    </row>
    <row r="77" spans="1:2" x14ac:dyDescent="0.3">
      <c r="A77" s="34" t="s">
        <v>73</v>
      </c>
      <c r="B77" s="36">
        <v>88163763848.133865</v>
      </c>
    </row>
    <row r="78" spans="1:2" x14ac:dyDescent="0.3">
      <c r="A78" s="34" t="s">
        <v>74</v>
      </c>
      <c r="B78" s="36">
        <v>9310174653.4643021</v>
      </c>
    </row>
    <row r="79" spans="1:2" x14ac:dyDescent="0.3">
      <c r="A79" s="34" t="s">
        <v>75</v>
      </c>
      <c r="B79" s="36">
        <v>64078853787.477654</v>
      </c>
    </row>
    <row r="80" spans="1:2" x14ac:dyDescent="0.3">
      <c r="A80" s="34" t="s">
        <v>76</v>
      </c>
      <c r="B80" s="36">
        <v>4468440868.2522125</v>
      </c>
    </row>
    <row r="81" spans="1:2" x14ac:dyDescent="0.3">
      <c r="A81" s="34" t="s">
        <v>77</v>
      </c>
      <c r="B81" s="36">
        <v>2912706483.5216122</v>
      </c>
    </row>
    <row r="82" spans="1:2" x14ac:dyDescent="0.3">
      <c r="A82" s="34" t="s">
        <v>78</v>
      </c>
      <c r="B82" s="36">
        <v>16387383200.007494</v>
      </c>
    </row>
    <row r="83" spans="1:2" x14ac:dyDescent="0.3">
      <c r="A83" s="34" t="s">
        <v>79</v>
      </c>
      <c r="B83" s="36">
        <v>5396457074.25245</v>
      </c>
    </row>
    <row r="84" spans="1:2" x14ac:dyDescent="0.3">
      <c r="A84" s="34" t="s">
        <v>80</v>
      </c>
      <c r="B84" s="36">
        <v>48602448.154760636</v>
      </c>
    </row>
    <row r="85" spans="1:2" x14ac:dyDescent="0.3">
      <c r="A85" s="34" t="s">
        <v>81</v>
      </c>
      <c r="B85" s="36">
        <v>317585778.84317142</v>
      </c>
    </row>
    <row r="86" spans="1:2" x14ac:dyDescent="0.3">
      <c r="A86" s="34" t="s">
        <v>82</v>
      </c>
      <c r="B86" s="36">
        <v>1850401009.103878</v>
      </c>
    </row>
    <row r="87" spans="1:2" x14ac:dyDescent="0.3">
      <c r="A87" s="34" t="s">
        <v>83</v>
      </c>
      <c r="B87" s="36">
        <v>2687809652.4469714</v>
      </c>
    </row>
    <row r="88" spans="1:2" x14ac:dyDescent="0.3">
      <c r="A88" s="34" t="s">
        <v>84</v>
      </c>
      <c r="B88" s="36">
        <v>414547530.24003476</v>
      </c>
    </row>
    <row r="89" spans="1:2" x14ac:dyDescent="0.3">
      <c r="A89" s="34" t="s">
        <v>85</v>
      </c>
      <c r="B89" s="36">
        <v>15148270372.064331</v>
      </c>
    </row>
    <row r="90" spans="1:2" x14ac:dyDescent="0.3">
      <c r="A90" s="34" t="s">
        <v>86</v>
      </c>
      <c r="B90" s="36">
        <v>93696899.928273648</v>
      </c>
    </row>
    <row r="91" spans="1:2" x14ac:dyDescent="0.3">
      <c r="A91" s="34" t="s">
        <v>87</v>
      </c>
      <c r="B91" s="36">
        <v>4664373015.2977505</v>
      </c>
    </row>
    <row r="92" spans="1:2" x14ac:dyDescent="0.3">
      <c r="A92" s="34" t="s">
        <v>88</v>
      </c>
      <c r="B92" s="36">
        <v>58813974.942184865</v>
      </c>
    </row>
    <row r="93" spans="1:2" x14ac:dyDescent="0.3">
      <c r="A93" s="34" t="s">
        <v>89</v>
      </c>
      <c r="B93" s="36">
        <v>111026320500.98775</v>
      </c>
    </row>
    <row r="94" spans="1:2" x14ac:dyDescent="0.3">
      <c r="A94" s="34" t="s">
        <v>90</v>
      </c>
      <c r="B94" s="36">
        <v>0</v>
      </c>
    </row>
    <row r="95" spans="1:2" x14ac:dyDescent="0.3">
      <c r="A95" s="34" t="s">
        <v>91</v>
      </c>
      <c r="B95" s="36">
        <v>0</v>
      </c>
    </row>
    <row r="96" spans="1:2" x14ac:dyDescent="0.3">
      <c r="A96" s="34" t="s">
        <v>92</v>
      </c>
      <c r="B96" s="36">
        <v>10299929650.222281</v>
      </c>
    </row>
    <row r="97" spans="1:2" x14ac:dyDescent="0.3">
      <c r="A97" s="34" t="s">
        <v>93</v>
      </c>
      <c r="B97" s="36">
        <v>5630359208.8780746</v>
      </c>
    </row>
    <row r="98" spans="1:2" x14ac:dyDescent="0.3">
      <c r="A98" s="34" t="s">
        <v>94</v>
      </c>
      <c r="B98" s="36">
        <v>977710396.801965</v>
      </c>
    </row>
    <row r="99" spans="1:2" x14ac:dyDescent="0.3">
      <c r="A99" s="34" t="s">
        <v>95</v>
      </c>
      <c r="B99" s="36">
        <v>12015023788.676826</v>
      </c>
    </row>
    <row r="100" spans="1:2" x14ac:dyDescent="0.3">
      <c r="A100" s="34" t="s">
        <v>96</v>
      </c>
      <c r="B100" s="36">
        <v>92333636394.386429</v>
      </c>
    </row>
    <row r="101" spans="1:2" x14ac:dyDescent="0.3">
      <c r="A101" s="34" t="s">
        <v>97</v>
      </c>
      <c r="B101" s="36">
        <v>175452389265.79242</v>
      </c>
    </row>
    <row r="102" spans="1:2" x14ac:dyDescent="0.3">
      <c r="A102" s="34" t="s">
        <v>98</v>
      </c>
      <c r="B102" s="36">
        <v>2320866986.9947572</v>
      </c>
    </row>
    <row r="103" spans="1:2" x14ac:dyDescent="0.3">
      <c r="A103" s="34" t="s">
        <v>99</v>
      </c>
      <c r="B103" s="36">
        <v>403829983.33808362</v>
      </c>
    </row>
    <row r="104" spans="1:2" x14ac:dyDescent="0.3">
      <c r="A104" s="34" t="s">
        <v>100</v>
      </c>
      <c r="B104" s="36">
        <v>15028259.53789991</v>
      </c>
    </row>
    <row r="105" spans="1:2" x14ac:dyDescent="0.3">
      <c r="A105" s="34" t="s">
        <v>101</v>
      </c>
      <c r="B105" s="36">
        <v>14923616789.441561</v>
      </c>
    </row>
    <row r="106" spans="1:2" x14ac:dyDescent="0.3">
      <c r="A106" s="34" t="s">
        <v>102</v>
      </c>
      <c r="B106" s="36">
        <v>4785702079.9474182</v>
      </c>
    </row>
    <row r="107" spans="1:2" x14ac:dyDescent="0.3">
      <c r="A107" s="34" t="s">
        <v>103</v>
      </c>
      <c r="B107" s="36">
        <v>75092070.941346616</v>
      </c>
    </row>
    <row r="108" spans="1:2" x14ac:dyDescent="0.3">
      <c r="A108" s="34" t="s">
        <v>104</v>
      </c>
      <c r="B108" s="36">
        <v>8537886493.6716261</v>
      </c>
    </row>
    <row r="109" spans="1:2" x14ac:dyDescent="0.3">
      <c r="A109" s="34" t="s">
        <v>105</v>
      </c>
      <c r="B109" s="36">
        <v>5373050845.3675623</v>
      </c>
    </row>
    <row r="110" spans="1:2" x14ac:dyDescent="0.3">
      <c r="A110" s="34" t="s">
        <v>106</v>
      </c>
      <c r="B110" s="36">
        <v>7440368787.7960472</v>
      </c>
    </row>
    <row r="111" spans="1:2" x14ac:dyDescent="0.3">
      <c r="A111" s="34" t="s">
        <v>107</v>
      </c>
      <c r="B111" s="36">
        <v>2946311255.4475489</v>
      </c>
    </row>
    <row r="112" spans="1:2" x14ac:dyDescent="0.3">
      <c r="A112" s="34" t="s">
        <v>108</v>
      </c>
      <c r="B112" s="36">
        <v>8805391863.7445946</v>
      </c>
    </row>
    <row r="113" spans="1:2" x14ac:dyDescent="0.3">
      <c r="A113" s="34" t="s">
        <v>109</v>
      </c>
      <c r="B113" s="36">
        <v>519685.46943521732</v>
      </c>
    </row>
    <row r="114" spans="1:2" x14ac:dyDescent="0.3">
      <c r="A114" s="34" t="s">
        <v>110</v>
      </c>
      <c r="B114" s="36">
        <v>18042411.622499365</v>
      </c>
    </row>
    <row r="115" spans="1:2" x14ac:dyDescent="0.3">
      <c r="A115" s="34" t="s">
        <v>111</v>
      </c>
      <c r="B115" s="36">
        <v>16455550293.994822</v>
      </c>
    </row>
    <row r="116" spans="1:2" x14ac:dyDescent="0.3">
      <c r="A116" s="34" t="s">
        <v>112</v>
      </c>
      <c r="B116" s="36">
        <v>81594184690.967575</v>
      </c>
    </row>
    <row r="117" spans="1:2" x14ac:dyDescent="0.3">
      <c r="A117" s="34" t="s">
        <v>113</v>
      </c>
      <c r="B117" s="36">
        <v>33820664.754377119</v>
      </c>
    </row>
    <row r="118" spans="1:2" x14ac:dyDescent="0.3">
      <c r="A118" s="34" t="s">
        <v>114</v>
      </c>
      <c r="B118" s="36">
        <v>304582662.84893382</v>
      </c>
    </row>
    <row r="119" spans="1:2" x14ac:dyDescent="0.3">
      <c r="A119" s="34" t="s">
        <v>115</v>
      </c>
      <c r="B119" s="36">
        <v>7018123164.1370201</v>
      </c>
    </row>
    <row r="120" spans="1:2" x14ac:dyDescent="0.3">
      <c r="A120" s="34" t="s">
        <v>116</v>
      </c>
      <c r="B120" s="36">
        <v>17459878034.183697</v>
      </c>
    </row>
    <row r="121" spans="1:2" x14ac:dyDescent="0.3">
      <c r="A121" s="34" t="s">
        <v>117</v>
      </c>
      <c r="B121" s="36">
        <v>37381341572.34066</v>
      </c>
    </row>
    <row r="122" spans="1:2" x14ac:dyDescent="0.3">
      <c r="A122" s="34" t="s">
        <v>118</v>
      </c>
      <c r="B122" s="36">
        <v>8355536212.4034901</v>
      </c>
    </row>
    <row r="123" spans="1:2" x14ac:dyDescent="0.3">
      <c r="A123" s="34" t="s">
        <v>119</v>
      </c>
      <c r="B123" s="36">
        <v>190416.76846410858</v>
      </c>
    </row>
    <row r="124" spans="1:2" x14ac:dyDescent="0.3">
      <c r="A124" s="34" t="s">
        <v>120</v>
      </c>
      <c r="B124" s="36">
        <v>5666222733.4483747</v>
      </c>
    </row>
    <row r="125" spans="1:2" x14ac:dyDescent="0.3">
      <c r="A125" s="34" t="s">
        <v>121</v>
      </c>
      <c r="B125" s="36">
        <v>3201065212.6817994</v>
      </c>
    </row>
    <row r="126" spans="1:2" x14ac:dyDescent="0.3">
      <c r="A126" s="34" t="s">
        <v>122</v>
      </c>
      <c r="B126" s="36">
        <v>18733412215.265793</v>
      </c>
    </row>
    <row r="127" spans="1:2" x14ac:dyDescent="0.3">
      <c r="A127" s="34" t="s">
        <v>123</v>
      </c>
      <c r="B127" s="36">
        <v>8420178.3639653977</v>
      </c>
    </row>
    <row r="128" spans="1:2" x14ac:dyDescent="0.3">
      <c r="A128" s="34" t="s">
        <v>124</v>
      </c>
      <c r="B128" s="36">
        <v>2055283048.5440757</v>
      </c>
    </row>
    <row r="129" spans="1:2" x14ac:dyDescent="0.3">
      <c r="A129" s="34" t="s">
        <v>125</v>
      </c>
      <c r="B129" s="36">
        <v>33122346.686814278</v>
      </c>
    </row>
    <row r="130" spans="1:2" x14ac:dyDescent="0.3">
      <c r="A130" s="34" t="s">
        <v>126</v>
      </c>
      <c r="B130" s="36">
        <v>2668033091.2545786</v>
      </c>
    </row>
    <row r="131" spans="1:2" x14ac:dyDescent="0.3">
      <c r="A131" s="34" t="s">
        <v>127</v>
      </c>
      <c r="B131" s="36">
        <v>139023636.61716986</v>
      </c>
    </row>
    <row r="132" spans="1:2" x14ac:dyDescent="0.3">
      <c r="A132" s="34" t="s">
        <v>128</v>
      </c>
      <c r="B132" s="36">
        <v>8.9961507288059419</v>
      </c>
    </row>
    <row r="133" spans="1:2" x14ac:dyDescent="0.3">
      <c r="A133" s="34" t="s">
        <v>129</v>
      </c>
      <c r="B133" s="36">
        <v>10865874.533105569</v>
      </c>
    </row>
    <row r="134" spans="1:2" x14ac:dyDescent="0.3">
      <c r="A134" s="34" t="s">
        <v>130</v>
      </c>
      <c r="B134" s="36">
        <v>24025410.02943803</v>
      </c>
    </row>
    <row r="135" spans="1:2" x14ac:dyDescent="0.3">
      <c r="A135" s="34" t="s">
        <v>131</v>
      </c>
      <c r="B135" s="36">
        <v>7441918932.3754435</v>
      </c>
    </row>
    <row r="136" spans="1:2" x14ac:dyDescent="0.3">
      <c r="A136" s="34" t="s">
        <v>132</v>
      </c>
      <c r="B136" s="36">
        <v>270810583.38100272</v>
      </c>
    </row>
    <row r="137" spans="1:2" x14ac:dyDescent="0.3">
      <c r="A137" s="34" t="s">
        <v>133</v>
      </c>
      <c r="B137" s="36">
        <v>2523842040.4261889</v>
      </c>
    </row>
    <row r="138" spans="1:2" x14ac:dyDescent="0.3">
      <c r="A138" s="34" t="s">
        <v>134</v>
      </c>
      <c r="B138" s="36">
        <v>255663384.91885689</v>
      </c>
    </row>
    <row r="139" spans="1:2" x14ac:dyDescent="0.3">
      <c r="A139" s="34" t="s">
        <v>135</v>
      </c>
      <c r="B139" s="36">
        <v>91814272362.992599</v>
      </c>
    </row>
    <row r="140" spans="1:2" x14ac:dyDescent="0.3">
      <c r="A140" s="34" t="s">
        <v>136</v>
      </c>
      <c r="B140" s="36">
        <v>11313506618.227497</v>
      </c>
    </row>
    <row r="141" spans="1:2" x14ac:dyDescent="0.3">
      <c r="A141" s="34" t="s">
        <v>137</v>
      </c>
      <c r="B141" s="36">
        <v>18155156205.977814</v>
      </c>
    </row>
    <row r="142" spans="1:2" x14ac:dyDescent="0.3">
      <c r="A142" s="34" t="s">
        <v>138</v>
      </c>
      <c r="B142" s="36">
        <v>1583287439.5330217</v>
      </c>
    </row>
    <row r="143" spans="1:2" x14ac:dyDescent="0.3">
      <c r="A143" s="34" t="s">
        <v>139</v>
      </c>
      <c r="B143" s="36">
        <v>1552255860.0315225</v>
      </c>
    </row>
    <row r="144" spans="1:2" x14ac:dyDescent="0.3">
      <c r="A144" s="34" t="s">
        <v>140</v>
      </c>
      <c r="B144" s="36">
        <v>4097053164.7000709</v>
      </c>
    </row>
    <row r="145" spans="1:2" x14ac:dyDescent="0.3">
      <c r="A145" s="34" t="s">
        <v>141</v>
      </c>
      <c r="B145" s="36">
        <v>252079509.3032068</v>
      </c>
    </row>
    <row r="146" spans="1:2" x14ac:dyDescent="0.3">
      <c r="A146" s="34" t="s">
        <v>142</v>
      </c>
      <c r="B146" s="36">
        <v>1470087041.4941041</v>
      </c>
    </row>
    <row r="147" spans="1:2" x14ac:dyDescent="0.3">
      <c r="A147" s="34" t="s">
        <v>143</v>
      </c>
      <c r="B147" s="36">
        <v>4321174327.3393049</v>
      </c>
    </row>
    <row r="148" spans="1:2" x14ac:dyDescent="0.3">
      <c r="A148" s="34" t="s">
        <v>144</v>
      </c>
      <c r="B148" s="36">
        <v>54681516243.601822</v>
      </c>
    </row>
    <row r="149" spans="1:2" x14ac:dyDescent="0.3">
      <c r="A149" s="34" t="s">
        <v>145</v>
      </c>
      <c r="B149" s="36">
        <v>22534356374.749054</v>
      </c>
    </row>
    <row r="150" spans="1:2" x14ac:dyDescent="0.3">
      <c r="A150" s="34" t="s">
        <v>146</v>
      </c>
      <c r="B150" s="36">
        <v>15950426378.489906</v>
      </c>
    </row>
    <row r="151" spans="1:2" x14ac:dyDescent="0.3">
      <c r="A151" s="34" t="s">
        <v>147</v>
      </c>
      <c r="B151" s="36">
        <v>109736962390.48466</v>
      </c>
    </row>
    <row r="152" spans="1:2" x14ac:dyDescent="0.3">
      <c r="A152" s="34" t="s">
        <v>148</v>
      </c>
      <c r="B152" s="36">
        <v>2551648436.6910963</v>
      </c>
    </row>
    <row r="153" spans="1:2" x14ac:dyDescent="0.3">
      <c r="A153" s="34" t="s">
        <v>149</v>
      </c>
      <c r="B153" s="36">
        <v>1219914633.8266594</v>
      </c>
    </row>
    <row r="154" spans="1:2" x14ac:dyDescent="0.3">
      <c r="A154" s="34" t="s">
        <v>150</v>
      </c>
      <c r="B154" s="36">
        <v>42961847038.027222</v>
      </c>
    </row>
    <row r="155" spans="1:2" x14ac:dyDescent="0.3">
      <c r="A155" s="34" t="s">
        <v>151</v>
      </c>
      <c r="B155" s="36">
        <v>26307454749.340065</v>
      </c>
    </row>
    <row r="156" spans="1:2" x14ac:dyDescent="0.3">
      <c r="A156" s="34" t="s">
        <v>152</v>
      </c>
      <c r="B156" s="36">
        <v>42205594793.198441</v>
      </c>
    </row>
    <row r="157" spans="1:2" x14ac:dyDescent="0.3">
      <c r="A157" s="34" t="s">
        <v>153</v>
      </c>
      <c r="B157" s="36">
        <v>12740332019.338129</v>
      </c>
    </row>
    <row r="158" spans="1:2" x14ac:dyDescent="0.3">
      <c r="A158" s="34" t="s">
        <v>154</v>
      </c>
      <c r="B158" s="36">
        <v>192424305.08967683</v>
      </c>
    </row>
    <row r="159" spans="1:2" x14ac:dyDescent="0.3">
      <c r="A159" s="34" t="s">
        <v>155</v>
      </c>
      <c r="B159" s="36">
        <v>6259.5379877468604</v>
      </c>
    </row>
    <row r="160" spans="1:2" x14ac:dyDescent="0.3">
      <c r="A160" s="34" t="s">
        <v>156</v>
      </c>
      <c r="B160" s="36">
        <v>6626564477.9848814</v>
      </c>
    </row>
    <row r="161" spans="1:2" x14ac:dyDescent="0.3">
      <c r="A161" s="34" t="s">
        <v>157</v>
      </c>
      <c r="B161" s="36">
        <v>11296163830.972918</v>
      </c>
    </row>
    <row r="162" spans="1:2" x14ac:dyDescent="0.3">
      <c r="A162" s="34" t="s">
        <v>158</v>
      </c>
      <c r="B162" s="36">
        <v>61962033879.160995</v>
      </c>
    </row>
    <row r="163" spans="1:2" x14ac:dyDescent="0.3">
      <c r="A163" s="34" t="s">
        <v>159</v>
      </c>
      <c r="B163" s="36">
        <v>1286345693.6641321</v>
      </c>
    </row>
    <row r="164" spans="1:2" x14ac:dyDescent="0.3">
      <c r="A164" s="34" t="s">
        <v>160</v>
      </c>
      <c r="B164" s="36">
        <v>29055832785.812222</v>
      </c>
    </row>
    <row r="165" spans="1:2" x14ac:dyDescent="0.3">
      <c r="A165" s="34" t="s">
        <v>161</v>
      </c>
      <c r="B165" s="36">
        <v>34146914305.333462</v>
      </c>
    </row>
    <row r="166" spans="1:2" x14ac:dyDescent="0.3">
      <c r="A166" s="34" t="s">
        <v>162</v>
      </c>
      <c r="B166" s="36">
        <v>3418055040.2381544</v>
      </c>
    </row>
    <row r="167" spans="1:2" x14ac:dyDescent="0.3">
      <c r="A167" s="34" t="s">
        <v>163</v>
      </c>
      <c r="B167" s="36">
        <v>61435469043.62767</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224015046.55660829</v>
      </c>
    </row>
    <row r="178" spans="1:2" x14ac:dyDescent="0.3">
      <c r="A178" s="34" t="s">
        <v>174</v>
      </c>
      <c r="B178" s="36">
        <v>0</v>
      </c>
    </row>
    <row r="179" spans="1:2" x14ac:dyDescent="0.3">
      <c r="A179" s="34" t="s">
        <v>175</v>
      </c>
      <c r="B179" s="36">
        <v>3237214604.5273404</v>
      </c>
    </row>
    <row r="180" spans="1:2" x14ac:dyDescent="0.3">
      <c r="A180" s="34" t="s">
        <v>176</v>
      </c>
      <c r="B180" s="36">
        <v>2283960389.7709513</v>
      </c>
    </row>
    <row r="181" spans="1:2" x14ac:dyDescent="0.3">
      <c r="A181" s="34" t="s">
        <v>177</v>
      </c>
      <c r="B181" s="36">
        <v>15373710244.230021</v>
      </c>
    </row>
    <row r="182" spans="1:2" x14ac:dyDescent="0.3">
      <c r="A182" s="34" t="s">
        <v>178</v>
      </c>
      <c r="B182" s="36">
        <v>1690441925.7649963</v>
      </c>
    </row>
    <row r="183" spans="1:2" x14ac:dyDescent="0.3">
      <c r="A183" s="34" t="s">
        <v>179</v>
      </c>
      <c r="B183" s="36">
        <v>70075.486317783769</v>
      </c>
    </row>
    <row r="184" spans="1:2" x14ac:dyDescent="0.3">
      <c r="A184" s="34" t="s">
        <v>180</v>
      </c>
      <c r="B184" s="36">
        <v>4874214901.3497448</v>
      </c>
    </row>
    <row r="185" spans="1:2" x14ac:dyDescent="0.3">
      <c r="A185" s="34" t="s">
        <v>181</v>
      </c>
      <c r="B185" s="36">
        <v>1708456770.1997988</v>
      </c>
    </row>
    <row r="186" spans="1:2" x14ac:dyDescent="0.3">
      <c r="A186" s="34" t="s">
        <v>182</v>
      </c>
      <c r="B186" s="36">
        <v>20715858849.5224</v>
      </c>
    </row>
    <row r="187" spans="1:2" x14ac:dyDescent="0.3">
      <c r="A187" s="34" t="s">
        <v>183</v>
      </c>
      <c r="B187" s="36">
        <v>19201156809.47047</v>
      </c>
    </row>
    <row r="188" spans="1:2" x14ac:dyDescent="0.3">
      <c r="A188" s="34" t="s">
        <v>184</v>
      </c>
      <c r="B188" s="36">
        <v>467330816.68987751</v>
      </c>
    </row>
    <row r="189" spans="1:2" x14ac:dyDescent="0.3">
      <c r="A189" s="34" t="s">
        <v>185</v>
      </c>
      <c r="B189" s="36">
        <v>182615581.50230902</v>
      </c>
    </row>
    <row r="190" spans="1:2" x14ac:dyDescent="0.3">
      <c r="A190" s="34" t="s">
        <v>186</v>
      </c>
      <c r="B190" s="36">
        <v>4842564514.7208567</v>
      </c>
    </row>
    <row r="191" spans="1:2" x14ac:dyDescent="0.3">
      <c r="A191" s="34" t="s">
        <v>187</v>
      </c>
      <c r="B191" s="36">
        <v>2423171592.4173126</v>
      </c>
    </row>
    <row r="192" spans="1:2" x14ac:dyDescent="0.3">
      <c r="A192" s="34" t="s">
        <v>188</v>
      </c>
      <c r="B192" s="36">
        <v>33342598.16650911</v>
      </c>
    </row>
    <row r="193" spans="1:2" x14ac:dyDescent="0.3">
      <c r="A193" s="34" t="s">
        <v>189</v>
      </c>
      <c r="B193" s="36">
        <v>4311492.775115802</v>
      </c>
    </row>
    <row r="194" spans="1:2" x14ac:dyDescent="0.3">
      <c r="A194" s="34" t="s">
        <v>190</v>
      </c>
      <c r="B194" s="36">
        <v>43625780456.965836</v>
      </c>
    </row>
    <row r="195" spans="1:2" x14ac:dyDescent="0.3">
      <c r="A195" s="34" t="s">
        <v>191</v>
      </c>
      <c r="B195" s="36">
        <v>26734056552.214733</v>
      </c>
    </row>
    <row r="196" spans="1:2" x14ac:dyDescent="0.3">
      <c r="A196" s="34" t="s">
        <v>192</v>
      </c>
      <c r="B196" s="36">
        <v>17982277870.387745</v>
      </c>
    </row>
    <row r="197" spans="1:2" x14ac:dyDescent="0.3">
      <c r="A197" s="34" t="s">
        <v>193</v>
      </c>
      <c r="B197" s="36">
        <v>42399819.517363332</v>
      </c>
    </row>
    <row r="198" spans="1:2" x14ac:dyDescent="0.3">
      <c r="A198" s="34" t="s">
        <v>194</v>
      </c>
      <c r="B198" s="36">
        <v>4933146886.8981514</v>
      </c>
    </row>
    <row r="199" spans="1:2" x14ac:dyDescent="0.3">
      <c r="A199" s="34" t="s">
        <v>195</v>
      </c>
      <c r="B199" s="36">
        <v>9940184845.7436981</v>
      </c>
    </row>
    <row r="200" spans="1:2" x14ac:dyDescent="0.3">
      <c r="A200" s="34" t="s">
        <v>196</v>
      </c>
      <c r="B200" s="36">
        <v>0</v>
      </c>
    </row>
    <row r="201" spans="1:2" x14ac:dyDescent="0.3">
      <c r="A201" s="34" t="s">
        <v>197</v>
      </c>
      <c r="B201" s="36">
        <v>1203739281.278506</v>
      </c>
    </row>
    <row r="202" spans="1:2" x14ac:dyDescent="0.3">
      <c r="A202" s="34" t="s">
        <v>198</v>
      </c>
      <c r="B202" s="36">
        <v>440376052.60809565</v>
      </c>
    </row>
    <row r="203" spans="1:2" x14ac:dyDescent="0.3">
      <c r="A203" s="34" t="s">
        <v>199</v>
      </c>
      <c r="B203" s="36">
        <v>68384107.198709652</v>
      </c>
    </row>
    <row r="204" spans="1:2" x14ac:dyDescent="0.3">
      <c r="A204" s="34" t="s">
        <v>200</v>
      </c>
      <c r="B204" s="36">
        <v>3127540372.055851</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C33D-73CF-4820-B1FE-0854699B4645}">
  <sheetPr codeName="Sheet20"/>
  <dimension ref="A1:B204"/>
  <sheetViews>
    <sheetView zoomScaleNormal="100" workbookViewId="0">
      <selection sqref="A1:B2"/>
    </sheetView>
  </sheetViews>
  <sheetFormatPr defaultRowHeight="14.4" x14ac:dyDescent="0.3"/>
  <cols>
    <col min="1" max="1" width="80.88671875" bestFit="1" customWidth="1"/>
    <col min="2" max="2" width="38.44140625" bestFit="1" customWidth="1"/>
    <col min="3" max="3" width="19" bestFit="1" customWidth="1"/>
  </cols>
  <sheetData>
    <row r="1" spans="1:2" ht="24" thickBot="1" x14ac:dyDescent="0.5">
      <c r="A1" s="10" t="s">
        <v>242</v>
      </c>
      <c r="B1" s="38" t="s">
        <v>294</v>
      </c>
    </row>
    <row r="2" spans="1:2" ht="21" thickTop="1" thickBot="1" x14ac:dyDescent="0.45">
      <c r="A2" s="10" t="s">
        <v>243</v>
      </c>
      <c r="B2" t="s">
        <v>280</v>
      </c>
    </row>
    <row r="3" spans="1:2" ht="15" thickTop="1" x14ac:dyDescent="0.3"/>
    <row r="4" spans="1:2" x14ac:dyDescent="0.3">
      <c r="A4" t="s">
        <v>0</v>
      </c>
      <c r="B4" s="36" t="s">
        <v>246</v>
      </c>
    </row>
    <row r="5" spans="1:2" x14ac:dyDescent="0.3">
      <c r="A5" s="34" t="s">
        <v>1</v>
      </c>
      <c r="B5" s="36">
        <v>1125740369.073344</v>
      </c>
    </row>
    <row r="6" spans="1:2" x14ac:dyDescent="0.3">
      <c r="A6" s="34" t="s">
        <v>2</v>
      </c>
      <c r="B6" s="36">
        <v>55633480890.426682</v>
      </c>
    </row>
    <row r="7" spans="1:2" x14ac:dyDescent="0.3">
      <c r="A7" s="34" t="s">
        <v>3</v>
      </c>
      <c r="B7" s="36">
        <v>47885530011.67485</v>
      </c>
    </row>
    <row r="8" spans="1:2" x14ac:dyDescent="0.3">
      <c r="A8" s="34" t="s">
        <v>4</v>
      </c>
      <c r="B8" s="36">
        <v>377040485.21958745</v>
      </c>
    </row>
    <row r="9" spans="1:2" x14ac:dyDescent="0.3">
      <c r="A9" s="34" t="s">
        <v>5</v>
      </c>
      <c r="B9" s="36">
        <v>1220785261.5893381</v>
      </c>
    </row>
    <row r="10" spans="1:2" x14ac:dyDescent="0.3">
      <c r="A10" s="34" t="s">
        <v>6</v>
      </c>
      <c r="B10" s="36">
        <v>178864022.24283078</v>
      </c>
    </row>
    <row r="11" spans="1:2" x14ac:dyDescent="0.3">
      <c r="A11" s="34" t="s">
        <v>7</v>
      </c>
      <c r="B11" s="36">
        <v>0</v>
      </c>
    </row>
    <row r="12" spans="1:2" x14ac:dyDescent="0.3">
      <c r="A12" s="34" t="s">
        <v>8</v>
      </c>
      <c r="B12" s="36">
        <v>52537175.606517605</v>
      </c>
    </row>
    <row r="13" spans="1:2" x14ac:dyDescent="0.3">
      <c r="A13" s="34" t="s">
        <v>9</v>
      </c>
      <c r="B13" s="36">
        <v>2011802037.8779411</v>
      </c>
    </row>
    <row r="14" spans="1:2" x14ac:dyDescent="0.3">
      <c r="A14" s="34" t="s">
        <v>10</v>
      </c>
      <c r="B14" s="36">
        <v>219781450806.35666</v>
      </c>
    </row>
    <row r="15" spans="1:2" x14ac:dyDescent="0.3">
      <c r="A15" s="34" t="s">
        <v>11</v>
      </c>
      <c r="B15" s="36">
        <v>35186922189.786102</v>
      </c>
    </row>
    <row r="16" spans="1:2" x14ac:dyDescent="0.3">
      <c r="A16" s="34" t="s">
        <v>12</v>
      </c>
      <c r="B16" s="36">
        <v>7406672354.3850365</v>
      </c>
    </row>
    <row r="17" spans="1:2" x14ac:dyDescent="0.3">
      <c r="A17" s="34" t="s">
        <v>13</v>
      </c>
      <c r="B17" s="36">
        <v>1313498646.6754267</v>
      </c>
    </row>
    <row r="18" spans="1:2" x14ac:dyDescent="0.3">
      <c r="A18" s="34" t="s">
        <v>14</v>
      </c>
      <c r="B18" s="36">
        <v>1122500178.5635762</v>
      </c>
    </row>
    <row r="19" spans="1:2" x14ac:dyDescent="0.3">
      <c r="A19" s="34" t="s">
        <v>15</v>
      </c>
      <c r="B19" s="36">
        <v>2035198930.9217889</v>
      </c>
    </row>
    <row r="20" spans="1:2" x14ac:dyDescent="0.3">
      <c r="A20" s="34" t="s">
        <v>16</v>
      </c>
      <c r="B20" s="36">
        <v>1205087436.826633</v>
      </c>
    </row>
    <row r="21" spans="1:2" x14ac:dyDescent="0.3">
      <c r="A21" s="34" t="s">
        <v>17</v>
      </c>
      <c r="B21" s="36">
        <v>0</v>
      </c>
    </row>
    <row r="22" spans="1:2" x14ac:dyDescent="0.3">
      <c r="A22" s="34" t="s">
        <v>18</v>
      </c>
      <c r="B22" s="36">
        <v>10259623428.380674</v>
      </c>
    </row>
    <row r="23" spans="1:2" x14ac:dyDescent="0.3">
      <c r="A23" s="34" t="s">
        <v>19</v>
      </c>
      <c r="B23" s="36">
        <v>101752830640.62915</v>
      </c>
    </row>
    <row r="24" spans="1:2" x14ac:dyDescent="0.3">
      <c r="A24" s="34" t="s">
        <v>20</v>
      </c>
      <c r="B24" s="36">
        <v>168302900079.89291</v>
      </c>
    </row>
    <row r="25" spans="1:2" x14ac:dyDescent="0.3">
      <c r="A25" s="34" t="s">
        <v>21</v>
      </c>
      <c r="B25" s="36">
        <v>14345071073.238348</v>
      </c>
    </row>
    <row r="26" spans="1:2" x14ac:dyDescent="0.3">
      <c r="A26" s="34" t="s">
        <v>22</v>
      </c>
      <c r="B26" s="36">
        <v>56701464474.725662</v>
      </c>
    </row>
    <row r="27" spans="1:2" x14ac:dyDescent="0.3">
      <c r="A27" s="34" t="s">
        <v>23</v>
      </c>
      <c r="B27" s="36">
        <v>3340168.0114756385</v>
      </c>
    </row>
    <row r="28" spans="1:2" x14ac:dyDescent="0.3">
      <c r="A28" s="34" t="s">
        <v>24</v>
      </c>
      <c r="B28" s="36">
        <v>5490557941.0280218</v>
      </c>
    </row>
    <row r="29" spans="1:2" x14ac:dyDescent="0.3">
      <c r="A29" s="34" t="s">
        <v>25</v>
      </c>
      <c r="B29" s="36">
        <v>66532511108.900185</v>
      </c>
    </row>
    <row r="30" spans="1:2" x14ac:dyDescent="0.3">
      <c r="A30" s="34" t="s">
        <v>26</v>
      </c>
      <c r="B30" s="36">
        <v>912407034.77983129</v>
      </c>
    </row>
    <row r="31" spans="1:2" x14ac:dyDescent="0.3">
      <c r="A31" s="34" t="s">
        <v>27</v>
      </c>
      <c r="B31" s="36">
        <v>16128751862.769463</v>
      </c>
    </row>
    <row r="32" spans="1:2" x14ac:dyDescent="0.3">
      <c r="A32" s="34" t="s">
        <v>28</v>
      </c>
      <c r="B32" s="36">
        <v>310247310.4118731</v>
      </c>
    </row>
    <row r="33" spans="1:2" x14ac:dyDescent="0.3">
      <c r="A33" s="34" t="s">
        <v>29</v>
      </c>
      <c r="B33" s="36">
        <v>1342209272.6093764</v>
      </c>
    </row>
    <row r="34" spans="1:2" x14ac:dyDescent="0.3">
      <c r="A34" s="34" t="s">
        <v>30</v>
      </c>
      <c r="B34" s="36">
        <v>9371242888.6487865</v>
      </c>
    </row>
    <row r="35" spans="1:2" x14ac:dyDescent="0.3">
      <c r="A35" s="34" t="s">
        <v>31</v>
      </c>
      <c r="B35" s="36">
        <v>39636727928.173965</v>
      </c>
    </row>
    <row r="36" spans="1:2" x14ac:dyDescent="0.3">
      <c r="A36" s="34" t="s">
        <v>32</v>
      </c>
      <c r="B36" s="36">
        <v>129830964920.39311</v>
      </c>
    </row>
    <row r="37" spans="1:2" x14ac:dyDescent="0.3">
      <c r="A37" s="34" t="s">
        <v>33</v>
      </c>
      <c r="B37" s="36">
        <v>5237085288.9884539</v>
      </c>
    </row>
    <row r="38" spans="1:2" x14ac:dyDescent="0.3">
      <c r="A38" s="34" t="s">
        <v>34</v>
      </c>
      <c r="B38" s="36">
        <v>34826632982.132629</v>
      </c>
    </row>
    <row r="39" spans="1:2" x14ac:dyDescent="0.3">
      <c r="A39" s="34" t="s">
        <v>35</v>
      </c>
      <c r="B39" s="36">
        <v>7428892945.112772</v>
      </c>
    </row>
    <row r="40" spans="1:2" x14ac:dyDescent="0.3">
      <c r="A40" s="34" t="s">
        <v>36</v>
      </c>
      <c r="B40" s="36">
        <v>27177554585.086102</v>
      </c>
    </row>
    <row r="41" spans="1:2" x14ac:dyDescent="0.3">
      <c r="A41" s="34" t="s">
        <v>37</v>
      </c>
      <c r="B41" s="36">
        <v>95746395138.76712</v>
      </c>
    </row>
    <row r="42" spans="1:2" x14ac:dyDescent="0.3">
      <c r="A42" s="34" t="s">
        <v>38</v>
      </c>
      <c r="B42" s="36">
        <v>76888257092.406433</v>
      </c>
    </row>
    <row r="43" spans="1:2" x14ac:dyDescent="0.3">
      <c r="A43" s="34" t="s">
        <v>39</v>
      </c>
      <c r="B43" s="36">
        <v>71013688884.756088</v>
      </c>
    </row>
    <row r="44" spans="1:2" x14ac:dyDescent="0.3">
      <c r="A44" s="34" t="s">
        <v>40</v>
      </c>
      <c r="B44" s="36">
        <v>8453945140.4671087</v>
      </c>
    </row>
    <row r="45" spans="1:2" x14ac:dyDescent="0.3">
      <c r="A45" s="34" t="s">
        <v>41</v>
      </c>
      <c r="B45" s="36">
        <v>17308718002.42186</v>
      </c>
    </row>
    <row r="46" spans="1:2" x14ac:dyDescent="0.3">
      <c r="A46" s="34" t="s">
        <v>42</v>
      </c>
      <c r="B46" s="36">
        <v>185161249.39400303</v>
      </c>
    </row>
    <row r="47" spans="1:2" x14ac:dyDescent="0.3">
      <c r="A47" s="34" t="s">
        <v>43</v>
      </c>
      <c r="B47" s="36">
        <v>10835592067.749168</v>
      </c>
    </row>
    <row r="48" spans="1:2" x14ac:dyDescent="0.3">
      <c r="A48" s="34" t="s">
        <v>44</v>
      </c>
      <c r="B48" s="36">
        <v>336748063989.06885</v>
      </c>
    </row>
    <row r="49" spans="1:2" x14ac:dyDescent="0.3">
      <c r="A49" s="34" t="s">
        <v>45</v>
      </c>
      <c r="B49" s="36">
        <v>155416635749.27301</v>
      </c>
    </row>
    <row r="50" spans="1:2" x14ac:dyDescent="0.3">
      <c r="A50" s="34" t="s">
        <v>46</v>
      </c>
      <c r="B50" s="36">
        <v>5626296792.7514973</v>
      </c>
    </row>
    <row r="51" spans="1:2" x14ac:dyDescent="0.3">
      <c r="A51" s="34" t="s">
        <v>47</v>
      </c>
      <c r="B51" s="36">
        <v>5436311991.5638142</v>
      </c>
    </row>
    <row r="52" spans="1:2" x14ac:dyDescent="0.3">
      <c r="A52" s="34" t="s">
        <v>48</v>
      </c>
      <c r="B52" s="36">
        <v>23215303980.041313</v>
      </c>
    </row>
    <row r="53" spans="1:2" x14ac:dyDescent="0.3">
      <c r="A53" s="34" t="s">
        <v>49</v>
      </c>
      <c r="B53" s="36">
        <v>1665607003.9362996</v>
      </c>
    </row>
    <row r="54" spans="1:2" x14ac:dyDescent="0.3">
      <c r="A54" s="34" t="s">
        <v>50</v>
      </c>
      <c r="B54" s="36">
        <v>255594815.74461234</v>
      </c>
    </row>
    <row r="55" spans="1:2" x14ac:dyDescent="0.3">
      <c r="A55" s="34" t="s">
        <v>51</v>
      </c>
      <c r="B55" s="36">
        <v>4923858.3074436728</v>
      </c>
    </row>
    <row r="56" spans="1:2" x14ac:dyDescent="0.3">
      <c r="A56" s="34" t="s">
        <v>52</v>
      </c>
      <c r="B56" s="36">
        <v>3556049294.7318344</v>
      </c>
    </row>
    <row r="57" spans="1:2" x14ac:dyDescent="0.3">
      <c r="A57" s="34" t="s">
        <v>53</v>
      </c>
      <c r="B57" s="36">
        <v>90992932.534071729</v>
      </c>
    </row>
    <row r="58" spans="1:2" x14ac:dyDescent="0.3">
      <c r="A58" s="34" t="s">
        <v>54</v>
      </c>
      <c r="B58" s="36">
        <v>1376595.9755163374</v>
      </c>
    </row>
    <row r="59" spans="1:2" x14ac:dyDescent="0.3">
      <c r="A59" s="34" t="s">
        <v>55</v>
      </c>
      <c r="B59" s="36">
        <v>0</v>
      </c>
    </row>
    <row r="60" spans="1:2" x14ac:dyDescent="0.3">
      <c r="A60" s="34" t="s">
        <v>56</v>
      </c>
      <c r="B60" s="36">
        <v>155735630200.85211</v>
      </c>
    </row>
    <row r="61" spans="1:2" x14ac:dyDescent="0.3">
      <c r="A61" s="34" t="s">
        <v>57</v>
      </c>
      <c r="B61" s="36">
        <v>37024377256.953476</v>
      </c>
    </row>
    <row r="62" spans="1:2" x14ac:dyDescent="0.3">
      <c r="A62" s="34" t="s">
        <v>58</v>
      </c>
      <c r="B62" s="36">
        <v>4163373653.6726465</v>
      </c>
    </row>
    <row r="63" spans="1:2" x14ac:dyDescent="0.3">
      <c r="A63" s="34" t="s">
        <v>59</v>
      </c>
      <c r="B63" s="36">
        <v>13299629569.923029</v>
      </c>
    </row>
    <row r="64" spans="1:2" x14ac:dyDescent="0.3">
      <c r="A64" s="34" t="s">
        <v>60</v>
      </c>
      <c r="B64" s="36">
        <v>101299409800.06934</v>
      </c>
    </row>
    <row r="65" spans="1:2" x14ac:dyDescent="0.3">
      <c r="A65" s="34" t="s">
        <v>61</v>
      </c>
      <c r="B65" s="36">
        <v>2190294581.563653</v>
      </c>
    </row>
    <row r="66" spans="1:2" x14ac:dyDescent="0.3">
      <c r="A66" s="34" t="s">
        <v>62</v>
      </c>
      <c r="B66" s="36">
        <v>11310485610.026684</v>
      </c>
    </row>
    <row r="67" spans="1:2" x14ac:dyDescent="0.3">
      <c r="A67" s="34" t="s">
        <v>63</v>
      </c>
      <c r="B67" s="36">
        <v>7206276595.6964626</v>
      </c>
    </row>
    <row r="68" spans="1:2" x14ac:dyDescent="0.3">
      <c r="A68" s="34" t="s">
        <v>64</v>
      </c>
      <c r="B68" s="36">
        <v>11607360663.015854</v>
      </c>
    </row>
    <row r="69" spans="1:2" x14ac:dyDescent="0.3">
      <c r="A69" s="34" t="s">
        <v>65</v>
      </c>
      <c r="B69" s="36">
        <v>9169938541.6086082</v>
      </c>
    </row>
    <row r="70" spans="1:2" x14ac:dyDescent="0.3">
      <c r="A70" s="34" t="s">
        <v>66</v>
      </c>
      <c r="B70" s="36">
        <v>37564015880.154121</v>
      </c>
    </row>
    <row r="71" spans="1:2" x14ac:dyDescent="0.3">
      <c r="A71" s="34" t="s">
        <v>67</v>
      </c>
      <c r="B71" s="36">
        <v>13188987806.223104</v>
      </c>
    </row>
    <row r="72" spans="1:2" x14ac:dyDescent="0.3">
      <c r="A72" s="34" t="s">
        <v>68</v>
      </c>
      <c r="B72" s="36">
        <v>0</v>
      </c>
    </row>
    <row r="73" spans="1:2" x14ac:dyDescent="0.3">
      <c r="A73" s="34" t="s">
        <v>69</v>
      </c>
      <c r="B73" s="36">
        <v>298708898.66526049</v>
      </c>
    </row>
    <row r="74" spans="1:2" x14ac:dyDescent="0.3">
      <c r="A74" s="34" t="s">
        <v>70</v>
      </c>
      <c r="B74" s="36">
        <v>82244066248.767761</v>
      </c>
    </row>
    <row r="75" spans="1:2" x14ac:dyDescent="0.3">
      <c r="A75" s="34" t="s">
        <v>71</v>
      </c>
      <c r="B75" s="36">
        <v>0</v>
      </c>
    </row>
    <row r="76" spans="1:2" x14ac:dyDescent="0.3">
      <c r="A76" s="34" t="s">
        <v>72</v>
      </c>
      <c r="B76" s="36">
        <v>29364384059.86459</v>
      </c>
    </row>
    <row r="77" spans="1:2" x14ac:dyDescent="0.3">
      <c r="A77" s="34" t="s">
        <v>73</v>
      </c>
      <c r="B77" s="36">
        <v>6820861717.8049459</v>
      </c>
    </row>
    <row r="78" spans="1:2" x14ac:dyDescent="0.3">
      <c r="A78" s="34" t="s">
        <v>74</v>
      </c>
      <c r="B78" s="36">
        <v>20243465269.159985</v>
      </c>
    </row>
    <row r="79" spans="1:2" x14ac:dyDescent="0.3">
      <c r="A79" s="34" t="s">
        <v>75</v>
      </c>
      <c r="B79" s="36">
        <v>25527365366.705322</v>
      </c>
    </row>
    <row r="80" spans="1:2" x14ac:dyDescent="0.3">
      <c r="A80" s="34" t="s">
        <v>76</v>
      </c>
      <c r="B80" s="36">
        <v>9251015808.5882282</v>
      </c>
    </row>
    <row r="81" spans="1:2" x14ac:dyDescent="0.3">
      <c r="A81" s="34" t="s">
        <v>77</v>
      </c>
      <c r="B81" s="36">
        <v>3088821748.2715707</v>
      </c>
    </row>
    <row r="82" spans="1:2" x14ac:dyDescent="0.3">
      <c r="A82" s="34" t="s">
        <v>78</v>
      </c>
      <c r="B82" s="36">
        <v>9694998047.1381798</v>
      </c>
    </row>
    <row r="83" spans="1:2" x14ac:dyDescent="0.3">
      <c r="A83" s="34" t="s">
        <v>79</v>
      </c>
      <c r="B83" s="36">
        <v>9845808320.0039997</v>
      </c>
    </row>
    <row r="84" spans="1:2" x14ac:dyDescent="0.3">
      <c r="A84" s="34" t="s">
        <v>80</v>
      </c>
      <c r="B84" s="36">
        <v>1128868676.728019</v>
      </c>
    </row>
    <row r="85" spans="1:2" x14ac:dyDescent="0.3">
      <c r="A85" s="34" t="s">
        <v>81</v>
      </c>
      <c r="B85" s="36">
        <v>4694099241.2837038</v>
      </c>
    </row>
    <row r="86" spans="1:2" x14ac:dyDescent="0.3">
      <c r="A86" s="34" t="s">
        <v>82</v>
      </c>
      <c r="B86" s="36">
        <v>26216296991.12252</v>
      </c>
    </row>
    <row r="87" spans="1:2" x14ac:dyDescent="0.3">
      <c r="A87" s="34" t="s">
        <v>83</v>
      </c>
      <c r="B87" s="36">
        <v>11813503029.856487</v>
      </c>
    </row>
    <row r="88" spans="1:2" x14ac:dyDescent="0.3">
      <c r="A88" s="34" t="s">
        <v>84</v>
      </c>
      <c r="B88" s="36">
        <v>812508019.32289159</v>
      </c>
    </row>
    <row r="89" spans="1:2" x14ac:dyDescent="0.3">
      <c r="A89" s="34" t="s">
        <v>85</v>
      </c>
      <c r="B89" s="36">
        <v>8580005211.6879425</v>
      </c>
    </row>
    <row r="90" spans="1:2" x14ac:dyDescent="0.3">
      <c r="A90" s="34" t="s">
        <v>86</v>
      </c>
      <c r="B90" s="36">
        <v>3901697876.7652664</v>
      </c>
    </row>
    <row r="91" spans="1:2" x14ac:dyDescent="0.3">
      <c r="A91" s="34" t="s">
        <v>87</v>
      </c>
      <c r="B91" s="36">
        <v>3480041988.0294867</v>
      </c>
    </row>
    <row r="92" spans="1:2" x14ac:dyDescent="0.3">
      <c r="A92" s="34" t="s">
        <v>88</v>
      </c>
      <c r="B92" s="36">
        <v>1680377197.2310331</v>
      </c>
    </row>
    <row r="93" spans="1:2" x14ac:dyDescent="0.3">
      <c r="A93" s="34" t="s">
        <v>89</v>
      </c>
      <c r="B93" s="36">
        <v>96378271935.549271</v>
      </c>
    </row>
    <row r="94" spans="1:2" x14ac:dyDescent="0.3">
      <c r="A94" s="34" t="s">
        <v>90</v>
      </c>
      <c r="B94" s="36">
        <v>0</v>
      </c>
    </row>
    <row r="95" spans="1:2" x14ac:dyDescent="0.3">
      <c r="A95" s="34" t="s">
        <v>91</v>
      </c>
      <c r="B95" s="36">
        <v>0</v>
      </c>
    </row>
    <row r="96" spans="1:2" x14ac:dyDescent="0.3">
      <c r="A96" s="34" t="s">
        <v>92</v>
      </c>
      <c r="B96" s="36">
        <v>5629291792.09729</v>
      </c>
    </row>
    <row r="97" spans="1:2" x14ac:dyDescent="0.3">
      <c r="A97" s="34" t="s">
        <v>93</v>
      </c>
      <c r="B97" s="36">
        <v>2890538368.88661</v>
      </c>
    </row>
    <row r="98" spans="1:2" x14ac:dyDescent="0.3">
      <c r="A98" s="34" t="s">
        <v>94</v>
      </c>
      <c r="B98" s="36">
        <v>2191264647.0412006</v>
      </c>
    </row>
    <row r="99" spans="1:2" x14ac:dyDescent="0.3">
      <c r="A99" s="34" t="s">
        <v>95</v>
      </c>
      <c r="B99" s="36">
        <v>4151678276.3114448</v>
      </c>
    </row>
    <row r="100" spans="1:2" x14ac:dyDescent="0.3">
      <c r="A100" s="34" t="s">
        <v>96</v>
      </c>
      <c r="B100" s="36">
        <v>39519669870.043732</v>
      </c>
    </row>
    <row r="101" spans="1:2" x14ac:dyDescent="0.3">
      <c r="A101" s="34" t="s">
        <v>97</v>
      </c>
      <c r="B101" s="36">
        <v>102203156909.1689</v>
      </c>
    </row>
    <row r="102" spans="1:2" x14ac:dyDescent="0.3">
      <c r="A102" s="34" t="s">
        <v>98</v>
      </c>
      <c r="B102" s="36">
        <v>2708824237.2069669</v>
      </c>
    </row>
    <row r="103" spans="1:2" x14ac:dyDescent="0.3">
      <c r="A103" s="34" t="s">
        <v>99</v>
      </c>
      <c r="B103" s="36">
        <v>11349315055.082466</v>
      </c>
    </row>
    <row r="104" spans="1:2" x14ac:dyDescent="0.3">
      <c r="A104" s="34" t="s">
        <v>100</v>
      </c>
      <c r="B104" s="36">
        <v>352269600.33361137</v>
      </c>
    </row>
    <row r="105" spans="1:2" x14ac:dyDescent="0.3">
      <c r="A105" s="34" t="s">
        <v>101</v>
      </c>
      <c r="B105" s="36">
        <v>11338801799.258024</v>
      </c>
    </row>
    <row r="106" spans="1:2" x14ac:dyDescent="0.3">
      <c r="A106" s="34" t="s">
        <v>102</v>
      </c>
      <c r="B106" s="36">
        <v>1647959896.5980735</v>
      </c>
    </row>
    <row r="107" spans="1:2" x14ac:dyDescent="0.3">
      <c r="A107" s="34" t="s">
        <v>103</v>
      </c>
      <c r="B107" s="36">
        <v>1214051131.9159482</v>
      </c>
    </row>
    <row r="108" spans="1:2" x14ac:dyDescent="0.3">
      <c r="A108" s="34" t="s">
        <v>104</v>
      </c>
      <c r="B108" s="36">
        <v>676345883.595245</v>
      </c>
    </row>
    <row r="109" spans="1:2" x14ac:dyDescent="0.3">
      <c r="A109" s="34" t="s">
        <v>105</v>
      </c>
      <c r="B109" s="36">
        <v>5755414931.5064392</v>
      </c>
    </row>
    <row r="110" spans="1:2" x14ac:dyDescent="0.3">
      <c r="A110" s="34" t="s">
        <v>106</v>
      </c>
      <c r="B110" s="36">
        <v>20784463192.844528</v>
      </c>
    </row>
    <row r="111" spans="1:2" x14ac:dyDescent="0.3">
      <c r="A111" s="34" t="s">
        <v>107</v>
      </c>
      <c r="B111" s="36">
        <v>7530615954.5882883</v>
      </c>
    </row>
    <row r="112" spans="1:2" x14ac:dyDescent="0.3">
      <c r="A112" s="34" t="s">
        <v>108</v>
      </c>
      <c r="B112" s="36">
        <v>13976466865.33317</v>
      </c>
    </row>
    <row r="113" spans="1:2" x14ac:dyDescent="0.3">
      <c r="A113" s="34" t="s">
        <v>109</v>
      </c>
      <c r="B113" s="36">
        <v>481877785.06745636</v>
      </c>
    </row>
    <row r="114" spans="1:2" x14ac:dyDescent="0.3">
      <c r="A114" s="34" t="s">
        <v>110</v>
      </c>
      <c r="B114" s="36">
        <v>726201309.68016267</v>
      </c>
    </row>
    <row r="115" spans="1:2" x14ac:dyDescent="0.3">
      <c r="A115" s="34" t="s">
        <v>111</v>
      </c>
      <c r="B115" s="36">
        <v>110678848902.63742</v>
      </c>
    </row>
    <row r="116" spans="1:2" x14ac:dyDescent="0.3">
      <c r="A116" s="34" t="s">
        <v>112</v>
      </c>
      <c r="B116" s="36">
        <v>116919204900.05479</v>
      </c>
    </row>
    <row r="117" spans="1:2" x14ac:dyDescent="0.3">
      <c r="A117" s="34" t="s">
        <v>113</v>
      </c>
      <c r="B117" s="36">
        <v>4959021083.3545523</v>
      </c>
    </row>
    <row r="118" spans="1:2" x14ac:dyDescent="0.3">
      <c r="A118" s="34" t="s">
        <v>114</v>
      </c>
      <c r="B118" s="36">
        <v>8223592993.6459084</v>
      </c>
    </row>
    <row r="119" spans="1:2" x14ac:dyDescent="0.3">
      <c r="A119" s="34" t="s">
        <v>115</v>
      </c>
      <c r="B119" s="36">
        <v>21484635307.017708</v>
      </c>
    </row>
    <row r="120" spans="1:2" x14ac:dyDescent="0.3">
      <c r="A120" s="34" t="s">
        <v>116</v>
      </c>
      <c r="B120" s="36">
        <v>4345592043.1948624</v>
      </c>
    </row>
    <row r="121" spans="1:2" x14ac:dyDescent="0.3">
      <c r="A121" s="34" t="s">
        <v>117</v>
      </c>
      <c r="B121" s="36">
        <v>31107404034.948097</v>
      </c>
    </row>
    <row r="122" spans="1:2" x14ac:dyDescent="0.3">
      <c r="A122" s="34" t="s">
        <v>118</v>
      </c>
      <c r="B122" s="36">
        <v>18837077649.837513</v>
      </c>
    </row>
    <row r="123" spans="1:2" x14ac:dyDescent="0.3">
      <c r="A123" s="34" t="s">
        <v>119</v>
      </c>
      <c r="B123" s="36">
        <v>7150443.8502453147</v>
      </c>
    </row>
    <row r="124" spans="1:2" x14ac:dyDescent="0.3">
      <c r="A124" s="34" t="s">
        <v>120</v>
      </c>
      <c r="B124" s="36">
        <v>9994510003.231369</v>
      </c>
    </row>
    <row r="125" spans="1:2" x14ac:dyDescent="0.3">
      <c r="A125" s="34" t="s">
        <v>121</v>
      </c>
      <c r="B125" s="36">
        <v>2126369230.7236555</v>
      </c>
    </row>
    <row r="126" spans="1:2" x14ac:dyDescent="0.3">
      <c r="A126" s="34" t="s">
        <v>122</v>
      </c>
      <c r="B126" s="36">
        <v>54423808494.644875</v>
      </c>
    </row>
    <row r="127" spans="1:2" x14ac:dyDescent="0.3">
      <c r="A127" s="34" t="s">
        <v>123</v>
      </c>
      <c r="B127" s="36">
        <v>41411250.183587611</v>
      </c>
    </row>
    <row r="128" spans="1:2" x14ac:dyDescent="0.3">
      <c r="A128" s="34" t="s">
        <v>124</v>
      </c>
      <c r="B128" s="36">
        <v>5836237315.1561155</v>
      </c>
    </row>
    <row r="129" spans="1:2" x14ac:dyDescent="0.3">
      <c r="A129" s="34" t="s">
        <v>125</v>
      </c>
      <c r="B129" s="36">
        <v>317312884.19911885</v>
      </c>
    </row>
    <row r="130" spans="1:2" x14ac:dyDescent="0.3">
      <c r="A130" s="34" t="s">
        <v>126</v>
      </c>
      <c r="B130" s="36">
        <v>7929768964.8378248</v>
      </c>
    </row>
    <row r="131" spans="1:2" x14ac:dyDescent="0.3">
      <c r="A131" s="34" t="s">
        <v>127</v>
      </c>
      <c r="B131" s="36">
        <v>452517840.36012709</v>
      </c>
    </row>
    <row r="132" spans="1:2" x14ac:dyDescent="0.3">
      <c r="A132" s="34" t="s">
        <v>128</v>
      </c>
      <c r="B132" s="36">
        <v>7801726.4216671716</v>
      </c>
    </row>
    <row r="133" spans="1:2" x14ac:dyDescent="0.3">
      <c r="A133" s="34" t="s">
        <v>129</v>
      </c>
      <c r="B133" s="36">
        <v>55882865.186321542</v>
      </c>
    </row>
    <row r="134" spans="1:2" x14ac:dyDescent="0.3">
      <c r="A134" s="34" t="s">
        <v>130</v>
      </c>
      <c r="B134" s="36">
        <v>324783536.30258626</v>
      </c>
    </row>
    <row r="135" spans="1:2" x14ac:dyDescent="0.3">
      <c r="A135" s="34" t="s">
        <v>131</v>
      </c>
      <c r="B135" s="36">
        <v>35325327335.777443</v>
      </c>
    </row>
    <row r="136" spans="1:2" x14ac:dyDescent="0.3">
      <c r="A136" s="34" t="s">
        <v>132</v>
      </c>
      <c r="B136" s="36">
        <v>693521272.8913368</v>
      </c>
    </row>
    <row r="137" spans="1:2" x14ac:dyDescent="0.3">
      <c r="A137" s="34" t="s">
        <v>133</v>
      </c>
      <c r="B137" s="36">
        <v>7251976306.9657211</v>
      </c>
    </row>
    <row r="138" spans="1:2" x14ac:dyDescent="0.3">
      <c r="A138" s="34" t="s">
        <v>134</v>
      </c>
      <c r="B138" s="36">
        <v>2010260270.5690939</v>
      </c>
    </row>
    <row r="139" spans="1:2" x14ac:dyDescent="0.3">
      <c r="A139" s="34" t="s">
        <v>135</v>
      </c>
      <c r="B139" s="36">
        <v>108581018342.97627</v>
      </c>
    </row>
    <row r="140" spans="1:2" x14ac:dyDescent="0.3">
      <c r="A140" s="34" t="s">
        <v>136</v>
      </c>
      <c r="B140" s="36">
        <v>25502217454.05759</v>
      </c>
    </row>
    <row r="141" spans="1:2" x14ac:dyDescent="0.3">
      <c r="A141" s="34" t="s">
        <v>137</v>
      </c>
      <c r="B141" s="36">
        <v>10004449678.068811</v>
      </c>
    </row>
    <row r="142" spans="1:2" x14ac:dyDescent="0.3">
      <c r="A142" s="34" t="s">
        <v>138</v>
      </c>
      <c r="B142" s="36">
        <v>2513850867.2049723</v>
      </c>
    </row>
    <row r="143" spans="1:2" x14ac:dyDescent="0.3">
      <c r="A143" s="34" t="s">
        <v>139</v>
      </c>
      <c r="B143" s="36">
        <v>10529955573.932276</v>
      </c>
    </row>
    <row r="144" spans="1:2" x14ac:dyDescent="0.3">
      <c r="A144" s="34" t="s">
        <v>140</v>
      </c>
      <c r="B144" s="36">
        <v>14428534508.258652</v>
      </c>
    </row>
    <row r="145" spans="1:2" x14ac:dyDescent="0.3">
      <c r="A145" s="34" t="s">
        <v>141</v>
      </c>
      <c r="B145" s="36">
        <v>268543529.44979066</v>
      </c>
    </row>
    <row r="146" spans="1:2" x14ac:dyDescent="0.3">
      <c r="A146" s="34" t="s">
        <v>142</v>
      </c>
      <c r="B146" s="36">
        <v>1076394975.6632714</v>
      </c>
    </row>
    <row r="147" spans="1:2" x14ac:dyDescent="0.3">
      <c r="A147" s="34" t="s">
        <v>143</v>
      </c>
      <c r="B147" s="36">
        <v>15389805362.726212</v>
      </c>
    </row>
    <row r="148" spans="1:2" x14ac:dyDescent="0.3">
      <c r="A148" s="34" t="s">
        <v>144</v>
      </c>
      <c r="B148" s="36">
        <v>20472252218.009968</v>
      </c>
    </row>
    <row r="149" spans="1:2" x14ac:dyDescent="0.3">
      <c r="A149" s="34" t="s">
        <v>145</v>
      </c>
      <c r="B149" s="36">
        <v>14069277487.448856</v>
      </c>
    </row>
    <row r="150" spans="1:2" x14ac:dyDescent="0.3">
      <c r="A150" s="34" t="s">
        <v>146</v>
      </c>
      <c r="B150" s="36">
        <v>2455868720.6462326</v>
      </c>
    </row>
    <row r="151" spans="1:2" x14ac:dyDescent="0.3">
      <c r="A151" s="34" t="s">
        <v>147</v>
      </c>
      <c r="B151" s="36">
        <v>15052834332.592953</v>
      </c>
    </row>
    <row r="152" spans="1:2" x14ac:dyDescent="0.3">
      <c r="A152" s="34" t="s">
        <v>148</v>
      </c>
      <c r="B152" s="36">
        <v>50930424467.759872</v>
      </c>
    </row>
    <row r="153" spans="1:2" x14ac:dyDescent="0.3">
      <c r="A153" s="34" t="s">
        <v>149</v>
      </c>
      <c r="B153" s="36">
        <v>5170842267.6981058</v>
      </c>
    </row>
    <row r="154" spans="1:2" x14ac:dyDescent="0.3">
      <c r="A154" s="34" t="s">
        <v>150</v>
      </c>
      <c r="B154" s="36">
        <v>42578012474.711723</v>
      </c>
    </row>
    <row r="155" spans="1:2" x14ac:dyDescent="0.3">
      <c r="A155" s="34" t="s">
        <v>151</v>
      </c>
      <c r="B155" s="36">
        <v>169865109044.36902</v>
      </c>
    </row>
    <row r="156" spans="1:2" x14ac:dyDescent="0.3">
      <c r="A156" s="34" t="s">
        <v>152</v>
      </c>
      <c r="B156" s="36">
        <v>30806404011.847771</v>
      </c>
    </row>
    <row r="157" spans="1:2" x14ac:dyDescent="0.3">
      <c r="A157" s="34" t="s">
        <v>153</v>
      </c>
      <c r="B157" s="36">
        <v>8902096286.0123158</v>
      </c>
    </row>
    <row r="158" spans="1:2" x14ac:dyDescent="0.3">
      <c r="A158" s="34" t="s">
        <v>154</v>
      </c>
      <c r="B158" s="36">
        <v>4088147625.6808124</v>
      </c>
    </row>
    <row r="159" spans="1:2" x14ac:dyDescent="0.3">
      <c r="A159" s="34" t="s">
        <v>155</v>
      </c>
      <c r="B159" s="36">
        <v>782192877.1945008</v>
      </c>
    </row>
    <row r="160" spans="1:2" x14ac:dyDescent="0.3">
      <c r="A160" s="34" t="s">
        <v>156</v>
      </c>
      <c r="B160" s="36">
        <v>46620796021.791718</v>
      </c>
    </row>
    <row r="161" spans="1:2" x14ac:dyDescent="0.3">
      <c r="A161" s="34" t="s">
        <v>157</v>
      </c>
      <c r="B161" s="36">
        <v>34651633290.356285</v>
      </c>
    </row>
    <row r="162" spans="1:2" x14ac:dyDescent="0.3">
      <c r="A162" s="34" t="s">
        <v>158</v>
      </c>
      <c r="B162" s="36">
        <v>21936303627.813988</v>
      </c>
    </row>
    <row r="163" spans="1:2" x14ac:dyDescent="0.3">
      <c r="A163" s="34" t="s">
        <v>159</v>
      </c>
      <c r="B163" s="36">
        <v>2923787392.3614635</v>
      </c>
    </row>
    <row r="164" spans="1:2" x14ac:dyDescent="0.3">
      <c r="A164" s="34" t="s">
        <v>160</v>
      </c>
      <c r="B164" s="36">
        <v>135409214776.13171</v>
      </c>
    </row>
    <row r="165" spans="1:2" x14ac:dyDescent="0.3">
      <c r="A165" s="34" t="s">
        <v>161</v>
      </c>
      <c r="B165" s="36">
        <v>9251360313.4058628</v>
      </c>
    </row>
    <row r="166" spans="1:2" x14ac:dyDescent="0.3">
      <c r="A166" s="34" t="s">
        <v>162</v>
      </c>
      <c r="B166" s="36">
        <v>30041368468.513763</v>
      </c>
    </row>
    <row r="167" spans="1:2" x14ac:dyDescent="0.3">
      <c r="A167" s="34" t="s">
        <v>163</v>
      </c>
      <c r="B167" s="36">
        <v>314545824977.25452</v>
      </c>
    </row>
    <row r="168" spans="1:2" x14ac:dyDescent="0.3">
      <c r="A168" s="34" t="s">
        <v>164</v>
      </c>
      <c r="B168" s="36">
        <v>0</v>
      </c>
    </row>
    <row r="169" spans="1:2" x14ac:dyDescent="0.3">
      <c r="A169" s="34" t="s">
        <v>165</v>
      </c>
      <c r="B169" s="36">
        <v>0</v>
      </c>
    </row>
    <row r="170" spans="1:2" x14ac:dyDescent="0.3">
      <c r="A170" s="34" t="s">
        <v>166</v>
      </c>
      <c r="B170" s="36">
        <v>0</v>
      </c>
    </row>
    <row r="171" spans="1:2" x14ac:dyDescent="0.3">
      <c r="A171" s="34" t="s">
        <v>167</v>
      </c>
      <c r="B171" s="36">
        <v>0</v>
      </c>
    </row>
    <row r="172" spans="1:2" x14ac:dyDescent="0.3">
      <c r="A172" s="34" t="s">
        <v>168</v>
      </c>
      <c r="B172" s="36">
        <v>0</v>
      </c>
    </row>
    <row r="173" spans="1:2" x14ac:dyDescent="0.3">
      <c r="A173" s="34" t="s">
        <v>169</v>
      </c>
      <c r="B173" s="36">
        <v>0</v>
      </c>
    </row>
    <row r="174" spans="1:2" x14ac:dyDescent="0.3">
      <c r="A174" s="34" t="s">
        <v>170</v>
      </c>
      <c r="B174" s="36">
        <v>0</v>
      </c>
    </row>
    <row r="175" spans="1:2" x14ac:dyDescent="0.3">
      <c r="A175" s="34" t="s">
        <v>171</v>
      </c>
      <c r="B175" s="36">
        <v>0</v>
      </c>
    </row>
    <row r="176" spans="1:2" x14ac:dyDescent="0.3">
      <c r="A176" s="34" t="s">
        <v>172</v>
      </c>
      <c r="B176" s="36">
        <v>0</v>
      </c>
    </row>
    <row r="177" spans="1:2" x14ac:dyDescent="0.3">
      <c r="A177" s="34" t="s">
        <v>173</v>
      </c>
      <c r="B177" s="36">
        <v>6901364417.818079</v>
      </c>
    </row>
    <row r="178" spans="1:2" x14ac:dyDescent="0.3">
      <c r="A178" s="34" t="s">
        <v>174</v>
      </c>
      <c r="B178" s="36">
        <v>0</v>
      </c>
    </row>
    <row r="179" spans="1:2" x14ac:dyDescent="0.3">
      <c r="A179" s="34" t="s">
        <v>175</v>
      </c>
      <c r="B179" s="36">
        <v>20913183140.021313</v>
      </c>
    </row>
    <row r="180" spans="1:2" x14ac:dyDescent="0.3">
      <c r="A180" s="34" t="s">
        <v>176</v>
      </c>
      <c r="B180" s="36">
        <v>6801523887.8990784</v>
      </c>
    </row>
    <row r="181" spans="1:2" x14ac:dyDescent="0.3">
      <c r="A181" s="34" t="s">
        <v>177</v>
      </c>
      <c r="B181" s="36">
        <v>97085066839.822968</v>
      </c>
    </row>
    <row r="182" spans="1:2" x14ac:dyDescent="0.3">
      <c r="A182" s="34" t="s">
        <v>178</v>
      </c>
      <c r="B182" s="36">
        <v>10991941785.674007</v>
      </c>
    </row>
    <row r="183" spans="1:2" x14ac:dyDescent="0.3">
      <c r="A183" s="34" t="s">
        <v>179</v>
      </c>
      <c r="B183" s="36">
        <v>454382775.91908377</v>
      </c>
    </row>
    <row r="184" spans="1:2" x14ac:dyDescent="0.3">
      <c r="A184" s="34" t="s">
        <v>180</v>
      </c>
      <c r="B184" s="36">
        <v>5964180381.8153458</v>
      </c>
    </row>
    <row r="185" spans="1:2" x14ac:dyDescent="0.3">
      <c r="A185" s="34" t="s">
        <v>181</v>
      </c>
      <c r="B185" s="36">
        <v>6712635431.0127115</v>
      </c>
    </row>
    <row r="186" spans="1:2" x14ac:dyDescent="0.3">
      <c r="A186" s="34" t="s">
        <v>182</v>
      </c>
      <c r="B186" s="36">
        <v>51113657213.605385</v>
      </c>
    </row>
    <row r="187" spans="1:2" x14ac:dyDescent="0.3">
      <c r="A187" s="34" t="s">
        <v>183</v>
      </c>
      <c r="B187" s="36">
        <v>30609356032.368214</v>
      </c>
    </row>
    <row r="188" spans="1:2" x14ac:dyDescent="0.3">
      <c r="A188" s="34" t="s">
        <v>184</v>
      </c>
      <c r="B188" s="36">
        <v>2397431642.469492</v>
      </c>
    </row>
    <row r="189" spans="1:2" x14ac:dyDescent="0.3">
      <c r="A189" s="34" t="s">
        <v>185</v>
      </c>
      <c r="B189" s="36">
        <v>1405587412.5813446</v>
      </c>
    </row>
    <row r="190" spans="1:2" x14ac:dyDescent="0.3">
      <c r="A190" s="34" t="s">
        <v>186</v>
      </c>
      <c r="B190" s="36">
        <v>1185669276.2960629</v>
      </c>
    </row>
    <row r="191" spans="1:2" x14ac:dyDescent="0.3">
      <c r="A191" s="34" t="s">
        <v>187</v>
      </c>
      <c r="B191" s="36">
        <v>25272139907.744778</v>
      </c>
    </row>
    <row r="192" spans="1:2" x14ac:dyDescent="0.3">
      <c r="A192" s="34" t="s">
        <v>188</v>
      </c>
      <c r="B192" s="36">
        <v>23551625460.974506</v>
      </c>
    </row>
    <row r="193" spans="1:2" x14ac:dyDescent="0.3">
      <c r="A193" s="34" t="s">
        <v>189</v>
      </c>
      <c r="B193" s="36">
        <v>93078997.313499287</v>
      </c>
    </row>
    <row r="194" spans="1:2" x14ac:dyDescent="0.3">
      <c r="A194" s="34" t="s">
        <v>190</v>
      </c>
      <c r="B194" s="36">
        <v>26971808724.369972</v>
      </c>
    </row>
    <row r="195" spans="1:2" x14ac:dyDescent="0.3">
      <c r="A195" s="34" t="s">
        <v>191</v>
      </c>
      <c r="B195" s="36">
        <v>7175721324.3608866</v>
      </c>
    </row>
    <row r="196" spans="1:2" x14ac:dyDescent="0.3">
      <c r="A196" s="34" t="s">
        <v>192</v>
      </c>
      <c r="B196" s="36">
        <v>37536535325.864685</v>
      </c>
    </row>
    <row r="197" spans="1:2" x14ac:dyDescent="0.3">
      <c r="A197" s="34" t="s">
        <v>193</v>
      </c>
      <c r="B197" s="36">
        <v>1567683997.7822447</v>
      </c>
    </row>
    <row r="198" spans="1:2" x14ac:dyDescent="0.3">
      <c r="A198" s="34" t="s">
        <v>194</v>
      </c>
      <c r="B198" s="36">
        <v>146591967717.99915</v>
      </c>
    </row>
    <row r="199" spans="1:2" x14ac:dyDescent="0.3">
      <c r="A199" s="34" t="s">
        <v>195</v>
      </c>
      <c r="B199" s="36">
        <v>47391487014.050507</v>
      </c>
    </row>
    <row r="200" spans="1:2" x14ac:dyDescent="0.3">
      <c r="A200" s="34" t="s">
        <v>196</v>
      </c>
      <c r="B200" s="36">
        <v>0</v>
      </c>
    </row>
    <row r="201" spans="1:2" x14ac:dyDescent="0.3">
      <c r="A201" s="34" t="s">
        <v>197</v>
      </c>
      <c r="B201" s="36">
        <v>3787427872.1355429</v>
      </c>
    </row>
    <row r="202" spans="1:2" x14ac:dyDescent="0.3">
      <c r="A202" s="34" t="s">
        <v>198</v>
      </c>
      <c r="B202" s="36">
        <v>2658201981.8330007</v>
      </c>
    </row>
    <row r="203" spans="1:2" x14ac:dyDescent="0.3">
      <c r="A203" s="34" t="s">
        <v>199</v>
      </c>
      <c r="B203" s="36">
        <v>143226217.25166059</v>
      </c>
    </row>
    <row r="204" spans="1:2" x14ac:dyDescent="0.3">
      <c r="A204" s="34" t="s">
        <v>200</v>
      </c>
      <c r="B204" s="36">
        <v>10704691396.233398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76FC-8F9B-46F5-8B46-9BA89822DC79}">
  <sheetPr codeName="Sheet21"/>
  <dimension ref="A1:N209"/>
  <sheetViews>
    <sheetView zoomScaleNormal="100" workbookViewId="0">
      <selection activeCell="A4" sqref="A4"/>
    </sheetView>
  </sheetViews>
  <sheetFormatPr defaultRowHeight="14.4" x14ac:dyDescent="0.3"/>
  <cols>
    <col min="1" max="1" width="71.33203125" customWidth="1"/>
    <col min="2" max="2" width="55.6640625" customWidth="1"/>
    <col min="3" max="3" width="25.44140625" customWidth="1"/>
    <col min="4" max="4" width="17.6640625" customWidth="1"/>
    <col min="5" max="5" width="22.109375" customWidth="1"/>
    <col min="6" max="6" width="18.5546875" customWidth="1"/>
    <col min="7" max="8" width="12.6640625" customWidth="1"/>
    <col min="9" max="9" width="12.44140625" customWidth="1"/>
    <col min="10" max="10" width="10" bestFit="1" customWidth="1"/>
  </cols>
  <sheetData>
    <row r="1" spans="1:14" ht="24" thickBot="1" x14ac:dyDescent="0.5">
      <c r="A1" s="10" t="s">
        <v>242</v>
      </c>
      <c r="B1" s="38" t="s">
        <v>295</v>
      </c>
    </row>
    <row r="2" spans="1:14" ht="21" thickTop="1" thickBot="1" x14ac:dyDescent="0.45">
      <c r="A2" s="10" t="s">
        <v>243</v>
      </c>
      <c r="B2" t="s">
        <v>280</v>
      </c>
    </row>
    <row r="3" spans="1:14" ht="15" thickTop="1" x14ac:dyDescent="0.3"/>
    <row r="4" spans="1:14" x14ac:dyDescent="0.3">
      <c r="D4" t="s">
        <v>301</v>
      </c>
      <c r="E4" t="s">
        <v>302</v>
      </c>
    </row>
    <row r="5" spans="1:14" x14ac:dyDescent="0.3">
      <c r="A5" t="s">
        <v>269</v>
      </c>
      <c r="B5" t="s">
        <v>270</v>
      </c>
      <c r="C5" s="37">
        <v>4440000000000</v>
      </c>
      <c r="D5" s="35">
        <f>VLOOKUP("Plastics, basic", $A$10:$B$209, 2, FALSE)/$C5</f>
        <v>4.9606161952367847E-2</v>
      </c>
      <c r="E5" s="35">
        <f>VLOOKUP("Chemicals nec", $A$10:$B$209, 2, FALSE)/$C5</f>
        <v>5.4365532540747559E-2</v>
      </c>
    </row>
    <row r="6" spans="1:14" x14ac:dyDescent="0.3">
      <c r="A6" t="s">
        <v>271</v>
      </c>
      <c r="B6" t="s">
        <v>272</v>
      </c>
      <c r="C6" s="37">
        <v>3360000000000</v>
      </c>
      <c r="D6" s="35">
        <f t="shared" ref="D6:D7" si="0">VLOOKUP("Plastics, basic", $A$10:$B$209, 2, FALSE)/$C6</f>
        <v>6.5550999722771799E-2</v>
      </c>
      <c r="E6" s="35">
        <f t="shared" ref="E6:E7" si="1">VLOOKUP("Chemicals nec", $A$10:$B$209, 2, FALSE)/$C6</f>
        <v>7.1840168000273555E-2</v>
      </c>
    </row>
    <row r="7" spans="1:14" x14ac:dyDescent="0.3">
      <c r="A7" t="s">
        <v>273</v>
      </c>
      <c r="B7" t="s">
        <v>274</v>
      </c>
      <c r="C7" s="37">
        <v>742000000000</v>
      </c>
      <c r="D7" s="35">
        <f t="shared" si="0"/>
        <v>0.29683471572575909</v>
      </c>
      <c r="E7" s="35">
        <f t="shared" si="1"/>
        <v>0.32531396830312553</v>
      </c>
    </row>
    <row r="9" spans="1:14" x14ac:dyDescent="0.3">
      <c r="A9" s="8" t="s">
        <v>203</v>
      </c>
      <c r="B9" s="8" t="s">
        <v>244</v>
      </c>
      <c r="C9" s="8" t="s">
        <v>263</v>
      </c>
      <c r="D9" s="8" t="s">
        <v>264</v>
      </c>
      <c r="E9" s="8" t="s">
        <v>265</v>
      </c>
      <c r="F9" s="8" t="s">
        <v>266</v>
      </c>
      <c r="G9" s="8" t="s">
        <v>201</v>
      </c>
      <c r="H9" s="8" t="s">
        <v>202</v>
      </c>
    </row>
    <row r="10" spans="1:14" x14ac:dyDescent="0.3">
      <c r="A10" s="9" t="s">
        <v>163</v>
      </c>
      <c r="B10" s="29">
        <f t="shared" ref="B10:B41" si="2">SUM(C10:F10)</f>
        <v>527913270718.72656</v>
      </c>
      <c r="C10" s="4">
        <f>VLOOKUP(A10,  output_exiobase_v3.10.2_EXIO_IOT_2022_pxp_Y_imports_footprint_EU27[], 2, FALSE)</f>
        <v>40573866331.415947</v>
      </c>
      <c r="D10" s="4">
        <f>VLOOKUP(A10, output_exiobase_v3.10.2_EXIO_IOT_2022_pxp_Z_imports_footprint_EU27[], 2, FALSE)</f>
        <v>111358110366.42844</v>
      </c>
      <c r="E10" s="4">
        <f>VLOOKUP(A10, output_exiobase_v3.10.2_EXIO_IOT_2022_pxp_Y_production_footprint_EU27[], 2, FALSE)</f>
        <v>61435469043.62767</v>
      </c>
      <c r="F10" s="4">
        <f>VLOOKUP(A10, output_exiobase_v3.10.2_EXIO_IOT_2022_pxp_Z_production_footprint_EU27[], 2, FALSE)</f>
        <v>314545824977.25452</v>
      </c>
      <c r="G10" s="35">
        <f t="shared" ref="G10:G41" si="3">(C10+D10)/B10</f>
        <v>0.28779722944073155</v>
      </c>
      <c r="H10" s="1">
        <f t="shared" ref="H10:H41" si="4">(E10+F10)/B10</f>
        <v>0.71220277055926851</v>
      </c>
      <c r="I10" s="6"/>
      <c r="J10" s="5"/>
      <c r="N10" s="7"/>
    </row>
    <row r="11" spans="1:14" x14ac:dyDescent="0.3">
      <c r="A11" s="9" t="s">
        <v>32</v>
      </c>
      <c r="B11" s="29">
        <f t="shared" si="2"/>
        <v>502540825497.42902</v>
      </c>
      <c r="C11" s="4">
        <f>VLOOKUP(A11,  output_exiobase_v3.10.2_EXIO_IOT_2022_pxp_Y_imports_footprint_EU27[], 2, FALSE)</f>
        <v>22649861952.567947</v>
      </c>
      <c r="D11" s="4">
        <f>VLOOKUP(A11, output_exiobase_v3.10.2_EXIO_IOT_2022_pxp_Z_imports_footprint_EU27[], 2, FALSE)</f>
        <v>12828130619.134598</v>
      </c>
      <c r="E11" s="4">
        <f>VLOOKUP(A11, output_exiobase_v3.10.2_EXIO_IOT_2022_pxp_Y_production_footprint_EU27[], 2, FALSE)</f>
        <v>337231868005.33337</v>
      </c>
      <c r="F11" s="4">
        <f>VLOOKUP(A11, output_exiobase_v3.10.2_EXIO_IOT_2022_pxp_Z_production_footprint_EU27[], 2, FALSE)</f>
        <v>129830964920.39311</v>
      </c>
      <c r="G11" s="35">
        <f t="shared" si="3"/>
        <v>7.0597234635783934E-2</v>
      </c>
      <c r="H11" s="1">
        <f t="shared" si="4"/>
        <v>0.92940276536421618</v>
      </c>
      <c r="I11" s="6"/>
      <c r="N11" s="7"/>
    </row>
    <row r="12" spans="1:14" x14ac:dyDescent="0.3">
      <c r="A12" s="9" t="s">
        <v>44</v>
      </c>
      <c r="B12" s="29">
        <f t="shared" si="2"/>
        <v>430739432178.11145</v>
      </c>
      <c r="C12" s="4">
        <f>VLOOKUP(A12,  output_exiobase_v3.10.2_EXIO_IOT_2022_pxp_Y_imports_footprint_EU27[], 2, FALSE)</f>
        <v>3878820869.4556613</v>
      </c>
      <c r="D12" s="4">
        <f>VLOOKUP(A12, output_exiobase_v3.10.2_EXIO_IOT_2022_pxp_Z_imports_footprint_EU27[], 2, FALSE)</f>
        <v>17955501105.483219</v>
      </c>
      <c r="E12" s="4">
        <f>VLOOKUP(A12, output_exiobase_v3.10.2_EXIO_IOT_2022_pxp_Y_production_footprint_EU27[], 2, FALSE)</f>
        <v>72157046214.103745</v>
      </c>
      <c r="F12" s="4">
        <f>VLOOKUP(A12, output_exiobase_v3.10.2_EXIO_IOT_2022_pxp_Z_production_footprint_EU27[], 2, FALSE)</f>
        <v>336748063989.06885</v>
      </c>
      <c r="G12" s="35">
        <f t="shared" si="3"/>
        <v>5.0690325388900899E-2</v>
      </c>
      <c r="H12" s="1">
        <f t="shared" si="4"/>
        <v>0.94930967461109916</v>
      </c>
      <c r="I12" s="6"/>
      <c r="N12" s="7"/>
    </row>
    <row r="13" spans="1:14" x14ac:dyDescent="0.3">
      <c r="A13" s="9" t="s">
        <v>97</v>
      </c>
      <c r="B13" s="29">
        <f t="shared" si="2"/>
        <v>345372457215.90546</v>
      </c>
      <c r="C13" s="4">
        <f>VLOOKUP(A13,  output_exiobase_v3.10.2_EXIO_IOT_2022_pxp_Y_imports_footprint_EU27[], 2, FALSE)</f>
        <v>55798681072.18325</v>
      </c>
      <c r="D13" s="4">
        <f>VLOOKUP(A13, output_exiobase_v3.10.2_EXIO_IOT_2022_pxp_Z_imports_footprint_EU27[], 2, FALSE)</f>
        <v>11918229968.7609</v>
      </c>
      <c r="E13" s="4">
        <f>VLOOKUP(A13, output_exiobase_v3.10.2_EXIO_IOT_2022_pxp_Y_production_footprint_EU27[], 2, FALSE)</f>
        <v>175452389265.79242</v>
      </c>
      <c r="F13" s="4">
        <f>VLOOKUP(A13, output_exiobase_v3.10.2_EXIO_IOT_2022_pxp_Z_production_footprint_EU27[], 2, FALSE)</f>
        <v>102203156909.1689</v>
      </c>
      <c r="G13" s="35">
        <f t="shared" si="3"/>
        <v>0.19606922794834139</v>
      </c>
      <c r="H13" s="1">
        <f t="shared" si="4"/>
        <v>0.80393077205165864</v>
      </c>
      <c r="I13" s="6"/>
      <c r="N13" s="7"/>
    </row>
    <row r="14" spans="1:14" x14ac:dyDescent="0.3">
      <c r="A14" s="9" t="s">
        <v>60</v>
      </c>
      <c r="B14" s="29">
        <f t="shared" si="2"/>
        <v>337573466603.63696</v>
      </c>
      <c r="C14" s="4">
        <f>VLOOKUP(A14,  output_exiobase_v3.10.2_EXIO_IOT_2022_pxp_Y_imports_footprint_EU27[], 2, FALSE)</f>
        <v>30880494455.672993</v>
      </c>
      <c r="D14" s="4">
        <f>VLOOKUP(A14, output_exiobase_v3.10.2_EXIO_IOT_2022_pxp_Z_imports_footprint_EU27[], 2, FALSE)</f>
        <v>9465365732.6382275</v>
      </c>
      <c r="E14" s="4">
        <f>VLOOKUP(A14, output_exiobase_v3.10.2_EXIO_IOT_2022_pxp_Y_production_footprint_EU27[], 2, FALSE)</f>
        <v>195928196615.25638</v>
      </c>
      <c r="F14" s="4">
        <f>VLOOKUP(A14, output_exiobase_v3.10.2_EXIO_IOT_2022_pxp_Z_production_footprint_EU27[], 2, FALSE)</f>
        <v>101299409800.06934</v>
      </c>
      <c r="G14" s="35">
        <f t="shared" si="3"/>
        <v>0.11951727306720894</v>
      </c>
      <c r="H14" s="1">
        <f t="shared" si="4"/>
        <v>0.88048272693279084</v>
      </c>
      <c r="I14" s="6"/>
      <c r="N14" s="7"/>
    </row>
    <row r="15" spans="1:14" x14ac:dyDescent="0.3">
      <c r="A15" s="9" t="s">
        <v>10</v>
      </c>
      <c r="B15" s="29">
        <f t="shared" si="2"/>
        <v>337489578198.00177</v>
      </c>
      <c r="C15" s="4">
        <f>VLOOKUP(A15,  output_exiobase_v3.10.2_EXIO_IOT_2022_pxp_Y_imports_footprint_EU27[], 2, FALSE)</f>
        <v>6930193307.0168638</v>
      </c>
      <c r="D15" s="4">
        <f>VLOOKUP(A15, output_exiobase_v3.10.2_EXIO_IOT_2022_pxp_Z_imports_footprint_EU27[], 2, FALSE)</f>
        <v>101544790241.02666</v>
      </c>
      <c r="E15" s="4">
        <f>VLOOKUP(A15, output_exiobase_v3.10.2_EXIO_IOT_2022_pxp_Y_production_footprint_EU27[], 2, FALSE)</f>
        <v>9233143843.601593</v>
      </c>
      <c r="F15" s="4">
        <f>VLOOKUP(A15, output_exiobase_v3.10.2_EXIO_IOT_2022_pxp_Z_production_footprint_EU27[], 2, FALSE)</f>
        <v>219781450806.35666</v>
      </c>
      <c r="G15" s="35">
        <f t="shared" si="3"/>
        <v>0.32141728383802809</v>
      </c>
      <c r="H15" s="1">
        <f t="shared" si="4"/>
        <v>0.67858271616197186</v>
      </c>
      <c r="I15" s="6"/>
      <c r="N15" s="7"/>
    </row>
    <row r="16" spans="1:14" x14ac:dyDescent="0.3">
      <c r="A16" s="9" t="s">
        <v>56</v>
      </c>
      <c r="B16" s="29">
        <f t="shared" si="2"/>
        <v>268339008694.12872</v>
      </c>
      <c r="C16" s="4">
        <f>VLOOKUP(A16,  output_exiobase_v3.10.2_EXIO_IOT_2022_pxp_Y_imports_footprint_EU27[], 2, FALSE)</f>
        <v>17892699011.979259</v>
      </c>
      <c r="D16" s="4">
        <f>VLOOKUP(A16, output_exiobase_v3.10.2_EXIO_IOT_2022_pxp_Z_imports_footprint_EU27[], 2, FALSE)</f>
        <v>50647060827.516754</v>
      </c>
      <c r="E16" s="4">
        <f>VLOOKUP(A16, output_exiobase_v3.10.2_EXIO_IOT_2022_pxp_Y_production_footprint_EU27[], 2, FALSE)</f>
        <v>44063618653.780594</v>
      </c>
      <c r="F16" s="4">
        <f>VLOOKUP(A16, output_exiobase_v3.10.2_EXIO_IOT_2022_pxp_Z_production_footprint_EU27[], 2, FALSE)</f>
        <v>155735630200.85211</v>
      </c>
      <c r="G16" s="35">
        <f t="shared" si="3"/>
        <v>0.25542227413391971</v>
      </c>
      <c r="H16" s="1">
        <f t="shared" si="4"/>
        <v>0.74457772586608018</v>
      </c>
      <c r="I16" s="6"/>
      <c r="N16" s="7"/>
    </row>
    <row r="17" spans="1:14" x14ac:dyDescent="0.3">
      <c r="A17" s="9" t="s">
        <v>25</v>
      </c>
      <c r="B17" s="29">
        <f t="shared" si="2"/>
        <v>241382964480.91916</v>
      </c>
      <c r="C17" s="4">
        <f>VLOOKUP(A17,  output_exiobase_v3.10.2_EXIO_IOT_2022_pxp_Y_imports_footprint_EU27[], 2, FALSE)</f>
        <v>66132909563.707161</v>
      </c>
      <c r="D17" s="4">
        <f>VLOOKUP(A17, output_exiobase_v3.10.2_EXIO_IOT_2022_pxp_Z_imports_footprint_EU27[], 2, FALSE)</f>
        <v>80370203299.136139</v>
      </c>
      <c r="E17" s="4">
        <f>VLOOKUP(A17, output_exiobase_v3.10.2_EXIO_IOT_2022_pxp_Y_production_footprint_EU27[], 2, FALSE)</f>
        <v>28347340509.175697</v>
      </c>
      <c r="F17" s="4">
        <f>VLOOKUP(A17, output_exiobase_v3.10.2_EXIO_IOT_2022_pxp_Z_production_footprint_EU27[], 2, FALSE)</f>
        <v>66532511108.900185</v>
      </c>
      <c r="G17" s="35">
        <f t="shared" si="3"/>
        <v>0.60693227949159634</v>
      </c>
      <c r="H17" s="1">
        <f t="shared" si="4"/>
        <v>0.39306772050840377</v>
      </c>
      <c r="I17" s="6"/>
      <c r="N17" s="7"/>
    </row>
    <row r="18" spans="1:14" ht="13.95" customHeight="1" x14ac:dyDescent="0.3">
      <c r="A18" s="9" t="s">
        <v>160</v>
      </c>
      <c r="B18" s="29">
        <f t="shared" si="2"/>
        <v>238413498387.24255</v>
      </c>
      <c r="C18" s="4">
        <f>VLOOKUP(A18,  output_exiobase_v3.10.2_EXIO_IOT_2022_pxp_Y_imports_footprint_EU27[], 2, FALSE)</f>
        <v>17682622222.757915</v>
      </c>
      <c r="D18" s="4">
        <f>VLOOKUP(A18, output_exiobase_v3.10.2_EXIO_IOT_2022_pxp_Z_imports_footprint_EU27[], 2, FALSE)</f>
        <v>56265828602.540695</v>
      </c>
      <c r="E18" s="4">
        <f>VLOOKUP(A18, output_exiobase_v3.10.2_EXIO_IOT_2022_pxp_Y_production_footprint_EU27[], 2, FALSE)</f>
        <v>29055832785.812222</v>
      </c>
      <c r="F18" s="4">
        <f>VLOOKUP(A18, output_exiobase_v3.10.2_EXIO_IOT_2022_pxp_Z_production_footprint_EU27[], 2, FALSE)</f>
        <v>135409214776.13171</v>
      </c>
      <c r="G18" s="35">
        <f t="shared" si="3"/>
        <v>0.31016889280819165</v>
      </c>
      <c r="H18" s="1">
        <f t="shared" si="4"/>
        <v>0.68983110719180829</v>
      </c>
      <c r="I18" s="6"/>
      <c r="N18" s="7"/>
    </row>
    <row r="19" spans="1:14" x14ac:dyDescent="0.3">
      <c r="A19" s="9" t="s">
        <v>112</v>
      </c>
      <c r="B19" s="29">
        <f t="shared" si="2"/>
        <v>228048879821.86011</v>
      </c>
      <c r="C19" s="4">
        <f>VLOOKUP(A19,  output_exiobase_v3.10.2_EXIO_IOT_2022_pxp_Y_imports_footprint_EU27[], 2, FALSE)</f>
        <v>10851145238.946051</v>
      </c>
      <c r="D19" s="4">
        <f>VLOOKUP(A19, output_exiobase_v3.10.2_EXIO_IOT_2022_pxp_Z_imports_footprint_EU27[], 2, FALSE)</f>
        <v>18684344991.891663</v>
      </c>
      <c r="E19" s="4">
        <f>VLOOKUP(A19, output_exiobase_v3.10.2_EXIO_IOT_2022_pxp_Y_production_footprint_EU27[], 2, FALSE)</f>
        <v>81594184690.967575</v>
      </c>
      <c r="F19" s="4">
        <f>VLOOKUP(A19, output_exiobase_v3.10.2_EXIO_IOT_2022_pxp_Z_production_footprint_EU27[], 2, FALSE)</f>
        <v>116919204900.05479</v>
      </c>
      <c r="G19" s="35">
        <f t="shared" si="3"/>
        <v>0.12951385796724502</v>
      </c>
      <c r="H19" s="1">
        <f t="shared" si="4"/>
        <v>0.87048614203275487</v>
      </c>
      <c r="I19" s="6"/>
      <c r="N19" s="7"/>
    </row>
    <row r="20" spans="1:14" x14ac:dyDescent="0.3">
      <c r="A20" s="9" t="s">
        <v>45</v>
      </c>
      <c r="B20" s="29">
        <f t="shared" si="2"/>
        <v>222271539744.80377</v>
      </c>
      <c r="C20" s="4">
        <f>VLOOKUP(A20,  output_exiobase_v3.10.2_EXIO_IOT_2022_pxp_Y_imports_footprint_EU27[], 2, FALSE)</f>
        <v>4772747072.1179218</v>
      </c>
      <c r="D20" s="4">
        <f>VLOOKUP(A20, output_exiobase_v3.10.2_EXIO_IOT_2022_pxp_Z_imports_footprint_EU27[], 2, FALSE)</f>
        <v>18312242491.722591</v>
      </c>
      <c r="E20" s="4">
        <f>VLOOKUP(A20, output_exiobase_v3.10.2_EXIO_IOT_2022_pxp_Y_production_footprint_EU27[], 2, FALSE)</f>
        <v>43769914431.690247</v>
      </c>
      <c r="F20" s="4">
        <f>VLOOKUP(A20, output_exiobase_v3.10.2_EXIO_IOT_2022_pxp_Z_production_footprint_EU27[], 2, FALSE)</f>
        <v>155416635749.27301</v>
      </c>
      <c r="G20" s="35">
        <f t="shared" si="3"/>
        <v>0.10385940363910307</v>
      </c>
      <c r="H20" s="1">
        <f t="shared" si="4"/>
        <v>0.89614059636089693</v>
      </c>
      <c r="I20" s="6"/>
      <c r="N20" s="7"/>
    </row>
    <row r="21" spans="1:14" x14ac:dyDescent="0.3">
      <c r="A21" s="9" t="s">
        <v>135</v>
      </c>
      <c r="B21" s="29">
        <f t="shared" si="2"/>
        <v>220251359068.51324</v>
      </c>
      <c r="C21" s="4">
        <f>VLOOKUP(A21,  output_exiobase_v3.10.2_EXIO_IOT_2022_pxp_Y_imports_footprint_EU27[], 2, FALSE)</f>
        <v>12347819549.489408</v>
      </c>
      <c r="D21" s="4">
        <f>VLOOKUP(A21, output_exiobase_v3.10.2_EXIO_IOT_2022_pxp_Z_imports_footprint_EU27[], 2, FALSE)</f>
        <v>7508248813.0549431</v>
      </c>
      <c r="E21" s="4">
        <f>VLOOKUP(A21, output_exiobase_v3.10.2_EXIO_IOT_2022_pxp_Y_production_footprint_EU27[], 2, FALSE)</f>
        <v>91814272362.992599</v>
      </c>
      <c r="F21" s="4">
        <f>VLOOKUP(A21, output_exiobase_v3.10.2_EXIO_IOT_2022_pxp_Z_production_footprint_EU27[], 2, FALSE)</f>
        <v>108581018342.97627</v>
      </c>
      <c r="G21" s="35">
        <f t="shared" si="3"/>
        <v>9.0151853984100749E-2</v>
      </c>
      <c r="H21" s="1">
        <f t="shared" si="4"/>
        <v>0.90984814601589914</v>
      </c>
      <c r="I21" s="6"/>
      <c r="N21" s="7"/>
    </row>
    <row r="22" spans="1:14" x14ac:dyDescent="0.3">
      <c r="A22" s="9" t="s">
        <v>36</v>
      </c>
      <c r="B22" s="29">
        <f t="shared" si="2"/>
        <v>218701773673.50674</v>
      </c>
      <c r="C22" s="4">
        <f>VLOOKUP(A22,  output_exiobase_v3.10.2_EXIO_IOT_2022_pxp_Y_imports_footprint_EU27[], 2, FALSE)</f>
        <v>21054680188.162712</v>
      </c>
      <c r="D22" s="4">
        <f>VLOOKUP(A22, output_exiobase_v3.10.2_EXIO_IOT_2022_pxp_Z_imports_footprint_EU27[], 2, FALSE)</f>
        <v>166263393986.78412</v>
      </c>
      <c r="E22" s="4">
        <f>VLOOKUP(A22, output_exiobase_v3.10.2_EXIO_IOT_2022_pxp_Y_production_footprint_EU27[], 2, FALSE)</f>
        <v>4206144913.4738183</v>
      </c>
      <c r="F22" s="4">
        <f>VLOOKUP(A22, output_exiobase_v3.10.2_EXIO_IOT_2022_pxp_Z_production_footprint_EU27[], 2, FALSE)</f>
        <v>27177554585.086102</v>
      </c>
      <c r="G22" s="35">
        <f t="shared" si="3"/>
        <v>0.85650002297003924</v>
      </c>
      <c r="H22" s="1">
        <f t="shared" si="4"/>
        <v>0.14349997702996087</v>
      </c>
      <c r="I22" s="6"/>
      <c r="N22" s="7"/>
    </row>
    <row r="23" spans="1:14" x14ac:dyDescent="0.3">
      <c r="A23" s="9" t="s">
        <v>89</v>
      </c>
      <c r="B23" s="29">
        <f t="shared" si="2"/>
        <v>207648556123.6441</v>
      </c>
      <c r="C23" s="4">
        <f>VLOOKUP(A23,  output_exiobase_v3.10.2_EXIO_IOT_2022_pxp_Y_imports_footprint_EU27[], 2, FALSE)</f>
        <v>165945747.44663182</v>
      </c>
      <c r="D23" s="4">
        <f>VLOOKUP(A23, output_exiobase_v3.10.2_EXIO_IOT_2022_pxp_Z_imports_footprint_EU27[], 2, FALSE)</f>
        <v>78017939.660442337</v>
      </c>
      <c r="E23" s="4">
        <f>VLOOKUP(A23, output_exiobase_v3.10.2_EXIO_IOT_2022_pxp_Y_production_footprint_EU27[], 2, FALSE)</f>
        <v>111026320500.98775</v>
      </c>
      <c r="F23" s="4">
        <f>VLOOKUP(A23, output_exiobase_v3.10.2_EXIO_IOT_2022_pxp_Z_production_footprint_EU27[], 2, FALSE)</f>
        <v>96378271935.549271</v>
      </c>
      <c r="G23" s="35">
        <f t="shared" si="3"/>
        <v>1.1748874717039026E-3</v>
      </c>
      <c r="H23" s="1">
        <f t="shared" si="4"/>
        <v>0.99882511252829609</v>
      </c>
      <c r="I23" s="6"/>
      <c r="N23" s="7"/>
    </row>
    <row r="24" spans="1:14" x14ac:dyDescent="0.3">
      <c r="A24" s="9" t="s">
        <v>37</v>
      </c>
      <c r="B24" s="29">
        <f t="shared" si="2"/>
        <v>206748720055.36954</v>
      </c>
      <c r="C24" s="4">
        <f>VLOOKUP(A24,  output_exiobase_v3.10.2_EXIO_IOT_2022_pxp_Y_imports_footprint_EU27[], 2, FALSE)</f>
        <v>3621376028.5509691</v>
      </c>
      <c r="D24" s="4">
        <f>VLOOKUP(A24, output_exiobase_v3.10.2_EXIO_IOT_2022_pxp_Z_imports_footprint_EU27[], 2, FALSE)</f>
        <v>2644481492.0526123</v>
      </c>
      <c r="E24" s="4">
        <f>VLOOKUP(A24, output_exiobase_v3.10.2_EXIO_IOT_2022_pxp_Y_production_footprint_EU27[], 2, FALSE)</f>
        <v>104736467395.99884</v>
      </c>
      <c r="F24" s="4">
        <f>VLOOKUP(A24, output_exiobase_v3.10.2_EXIO_IOT_2022_pxp_Z_production_footprint_EU27[], 2, FALSE)</f>
        <v>95746395138.76712</v>
      </c>
      <c r="G24" s="35">
        <f t="shared" si="3"/>
        <v>3.0306632703339189E-2</v>
      </c>
      <c r="H24" s="1">
        <f t="shared" si="4"/>
        <v>0.96969336729666078</v>
      </c>
      <c r="I24" s="6"/>
      <c r="N24" s="7"/>
    </row>
    <row r="25" spans="1:14" x14ac:dyDescent="0.3">
      <c r="A25" s="9" t="s">
        <v>2</v>
      </c>
      <c r="B25" s="29">
        <f t="shared" si="2"/>
        <v>197578398503.22803</v>
      </c>
      <c r="C25" s="4">
        <f>VLOOKUP(A25,  output_exiobase_v3.10.2_EXIO_IOT_2022_pxp_Y_imports_footprint_EU27[], 2, FALSE)</f>
        <v>39594416375.69603</v>
      </c>
      <c r="D25" s="4">
        <f>VLOOKUP(A25, output_exiobase_v3.10.2_EXIO_IOT_2022_pxp_Z_imports_footprint_EU27[], 2, FALSE)</f>
        <v>31406648937.248867</v>
      </c>
      <c r="E25" s="4">
        <f>VLOOKUP(A25, output_exiobase_v3.10.2_EXIO_IOT_2022_pxp_Y_production_footprint_EU27[], 2, FALSE)</f>
        <v>70943852299.85643</v>
      </c>
      <c r="F25" s="4">
        <f>VLOOKUP(A25, output_exiobase_v3.10.2_EXIO_IOT_2022_pxp_Z_production_footprint_EU27[], 2, FALSE)</f>
        <v>55633480890.426682</v>
      </c>
      <c r="G25" s="35">
        <f t="shared" si="3"/>
        <v>0.35935641674808338</v>
      </c>
      <c r="H25" s="1">
        <f t="shared" si="4"/>
        <v>0.64064358325191662</v>
      </c>
      <c r="N25" s="7"/>
    </row>
    <row r="26" spans="1:14" x14ac:dyDescent="0.3">
      <c r="A26" s="9" t="s">
        <v>151</v>
      </c>
      <c r="B26" s="29">
        <f t="shared" si="2"/>
        <v>196172563793.70908</v>
      </c>
      <c r="C26" s="4">
        <f>VLOOKUP(A26,  output_exiobase_v3.10.2_EXIO_IOT_2022_pxp_Y_imports_footprint_EU27[], 2, FALSE)</f>
        <v>0</v>
      </c>
      <c r="D26" s="4">
        <f>VLOOKUP(A26, output_exiobase_v3.10.2_EXIO_IOT_2022_pxp_Z_imports_footprint_EU27[], 2, FALSE)</f>
        <v>0</v>
      </c>
      <c r="E26" s="4">
        <f>VLOOKUP(A26, output_exiobase_v3.10.2_EXIO_IOT_2022_pxp_Y_production_footprint_EU27[], 2, FALSE)</f>
        <v>26307454749.340065</v>
      </c>
      <c r="F26" s="4">
        <f>VLOOKUP(A26, output_exiobase_v3.10.2_EXIO_IOT_2022_pxp_Z_production_footprint_EU27[], 2, FALSE)</f>
        <v>169865109044.36902</v>
      </c>
      <c r="G26" s="35">
        <f t="shared" si="3"/>
        <v>0</v>
      </c>
      <c r="H26" s="1">
        <f t="shared" si="4"/>
        <v>1</v>
      </c>
      <c r="N26" s="7"/>
    </row>
    <row r="27" spans="1:14" x14ac:dyDescent="0.3">
      <c r="A27" s="9" t="s">
        <v>20</v>
      </c>
      <c r="B27" s="29">
        <f t="shared" si="2"/>
        <v>191755658648.20624</v>
      </c>
      <c r="C27" s="4">
        <f>VLOOKUP(A27,  output_exiobase_v3.10.2_EXIO_IOT_2022_pxp_Y_imports_footprint_EU27[], 2, FALSE)</f>
        <v>537978077.80314827</v>
      </c>
      <c r="D27" s="4">
        <f>VLOOKUP(A27, output_exiobase_v3.10.2_EXIO_IOT_2022_pxp_Z_imports_footprint_EU27[], 2, FALSE)</f>
        <v>16859856227.969994</v>
      </c>
      <c r="E27" s="4">
        <f>VLOOKUP(A27, output_exiobase_v3.10.2_EXIO_IOT_2022_pxp_Y_production_footprint_EU27[], 2, FALSE)</f>
        <v>6054924262.5401888</v>
      </c>
      <c r="F27" s="4">
        <f>VLOOKUP(A27, output_exiobase_v3.10.2_EXIO_IOT_2022_pxp_Z_production_footprint_EU27[], 2, FALSE)</f>
        <v>168302900079.89291</v>
      </c>
      <c r="G27" s="35">
        <f t="shared" si="3"/>
        <v>9.0729183318084508E-2</v>
      </c>
      <c r="H27" s="1">
        <f t="shared" si="4"/>
        <v>0.90927081668191556</v>
      </c>
      <c r="N27" s="7"/>
    </row>
    <row r="28" spans="1:14" x14ac:dyDescent="0.3">
      <c r="A28" s="9" t="s">
        <v>101</v>
      </c>
      <c r="B28" s="29">
        <f t="shared" si="2"/>
        <v>191278918204.40399</v>
      </c>
      <c r="C28" s="4">
        <f>VLOOKUP(A28,  output_exiobase_v3.10.2_EXIO_IOT_2022_pxp_Y_imports_footprint_EU27[], 2, FALSE)</f>
        <v>133123293726.75891</v>
      </c>
      <c r="D28" s="4">
        <f>VLOOKUP(A28, output_exiobase_v3.10.2_EXIO_IOT_2022_pxp_Z_imports_footprint_EU27[], 2, FALSE)</f>
        <v>31893205888.945484</v>
      </c>
      <c r="E28" s="4">
        <f>VLOOKUP(A28, output_exiobase_v3.10.2_EXIO_IOT_2022_pxp_Y_production_footprint_EU27[], 2, FALSE)</f>
        <v>14923616789.441561</v>
      </c>
      <c r="F28" s="4">
        <f>VLOOKUP(A28, output_exiobase_v3.10.2_EXIO_IOT_2022_pxp_Z_production_footprint_EU27[], 2, FALSE)</f>
        <v>11338801799.258024</v>
      </c>
      <c r="G28" s="35">
        <f t="shared" si="3"/>
        <v>0.86270092472692095</v>
      </c>
      <c r="H28" s="1">
        <f t="shared" si="4"/>
        <v>0.137299075273079</v>
      </c>
      <c r="K28" s="6"/>
      <c r="N28" s="7"/>
    </row>
    <row r="29" spans="1:14" x14ac:dyDescent="0.3">
      <c r="A29" s="9" t="s">
        <v>70</v>
      </c>
      <c r="B29" s="29">
        <f t="shared" si="2"/>
        <v>183684410794.16205</v>
      </c>
      <c r="C29" s="4">
        <f>VLOOKUP(A29,  output_exiobase_v3.10.2_EXIO_IOT_2022_pxp_Y_imports_footprint_EU27[], 2, FALSE)</f>
        <v>11397382901.258528</v>
      </c>
      <c r="D29" s="4">
        <f>VLOOKUP(A29, output_exiobase_v3.10.2_EXIO_IOT_2022_pxp_Z_imports_footprint_EU27[], 2, FALSE)</f>
        <v>21254042164.443993</v>
      </c>
      <c r="E29" s="4">
        <f>VLOOKUP(A29, output_exiobase_v3.10.2_EXIO_IOT_2022_pxp_Y_production_footprint_EU27[], 2, FALSE)</f>
        <v>68788919479.691772</v>
      </c>
      <c r="F29" s="4">
        <f>VLOOKUP(A29, output_exiobase_v3.10.2_EXIO_IOT_2022_pxp_Z_production_footprint_EU27[], 2, FALSE)</f>
        <v>82244066248.767761</v>
      </c>
      <c r="G29" s="35">
        <f t="shared" si="3"/>
        <v>0.17775828076282382</v>
      </c>
      <c r="H29" s="1">
        <f t="shared" si="4"/>
        <v>0.82224171923717626</v>
      </c>
      <c r="K29" s="6"/>
      <c r="N29" s="7"/>
    </row>
    <row r="30" spans="1:14" x14ac:dyDescent="0.3">
      <c r="A30" s="9" t="s">
        <v>194</v>
      </c>
      <c r="B30" s="29">
        <f t="shared" si="2"/>
        <v>166674322749.30447</v>
      </c>
      <c r="C30" s="4">
        <f>VLOOKUP(A30,  output_exiobase_v3.10.2_EXIO_IOT_2022_pxp_Y_imports_footprint_EU27[], 2, FALSE)</f>
        <v>104867923.67922674</v>
      </c>
      <c r="D30" s="4">
        <f>VLOOKUP(A30, output_exiobase_v3.10.2_EXIO_IOT_2022_pxp_Z_imports_footprint_EU27[], 2, FALSE)</f>
        <v>15044340220.727961</v>
      </c>
      <c r="E30" s="4">
        <f>VLOOKUP(A30, output_exiobase_v3.10.2_EXIO_IOT_2022_pxp_Y_production_footprint_EU27[], 2, FALSE)</f>
        <v>4933146886.8981514</v>
      </c>
      <c r="F30" s="4">
        <f>VLOOKUP(A30, output_exiobase_v3.10.2_EXIO_IOT_2022_pxp_Z_production_footprint_EU27[], 2, FALSE)</f>
        <v>146591967717.99915</v>
      </c>
      <c r="G30" s="35">
        <f t="shared" si="3"/>
        <v>9.0891073649017745E-2</v>
      </c>
      <c r="H30" s="1">
        <f t="shared" si="4"/>
        <v>0.90910892635098239</v>
      </c>
      <c r="K30" s="6"/>
      <c r="N30" s="7"/>
    </row>
    <row r="31" spans="1:14" x14ac:dyDescent="0.3">
      <c r="A31" s="9" t="s">
        <v>75</v>
      </c>
      <c r="B31" s="29">
        <f t="shared" si="2"/>
        <v>159220213398.42575</v>
      </c>
      <c r="C31" s="4">
        <f>VLOOKUP(A31,  output_exiobase_v3.10.2_EXIO_IOT_2022_pxp_Y_imports_footprint_EU27[], 2, FALSE)</f>
        <v>49120146301.513992</v>
      </c>
      <c r="D31" s="4">
        <f>VLOOKUP(A31, output_exiobase_v3.10.2_EXIO_IOT_2022_pxp_Z_imports_footprint_EU27[], 2, FALSE)</f>
        <v>20493847942.728786</v>
      </c>
      <c r="E31" s="4">
        <f>VLOOKUP(A31, output_exiobase_v3.10.2_EXIO_IOT_2022_pxp_Y_production_footprint_EU27[], 2, FALSE)</f>
        <v>64078853787.477654</v>
      </c>
      <c r="F31" s="4">
        <f>VLOOKUP(A31, output_exiobase_v3.10.2_EXIO_IOT_2022_pxp_Z_production_footprint_EU27[], 2, FALSE)</f>
        <v>25527365366.705322</v>
      </c>
      <c r="G31" s="35">
        <f t="shared" si="3"/>
        <v>0.43721832020186874</v>
      </c>
      <c r="H31" s="1">
        <f t="shared" si="4"/>
        <v>0.56278167979813132</v>
      </c>
      <c r="N31" s="7"/>
    </row>
    <row r="32" spans="1:14" x14ac:dyDescent="0.3">
      <c r="A32" s="9" t="s">
        <v>111</v>
      </c>
      <c r="B32" s="29">
        <f t="shared" si="2"/>
        <v>158192023670.99509</v>
      </c>
      <c r="C32" s="4">
        <f>VLOOKUP(A32,  output_exiobase_v3.10.2_EXIO_IOT_2022_pxp_Y_imports_footprint_EU27[], 2, FALSE)</f>
        <v>3047305824.2993999</v>
      </c>
      <c r="D32" s="4">
        <f>VLOOKUP(A32, output_exiobase_v3.10.2_EXIO_IOT_2022_pxp_Z_imports_footprint_EU27[], 2, FALSE)</f>
        <v>28010318650.063454</v>
      </c>
      <c r="E32" s="4">
        <f>VLOOKUP(A32, output_exiobase_v3.10.2_EXIO_IOT_2022_pxp_Y_production_footprint_EU27[], 2, FALSE)</f>
        <v>16455550293.994822</v>
      </c>
      <c r="F32" s="4">
        <f>VLOOKUP(A32, output_exiobase_v3.10.2_EXIO_IOT_2022_pxp_Z_production_footprint_EU27[], 2, FALSE)</f>
        <v>110678848902.63742</v>
      </c>
      <c r="G32" s="35">
        <f t="shared" si="3"/>
        <v>0.19632863752319105</v>
      </c>
      <c r="H32" s="1">
        <f t="shared" si="4"/>
        <v>0.80367136247680904</v>
      </c>
      <c r="N32" s="7"/>
    </row>
    <row r="33" spans="1:14" x14ac:dyDescent="0.3">
      <c r="A33" s="9" t="s">
        <v>96</v>
      </c>
      <c r="B33" s="29">
        <f t="shared" si="2"/>
        <v>148874129068.84064</v>
      </c>
      <c r="C33" s="4">
        <f>VLOOKUP(A33,  output_exiobase_v3.10.2_EXIO_IOT_2022_pxp_Y_imports_footprint_EU27[], 2, FALSE)</f>
        <v>12957231252.478359</v>
      </c>
      <c r="D33" s="4">
        <f>VLOOKUP(A33, output_exiobase_v3.10.2_EXIO_IOT_2022_pxp_Z_imports_footprint_EU27[], 2, FALSE)</f>
        <v>4063591551.9320974</v>
      </c>
      <c r="E33" s="4">
        <f>VLOOKUP(A33, output_exiobase_v3.10.2_EXIO_IOT_2022_pxp_Y_production_footprint_EU27[], 2, FALSE)</f>
        <v>92333636394.386429</v>
      </c>
      <c r="F33" s="4">
        <f>VLOOKUP(A33, output_exiobase_v3.10.2_EXIO_IOT_2022_pxp_Z_production_footprint_EU27[], 2, FALSE)</f>
        <v>39519669870.043732</v>
      </c>
      <c r="G33" s="35">
        <f t="shared" si="3"/>
        <v>0.11433029305272971</v>
      </c>
      <c r="H33" s="1">
        <f t="shared" si="4"/>
        <v>0.88566970694727021</v>
      </c>
      <c r="N33" s="7"/>
    </row>
    <row r="34" spans="1:14" x14ac:dyDescent="0.3">
      <c r="A34" s="9" t="s">
        <v>147</v>
      </c>
      <c r="B34" s="29">
        <f t="shared" si="2"/>
        <v>133170713434.95049</v>
      </c>
      <c r="C34" s="4">
        <f>VLOOKUP(A34,  output_exiobase_v3.10.2_EXIO_IOT_2022_pxp_Y_imports_footprint_EU27[], 2, FALSE)</f>
        <v>7552456730.2962942</v>
      </c>
      <c r="D34" s="4">
        <f>VLOOKUP(A34, output_exiobase_v3.10.2_EXIO_IOT_2022_pxp_Z_imports_footprint_EU27[], 2, FALSE)</f>
        <v>828459981.57657003</v>
      </c>
      <c r="E34" s="4">
        <f>VLOOKUP(A34, output_exiobase_v3.10.2_EXIO_IOT_2022_pxp_Y_production_footprint_EU27[], 2, FALSE)</f>
        <v>109736962390.48466</v>
      </c>
      <c r="F34" s="4">
        <f>VLOOKUP(A34, output_exiobase_v3.10.2_EXIO_IOT_2022_pxp_Z_production_footprint_EU27[], 2, FALSE)</f>
        <v>15052834332.592953</v>
      </c>
      <c r="G34" s="35">
        <f t="shared" si="3"/>
        <v>6.2933632295712416E-2</v>
      </c>
      <c r="H34" s="1">
        <f t="shared" si="4"/>
        <v>0.93706636770428753</v>
      </c>
      <c r="N34" s="7"/>
    </row>
    <row r="35" spans="1:14" x14ac:dyDescent="0.3">
      <c r="A35" s="9" t="s">
        <v>19</v>
      </c>
      <c r="B35" s="29">
        <f t="shared" si="2"/>
        <v>128255714873.75627</v>
      </c>
      <c r="C35" s="4">
        <f>VLOOKUP(A35,  output_exiobase_v3.10.2_EXIO_IOT_2022_pxp_Y_imports_footprint_EU27[], 2, FALSE)</f>
        <v>5169946.0721809808</v>
      </c>
      <c r="D35" s="4">
        <f>VLOOKUP(A35, output_exiobase_v3.10.2_EXIO_IOT_2022_pxp_Z_imports_footprint_EU27[], 2, FALSE)</f>
        <v>65241846.434143633</v>
      </c>
      <c r="E35" s="4">
        <f>VLOOKUP(A35, output_exiobase_v3.10.2_EXIO_IOT_2022_pxp_Y_production_footprint_EU27[], 2, FALSE)</f>
        <v>26432472440.6208</v>
      </c>
      <c r="F35" s="4">
        <f>VLOOKUP(A35, output_exiobase_v3.10.2_EXIO_IOT_2022_pxp_Z_production_footprint_EU27[], 2, FALSE)</f>
        <v>101752830640.62915</v>
      </c>
      <c r="G35" s="35">
        <f t="shared" si="3"/>
        <v>5.4899536114731294E-4</v>
      </c>
      <c r="H35" s="1">
        <f t="shared" si="4"/>
        <v>0.99945100463885272</v>
      </c>
      <c r="N35" s="7"/>
    </row>
    <row r="36" spans="1:14" x14ac:dyDescent="0.3">
      <c r="A36" s="9" t="s">
        <v>177</v>
      </c>
      <c r="B36" s="29">
        <f t="shared" si="2"/>
        <v>112458777084.05299</v>
      </c>
      <c r="C36" s="4">
        <f>VLOOKUP(A36,  output_exiobase_v3.10.2_EXIO_IOT_2022_pxp_Y_imports_footprint_EU27[], 2, FALSE)</f>
        <v>0</v>
      </c>
      <c r="D36" s="4">
        <f>VLOOKUP(A36, output_exiobase_v3.10.2_EXIO_IOT_2022_pxp_Z_imports_footprint_EU27[], 2, FALSE)</f>
        <v>0</v>
      </c>
      <c r="E36" s="4">
        <f>VLOOKUP(A36, output_exiobase_v3.10.2_EXIO_IOT_2022_pxp_Y_production_footprint_EU27[], 2, FALSE)</f>
        <v>15373710244.230021</v>
      </c>
      <c r="F36" s="4">
        <f>VLOOKUP(A36, output_exiobase_v3.10.2_EXIO_IOT_2022_pxp_Z_production_footprint_EU27[], 2, FALSE)</f>
        <v>97085066839.822968</v>
      </c>
      <c r="G36" s="35">
        <f t="shared" si="3"/>
        <v>0</v>
      </c>
      <c r="H36" s="1">
        <f t="shared" si="4"/>
        <v>1</v>
      </c>
      <c r="N36" s="7"/>
    </row>
    <row r="37" spans="1:14" x14ac:dyDescent="0.3">
      <c r="A37" s="9" t="s">
        <v>39</v>
      </c>
      <c r="B37" s="29">
        <f t="shared" si="2"/>
        <v>106907378645.30466</v>
      </c>
      <c r="C37" s="4">
        <f>VLOOKUP(A37,  output_exiobase_v3.10.2_EXIO_IOT_2022_pxp_Y_imports_footprint_EU27[], 2, FALSE)</f>
        <v>0</v>
      </c>
      <c r="D37" s="4">
        <f>VLOOKUP(A37, output_exiobase_v3.10.2_EXIO_IOT_2022_pxp_Z_imports_footprint_EU27[], 2, FALSE)</f>
        <v>0</v>
      </c>
      <c r="E37" s="4">
        <f>VLOOKUP(A37, output_exiobase_v3.10.2_EXIO_IOT_2022_pxp_Y_production_footprint_EU27[], 2, FALSE)</f>
        <v>35893689760.548569</v>
      </c>
      <c r="F37" s="4">
        <f>VLOOKUP(A37, output_exiobase_v3.10.2_EXIO_IOT_2022_pxp_Z_production_footprint_EU27[], 2, FALSE)</f>
        <v>71013688884.756088</v>
      </c>
      <c r="G37" s="35">
        <f t="shared" si="3"/>
        <v>0</v>
      </c>
      <c r="H37" s="1">
        <f t="shared" si="4"/>
        <v>1</v>
      </c>
      <c r="N37" s="7"/>
    </row>
    <row r="38" spans="1:14" x14ac:dyDescent="0.3">
      <c r="A38" s="9" t="s">
        <v>38</v>
      </c>
      <c r="B38" s="29">
        <f t="shared" si="2"/>
        <v>106701044798.04065</v>
      </c>
      <c r="C38" s="4">
        <f>VLOOKUP(A38,  output_exiobase_v3.10.2_EXIO_IOT_2022_pxp_Y_imports_footprint_EU27[], 2, FALSE)</f>
        <v>0</v>
      </c>
      <c r="D38" s="4">
        <f>VLOOKUP(A38, output_exiobase_v3.10.2_EXIO_IOT_2022_pxp_Z_imports_footprint_EU27[], 2, FALSE)</f>
        <v>0</v>
      </c>
      <c r="E38" s="4">
        <f>VLOOKUP(A38, output_exiobase_v3.10.2_EXIO_IOT_2022_pxp_Y_production_footprint_EU27[], 2, FALSE)</f>
        <v>29812787705.63422</v>
      </c>
      <c r="F38" s="4">
        <f>VLOOKUP(A38, output_exiobase_v3.10.2_EXIO_IOT_2022_pxp_Z_production_footprint_EU27[], 2, FALSE)</f>
        <v>76888257092.406433</v>
      </c>
      <c r="G38" s="35">
        <f t="shared" si="3"/>
        <v>0</v>
      </c>
      <c r="H38" s="1">
        <f t="shared" si="4"/>
        <v>1</v>
      </c>
      <c r="N38" s="7"/>
    </row>
    <row r="39" spans="1:14" x14ac:dyDescent="0.3">
      <c r="A39" s="9" t="s">
        <v>67</v>
      </c>
      <c r="B39" s="29">
        <f t="shared" si="2"/>
        <v>102256191891.16301</v>
      </c>
      <c r="C39" s="4">
        <f>VLOOKUP(A39,  output_exiobase_v3.10.2_EXIO_IOT_2022_pxp_Y_imports_footprint_EU27[], 2, FALSE)</f>
        <v>65511626117.734169</v>
      </c>
      <c r="D39" s="4">
        <f>VLOOKUP(A39, output_exiobase_v3.10.2_EXIO_IOT_2022_pxp_Z_imports_footprint_EU27[], 2, FALSE)</f>
        <v>16301536485.135773</v>
      </c>
      <c r="E39" s="4">
        <f>VLOOKUP(A39, output_exiobase_v3.10.2_EXIO_IOT_2022_pxp_Y_production_footprint_EU27[], 2, FALSE)</f>
        <v>7254041482.0699768</v>
      </c>
      <c r="F39" s="4">
        <f>VLOOKUP(A39, output_exiobase_v3.10.2_EXIO_IOT_2022_pxp_Z_production_footprint_EU27[], 2, FALSE)</f>
        <v>13188987806.223104</v>
      </c>
      <c r="G39" s="35">
        <f t="shared" si="3"/>
        <v>0.80008027963674089</v>
      </c>
      <c r="H39" s="1">
        <f t="shared" si="4"/>
        <v>0.19991972036325922</v>
      </c>
      <c r="N39" s="7"/>
    </row>
    <row r="40" spans="1:14" x14ac:dyDescent="0.3">
      <c r="A40" s="9" t="s">
        <v>73</v>
      </c>
      <c r="B40" s="29">
        <f t="shared" si="2"/>
        <v>100982647029.64151</v>
      </c>
      <c r="C40" s="4">
        <f>VLOOKUP(A40,  output_exiobase_v3.10.2_EXIO_IOT_2022_pxp_Y_imports_footprint_EU27[], 2, FALSE)</f>
        <v>5493534024.1285267</v>
      </c>
      <c r="D40" s="4">
        <f>VLOOKUP(A40, output_exiobase_v3.10.2_EXIO_IOT_2022_pxp_Z_imports_footprint_EU27[], 2, FALSE)</f>
        <v>504487439.57417506</v>
      </c>
      <c r="E40" s="4">
        <f>VLOOKUP(A40, output_exiobase_v3.10.2_EXIO_IOT_2022_pxp_Y_production_footprint_EU27[], 2, FALSE)</f>
        <v>88163763848.133865</v>
      </c>
      <c r="F40" s="4">
        <f>VLOOKUP(A40, output_exiobase_v3.10.2_EXIO_IOT_2022_pxp_Z_production_footprint_EU27[], 2, FALSE)</f>
        <v>6820861717.8049459</v>
      </c>
      <c r="G40" s="35">
        <f t="shared" si="3"/>
        <v>5.9396556142384524E-2</v>
      </c>
      <c r="H40" s="1">
        <f t="shared" si="4"/>
        <v>0.94060344385761552</v>
      </c>
      <c r="N40" s="7"/>
    </row>
    <row r="41" spans="1:14" x14ac:dyDescent="0.3">
      <c r="A41" s="9" t="s">
        <v>117</v>
      </c>
      <c r="B41" s="29">
        <f t="shared" si="2"/>
        <v>100292986819.91183</v>
      </c>
      <c r="C41" s="4">
        <f>VLOOKUP(A41,  output_exiobase_v3.10.2_EXIO_IOT_2022_pxp_Y_imports_footprint_EU27[], 2, FALSE)</f>
        <v>22148633242.091557</v>
      </c>
      <c r="D41" s="4">
        <f>VLOOKUP(A41, output_exiobase_v3.10.2_EXIO_IOT_2022_pxp_Z_imports_footprint_EU27[], 2, FALSE)</f>
        <v>9655607970.5315228</v>
      </c>
      <c r="E41" s="4">
        <f>VLOOKUP(A41, output_exiobase_v3.10.2_EXIO_IOT_2022_pxp_Y_production_footprint_EU27[], 2, FALSE)</f>
        <v>37381341572.34066</v>
      </c>
      <c r="F41" s="4">
        <f>VLOOKUP(A41, output_exiobase_v3.10.2_EXIO_IOT_2022_pxp_Z_production_footprint_EU27[], 2, FALSE)</f>
        <v>31107404034.948097</v>
      </c>
      <c r="G41" s="35">
        <f t="shared" si="3"/>
        <v>0.31711331191812475</v>
      </c>
      <c r="H41" s="1">
        <f t="shared" si="4"/>
        <v>0.68288668808187525</v>
      </c>
      <c r="N41" s="7"/>
    </row>
    <row r="42" spans="1:14" x14ac:dyDescent="0.3">
      <c r="A42" s="9" t="s">
        <v>190</v>
      </c>
      <c r="B42" s="29">
        <f t="shared" ref="B42:B73" si="5">SUM(C42:F42)</f>
        <v>95354788094.884247</v>
      </c>
      <c r="C42" s="4">
        <f>VLOOKUP(A42,  output_exiobase_v3.10.2_EXIO_IOT_2022_pxp_Y_imports_footprint_EU27[], 2, FALSE)</f>
        <v>19787961273.916656</v>
      </c>
      <c r="D42" s="4">
        <f>VLOOKUP(A42, output_exiobase_v3.10.2_EXIO_IOT_2022_pxp_Z_imports_footprint_EU27[], 2, FALSE)</f>
        <v>4969237639.631794</v>
      </c>
      <c r="E42" s="4">
        <f>VLOOKUP(A42, output_exiobase_v3.10.2_EXIO_IOT_2022_pxp_Y_production_footprint_EU27[], 2, FALSE)</f>
        <v>43625780456.965836</v>
      </c>
      <c r="F42" s="4">
        <f>VLOOKUP(A42, output_exiobase_v3.10.2_EXIO_IOT_2022_pxp_Z_production_footprint_EU27[], 2, FALSE)</f>
        <v>26971808724.369972</v>
      </c>
      <c r="G42" s="35">
        <f t="shared" ref="G42:G73" si="6">(C42+D42)/B42</f>
        <v>0.25963246742170326</v>
      </c>
      <c r="H42" s="1">
        <f t="shared" ref="H42:H73" si="7">(E42+F42)/B42</f>
        <v>0.74036753257829691</v>
      </c>
      <c r="N42" s="7"/>
    </row>
    <row r="43" spans="1:14" x14ac:dyDescent="0.3">
      <c r="A43" s="9" t="s">
        <v>144</v>
      </c>
      <c r="B43" s="29">
        <f t="shared" si="5"/>
        <v>94561636565.1548</v>
      </c>
      <c r="C43" s="4">
        <f>VLOOKUP(A43,  output_exiobase_v3.10.2_EXIO_IOT_2022_pxp_Y_imports_footprint_EU27[], 2, FALSE)</f>
        <v>14743263861.956627</v>
      </c>
      <c r="D43" s="4">
        <f>VLOOKUP(A43, output_exiobase_v3.10.2_EXIO_IOT_2022_pxp_Z_imports_footprint_EU27[], 2, FALSE)</f>
        <v>4664604241.5863838</v>
      </c>
      <c r="E43" s="4">
        <f>VLOOKUP(A43, output_exiobase_v3.10.2_EXIO_IOT_2022_pxp_Y_production_footprint_EU27[], 2, FALSE)</f>
        <v>54681516243.601822</v>
      </c>
      <c r="F43" s="4">
        <f>VLOOKUP(A43, output_exiobase_v3.10.2_EXIO_IOT_2022_pxp_Z_production_footprint_EU27[], 2, FALSE)</f>
        <v>20472252218.009968</v>
      </c>
      <c r="G43" s="35">
        <f t="shared" si="6"/>
        <v>0.20524039989695625</v>
      </c>
      <c r="H43" s="1">
        <f t="shared" si="7"/>
        <v>0.7947596001030437</v>
      </c>
      <c r="N43" s="7"/>
    </row>
    <row r="44" spans="1:14" x14ac:dyDescent="0.3">
      <c r="A44" s="9" t="s">
        <v>158</v>
      </c>
      <c r="B44" s="29">
        <f t="shared" si="5"/>
        <v>94020491660.788422</v>
      </c>
      <c r="C44" s="4">
        <f>VLOOKUP(A44,  output_exiobase_v3.10.2_EXIO_IOT_2022_pxp_Y_imports_footprint_EU27[], 2, FALSE)</f>
        <v>5411334886.3985386</v>
      </c>
      <c r="D44" s="4">
        <f>VLOOKUP(A44, output_exiobase_v3.10.2_EXIO_IOT_2022_pxp_Z_imports_footprint_EU27[], 2, FALSE)</f>
        <v>4710819267.414897</v>
      </c>
      <c r="E44" s="4">
        <f>VLOOKUP(A44, output_exiobase_v3.10.2_EXIO_IOT_2022_pxp_Y_production_footprint_EU27[], 2, FALSE)</f>
        <v>61962033879.160995</v>
      </c>
      <c r="F44" s="4">
        <f>VLOOKUP(A44, output_exiobase_v3.10.2_EXIO_IOT_2022_pxp_Z_production_footprint_EU27[], 2, FALSE)</f>
        <v>21936303627.813988</v>
      </c>
      <c r="G44" s="35">
        <f t="shared" si="6"/>
        <v>0.10765902171978234</v>
      </c>
      <c r="H44" s="1">
        <f t="shared" si="7"/>
        <v>0.89234097828021752</v>
      </c>
      <c r="N44" s="7"/>
    </row>
    <row r="45" spans="1:14" x14ac:dyDescent="0.3">
      <c r="A45" s="9" t="s">
        <v>150</v>
      </c>
      <c r="B45" s="29">
        <f t="shared" si="5"/>
        <v>93452681978.442352</v>
      </c>
      <c r="C45" s="4">
        <f>VLOOKUP(A45,  output_exiobase_v3.10.2_EXIO_IOT_2022_pxp_Y_imports_footprint_EU27[], 2, FALSE)</f>
        <v>2193104429.9689364</v>
      </c>
      <c r="D45" s="4">
        <f>VLOOKUP(A45, output_exiobase_v3.10.2_EXIO_IOT_2022_pxp_Z_imports_footprint_EU27[], 2, FALSE)</f>
        <v>5719718035.7344627</v>
      </c>
      <c r="E45" s="4">
        <f>VLOOKUP(A45, output_exiobase_v3.10.2_EXIO_IOT_2022_pxp_Y_production_footprint_EU27[], 2, FALSE)</f>
        <v>42961847038.027222</v>
      </c>
      <c r="F45" s="4">
        <f>VLOOKUP(A45, output_exiobase_v3.10.2_EXIO_IOT_2022_pxp_Z_production_footprint_EU27[], 2, FALSE)</f>
        <v>42578012474.711723</v>
      </c>
      <c r="G45" s="35">
        <f t="shared" si="6"/>
        <v>8.4671967654483454E-2</v>
      </c>
      <c r="H45" s="1">
        <f t="shared" si="7"/>
        <v>0.91532803234551652</v>
      </c>
      <c r="N45" s="7"/>
    </row>
    <row r="46" spans="1:14" x14ac:dyDescent="0.3">
      <c r="A46" s="9" t="s">
        <v>41</v>
      </c>
      <c r="B46" s="29">
        <f t="shared" si="5"/>
        <v>91147990991.872009</v>
      </c>
      <c r="C46" s="4">
        <f>VLOOKUP(A46,  output_exiobase_v3.10.2_EXIO_IOT_2022_pxp_Y_imports_footprint_EU27[], 2, FALSE)</f>
        <v>20711837529.888775</v>
      </c>
      <c r="D46" s="4">
        <f>VLOOKUP(A46, output_exiobase_v3.10.2_EXIO_IOT_2022_pxp_Z_imports_footprint_EU27[], 2, FALSE)</f>
        <v>49164309216.215988</v>
      </c>
      <c r="E46" s="4">
        <f>VLOOKUP(A46, output_exiobase_v3.10.2_EXIO_IOT_2022_pxp_Y_production_footprint_EU27[], 2, FALSE)</f>
        <v>3963126243.3453846</v>
      </c>
      <c r="F46" s="4">
        <f>VLOOKUP(A46, output_exiobase_v3.10.2_EXIO_IOT_2022_pxp_Z_production_footprint_EU27[], 2, FALSE)</f>
        <v>17308718002.42186</v>
      </c>
      <c r="G46" s="35">
        <f t="shared" si="6"/>
        <v>0.7666230049144569</v>
      </c>
      <c r="H46" s="1">
        <f t="shared" si="7"/>
        <v>0.23337699508554313</v>
      </c>
      <c r="N46" s="7"/>
    </row>
    <row r="47" spans="1:14" x14ac:dyDescent="0.3">
      <c r="A47" s="9" t="s">
        <v>31</v>
      </c>
      <c r="B47" s="29">
        <f t="shared" si="5"/>
        <v>90870052478.572815</v>
      </c>
      <c r="C47" s="4">
        <f>VLOOKUP(A47,  output_exiobase_v3.10.2_EXIO_IOT_2022_pxp_Y_imports_footprint_EU27[], 2, FALSE)</f>
        <v>4184033191.2934232</v>
      </c>
      <c r="D47" s="4">
        <f>VLOOKUP(A47, output_exiobase_v3.10.2_EXIO_IOT_2022_pxp_Z_imports_footprint_EU27[], 2, FALSE)</f>
        <v>6766390818.584897</v>
      </c>
      <c r="E47" s="4">
        <f>VLOOKUP(A47, output_exiobase_v3.10.2_EXIO_IOT_2022_pxp_Y_production_footprint_EU27[], 2, FALSE)</f>
        <v>40282900540.520523</v>
      </c>
      <c r="F47" s="4">
        <f>VLOOKUP(A47, output_exiobase_v3.10.2_EXIO_IOT_2022_pxp_Z_production_footprint_EU27[], 2, FALSE)</f>
        <v>39636727928.173965</v>
      </c>
      <c r="G47" s="35">
        <f t="shared" si="6"/>
        <v>0.12050641230190148</v>
      </c>
      <c r="H47" s="1">
        <f t="shared" si="7"/>
        <v>0.87949358769809849</v>
      </c>
      <c r="N47" s="7"/>
    </row>
    <row r="48" spans="1:14" x14ac:dyDescent="0.3">
      <c r="A48" s="9" t="s">
        <v>40</v>
      </c>
      <c r="B48" s="29">
        <f t="shared" si="5"/>
        <v>85601828950.583389</v>
      </c>
      <c r="C48" s="4">
        <f>VLOOKUP(A48,  output_exiobase_v3.10.2_EXIO_IOT_2022_pxp_Y_imports_footprint_EU27[], 2, FALSE)</f>
        <v>2737357830.4834137</v>
      </c>
      <c r="D48" s="4">
        <f>VLOOKUP(A48, output_exiobase_v3.10.2_EXIO_IOT_2022_pxp_Z_imports_footprint_EU27[], 2, FALSE)</f>
        <v>791512686.30806625</v>
      </c>
      <c r="E48" s="4">
        <f>VLOOKUP(A48, output_exiobase_v3.10.2_EXIO_IOT_2022_pxp_Y_production_footprint_EU27[], 2, FALSE)</f>
        <v>73619013293.324814</v>
      </c>
      <c r="F48" s="4">
        <f>VLOOKUP(A48, output_exiobase_v3.10.2_EXIO_IOT_2022_pxp_Z_production_footprint_EU27[], 2, FALSE)</f>
        <v>8453945140.4671087</v>
      </c>
      <c r="G48" s="35">
        <f t="shared" si="6"/>
        <v>4.1224242052452433E-2</v>
      </c>
      <c r="H48" s="1">
        <f t="shared" si="7"/>
        <v>0.95877575794754766</v>
      </c>
      <c r="N48" s="5"/>
    </row>
    <row r="49" spans="1:8" x14ac:dyDescent="0.3">
      <c r="A49" s="9" t="s">
        <v>183</v>
      </c>
      <c r="B49" s="29">
        <f t="shared" si="5"/>
        <v>83915529633.492844</v>
      </c>
      <c r="C49" s="4">
        <f>VLOOKUP(A49,  output_exiobase_v3.10.2_EXIO_IOT_2022_pxp_Y_imports_footprint_EU27[], 2, FALSE)</f>
        <v>21304556966.350925</v>
      </c>
      <c r="D49" s="4">
        <f>VLOOKUP(A49, output_exiobase_v3.10.2_EXIO_IOT_2022_pxp_Z_imports_footprint_EU27[], 2, FALSE)</f>
        <v>12800459825.30323</v>
      </c>
      <c r="E49" s="4">
        <f>VLOOKUP(A49, output_exiobase_v3.10.2_EXIO_IOT_2022_pxp_Y_production_footprint_EU27[], 2, FALSE)</f>
        <v>19201156809.47047</v>
      </c>
      <c r="F49" s="4">
        <f>VLOOKUP(A49, output_exiobase_v3.10.2_EXIO_IOT_2022_pxp_Z_production_footprint_EU27[], 2, FALSE)</f>
        <v>30609356032.368214</v>
      </c>
      <c r="G49" s="35">
        <f t="shared" si="6"/>
        <v>0.40642080125824492</v>
      </c>
      <c r="H49" s="1">
        <f t="shared" si="7"/>
        <v>0.59357919874175502</v>
      </c>
    </row>
    <row r="50" spans="1:8" x14ac:dyDescent="0.3">
      <c r="A50" s="9" t="s">
        <v>182</v>
      </c>
      <c r="B50" s="29">
        <f t="shared" si="5"/>
        <v>82792244698.811249</v>
      </c>
      <c r="C50" s="4">
        <f>VLOOKUP(A50,  output_exiobase_v3.10.2_EXIO_IOT_2022_pxp_Y_imports_footprint_EU27[], 2, FALSE)</f>
        <v>1416506304.7265868</v>
      </c>
      <c r="D50" s="4">
        <f>VLOOKUP(A50, output_exiobase_v3.10.2_EXIO_IOT_2022_pxp_Z_imports_footprint_EU27[], 2, FALSE)</f>
        <v>9546222330.9568748</v>
      </c>
      <c r="E50" s="4">
        <f>VLOOKUP(A50, output_exiobase_v3.10.2_EXIO_IOT_2022_pxp_Y_production_footprint_EU27[], 2, FALSE)</f>
        <v>20715858849.5224</v>
      </c>
      <c r="F50" s="4">
        <f>VLOOKUP(A50, output_exiobase_v3.10.2_EXIO_IOT_2022_pxp_Z_production_footprint_EU27[], 2, FALSE)</f>
        <v>51113657213.605385</v>
      </c>
      <c r="G50" s="35">
        <f t="shared" si="6"/>
        <v>0.13241250645594427</v>
      </c>
      <c r="H50" s="1">
        <f t="shared" si="7"/>
        <v>0.86758749354405562</v>
      </c>
    </row>
    <row r="51" spans="1:8" x14ac:dyDescent="0.3">
      <c r="A51" s="9" t="s">
        <v>152</v>
      </c>
      <c r="B51" s="29">
        <f t="shared" si="5"/>
        <v>81920462554.553314</v>
      </c>
      <c r="C51" s="4">
        <f>VLOOKUP(A51,  output_exiobase_v3.10.2_EXIO_IOT_2022_pxp_Y_imports_footprint_EU27[], 2, FALSE)</f>
        <v>5282673605.6081657</v>
      </c>
      <c r="D51" s="4">
        <f>VLOOKUP(A51, output_exiobase_v3.10.2_EXIO_IOT_2022_pxp_Z_imports_footprint_EU27[], 2, FALSE)</f>
        <v>3625790143.8989401</v>
      </c>
      <c r="E51" s="4">
        <f>VLOOKUP(A51, output_exiobase_v3.10.2_EXIO_IOT_2022_pxp_Y_production_footprint_EU27[], 2, FALSE)</f>
        <v>42205594793.198441</v>
      </c>
      <c r="F51" s="4">
        <f>VLOOKUP(A51, output_exiobase_v3.10.2_EXIO_IOT_2022_pxp_Z_production_footprint_EU27[], 2, FALSE)</f>
        <v>30806404011.847771</v>
      </c>
      <c r="G51" s="35">
        <f t="shared" si="6"/>
        <v>0.10874528135842362</v>
      </c>
      <c r="H51" s="1">
        <f t="shared" si="7"/>
        <v>0.89125471864157635</v>
      </c>
    </row>
    <row r="52" spans="1:8" x14ac:dyDescent="0.3">
      <c r="A52" s="9" t="s">
        <v>122</v>
      </c>
      <c r="B52" s="29">
        <f t="shared" si="5"/>
        <v>81757117330.260132</v>
      </c>
      <c r="C52" s="4">
        <f>VLOOKUP(A52,  output_exiobase_v3.10.2_EXIO_IOT_2022_pxp_Y_imports_footprint_EU27[], 2, FALSE)</f>
        <v>3085976204.6913323</v>
      </c>
      <c r="D52" s="4">
        <f>VLOOKUP(A52, output_exiobase_v3.10.2_EXIO_IOT_2022_pxp_Z_imports_footprint_EU27[], 2, FALSE)</f>
        <v>5513920415.6581364</v>
      </c>
      <c r="E52" s="4">
        <f>VLOOKUP(A52, output_exiobase_v3.10.2_EXIO_IOT_2022_pxp_Y_production_footprint_EU27[], 2, FALSE)</f>
        <v>18733412215.265793</v>
      </c>
      <c r="F52" s="4">
        <f>VLOOKUP(A52, output_exiobase_v3.10.2_EXIO_IOT_2022_pxp_Z_production_footprint_EU27[], 2, FALSE)</f>
        <v>54423808494.644875</v>
      </c>
      <c r="G52" s="35">
        <f t="shared" si="6"/>
        <v>0.10518835425189893</v>
      </c>
      <c r="H52" s="1">
        <f t="shared" si="7"/>
        <v>0.89481164574810124</v>
      </c>
    </row>
    <row r="53" spans="1:8" x14ac:dyDescent="0.3">
      <c r="A53" s="9" t="s">
        <v>191</v>
      </c>
      <c r="B53" s="29">
        <f t="shared" si="5"/>
        <v>78774080395.965652</v>
      </c>
      <c r="C53" s="4">
        <f>VLOOKUP(A53,  output_exiobase_v3.10.2_EXIO_IOT_2022_pxp_Y_imports_footprint_EU27[], 2, FALSE)</f>
        <v>40535856853.702934</v>
      </c>
      <c r="D53" s="4">
        <f>VLOOKUP(A53, output_exiobase_v3.10.2_EXIO_IOT_2022_pxp_Z_imports_footprint_EU27[], 2, FALSE)</f>
        <v>4328445665.6870995</v>
      </c>
      <c r="E53" s="4">
        <f>VLOOKUP(A53, output_exiobase_v3.10.2_EXIO_IOT_2022_pxp_Y_production_footprint_EU27[], 2, FALSE)</f>
        <v>26734056552.214733</v>
      </c>
      <c r="F53" s="4">
        <f>VLOOKUP(A53, output_exiobase_v3.10.2_EXIO_IOT_2022_pxp_Z_production_footprint_EU27[], 2, FALSE)</f>
        <v>7175721324.3608866</v>
      </c>
      <c r="G53" s="35">
        <f t="shared" si="6"/>
        <v>0.56953127594603714</v>
      </c>
      <c r="H53" s="1">
        <f t="shared" si="7"/>
        <v>0.4304687240539628</v>
      </c>
    </row>
    <row r="54" spans="1:8" x14ac:dyDescent="0.3">
      <c r="A54" s="9" t="s">
        <v>11</v>
      </c>
      <c r="B54" s="29">
        <f t="shared" si="5"/>
        <v>76628760529.082245</v>
      </c>
      <c r="C54" s="4">
        <f>VLOOKUP(A54,  output_exiobase_v3.10.2_EXIO_IOT_2022_pxp_Y_imports_footprint_EU27[], 2, FALSE)</f>
        <v>3127507880.22121</v>
      </c>
      <c r="D54" s="4">
        <f>VLOOKUP(A54, output_exiobase_v3.10.2_EXIO_IOT_2022_pxp_Z_imports_footprint_EU27[], 2, FALSE)</f>
        <v>3115704217.0688066</v>
      </c>
      <c r="E54" s="4">
        <f>VLOOKUP(A54, output_exiobase_v3.10.2_EXIO_IOT_2022_pxp_Y_production_footprint_EU27[], 2, FALSE)</f>
        <v>35198626242.006119</v>
      </c>
      <c r="F54" s="4">
        <f>VLOOKUP(A54, output_exiobase_v3.10.2_EXIO_IOT_2022_pxp_Z_production_footprint_EU27[], 2, FALSE)</f>
        <v>35186922189.786102</v>
      </c>
      <c r="G54" s="35">
        <f t="shared" si="6"/>
        <v>8.1473484031111071E-2</v>
      </c>
      <c r="H54" s="1">
        <f t="shared" si="7"/>
        <v>0.91852651596888879</v>
      </c>
    </row>
    <row r="55" spans="1:8" x14ac:dyDescent="0.3">
      <c r="A55" s="9" t="s">
        <v>3</v>
      </c>
      <c r="B55" s="29">
        <f t="shared" si="5"/>
        <v>75320645030.234589</v>
      </c>
      <c r="C55" s="4">
        <f>VLOOKUP(A55,  output_exiobase_v3.10.2_EXIO_IOT_2022_pxp_Y_imports_footprint_EU27[], 2, FALSE)</f>
        <v>1436627067.5187845</v>
      </c>
      <c r="D55" s="4">
        <f>VLOOKUP(A55, output_exiobase_v3.10.2_EXIO_IOT_2022_pxp_Z_imports_footprint_EU27[], 2, FALSE)</f>
        <v>22890590356.702656</v>
      </c>
      <c r="E55" s="4">
        <f>VLOOKUP(A55, output_exiobase_v3.10.2_EXIO_IOT_2022_pxp_Y_production_footprint_EU27[], 2, FALSE)</f>
        <v>3107897594.3383083</v>
      </c>
      <c r="F55" s="4">
        <f>VLOOKUP(A55, output_exiobase_v3.10.2_EXIO_IOT_2022_pxp_Z_production_footprint_EU27[], 2, FALSE)</f>
        <v>47885530011.67485</v>
      </c>
      <c r="G55" s="35">
        <f t="shared" si="6"/>
        <v>0.32298206440553195</v>
      </c>
      <c r="H55" s="1">
        <f t="shared" si="7"/>
        <v>0.67701793559446821</v>
      </c>
    </row>
    <row r="56" spans="1:8" x14ac:dyDescent="0.3">
      <c r="A56" s="9" t="s">
        <v>22</v>
      </c>
      <c r="B56" s="29">
        <f t="shared" si="5"/>
        <v>70835780247.033768</v>
      </c>
      <c r="C56" s="4">
        <f>VLOOKUP(A56,  output_exiobase_v3.10.2_EXIO_IOT_2022_pxp_Y_imports_footprint_EU27[], 2, FALSE)</f>
        <v>698478741.83780825</v>
      </c>
      <c r="D56" s="4">
        <f>VLOOKUP(A56, output_exiobase_v3.10.2_EXIO_IOT_2022_pxp_Z_imports_footprint_EU27[], 2, FALSE)</f>
        <v>3210808738.7665958</v>
      </c>
      <c r="E56" s="4">
        <f>VLOOKUP(A56, output_exiobase_v3.10.2_EXIO_IOT_2022_pxp_Y_production_footprint_EU27[], 2, FALSE)</f>
        <v>10225028291.703695</v>
      </c>
      <c r="F56" s="4">
        <f>VLOOKUP(A56, output_exiobase_v3.10.2_EXIO_IOT_2022_pxp_Z_production_footprint_EU27[], 2, FALSE)</f>
        <v>56701464474.725662</v>
      </c>
      <c r="G56" s="35">
        <f t="shared" si="6"/>
        <v>5.5188034450543155E-2</v>
      </c>
      <c r="H56" s="1">
        <f t="shared" si="7"/>
        <v>0.94481196554945679</v>
      </c>
    </row>
    <row r="57" spans="1:8" x14ac:dyDescent="0.3">
      <c r="A57" s="9" t="s">
        <v>195</v>
      </c>
      <c r="B57" s="29">
        <f t="shared" si="5"/>
        <v>65548930220.801445</v>
      </c>
      <c r="C57" s="4">
        <f>VLOOKUP(A57,  output_exiobase_v3.10.2_EXIO_IOT_2022_pxp_Y_imports_footprint_EU27[], 2, FALSE)</f>
        <v>2189376432.6405759</v>
      </c>
      <c r="D57" s="4">
        <f>VLOOKUP(A57, output_exiobase_v3.10.2_EXIO_IOT_2022_pxp_Z_imports_footprint_EU27[], 2, FALSE)</f>
        <v>6027881928.366663</v>
      </c>
      <c r="E57" s="4">
        <f>VLOOKUP(A57, output_exiobase_v3.10.2_EXIO_IOT_2022_pxp_Y_production_footprint_EU27[], 2, FALSE)</f>
        <v>9940184845.7436981</v>
      </c>
      <c r="F57" s="4">
        <f>VLOOKUP(A57, output_exiobase_v3.10.2_EXIO_IOT_2022_pxp_Z_production_footprint_EU27[], 2, FALSE)</f>
        <v>47391487014.050507</v>
      </c>
      <c r="G57" s="35">
        <f t="shared" si="6"/>
        <v>0.12536067840203372</v>
      </c>
      <c r="H57" s="1">
        <f t="shared" si="7"/>
        <v>0.87463932159796631</v>
      </c>
    </row>
    <row r="58" spans="1:8" x14ac:dyDescent="0.3">
      <c r="A58" s="9" t="s">
        <v>157</v>
      </c>
      <c r="B58" s="29">
        <f t="shared" si="5"/>
        <v>61313645935.793617</v>
      </c>
      <c r="C58" s="4">
        <f>VLOOKUP(A58,  output_exiobase_v3.10.2_EXIO_IOT_2022_pxp_Y_imports_footprint_EU27[], 2, FALSE)</f>
        <v>2685552191.2609744</v>
      </c>
      <c r="D58" s="4">
        <f>VLOOKUP(A58, output_exiobase_v3.10.2_EXIO_IOT_2022_pxp_Z_imports_footprint_EU27[], 2, FALSE)</f>
        <v>12680296623.203442</v>
      </c>
      <c r="E58" s="4">
        <f>VLOOKUP(A58, output_exiobase_v3.10.2_EXIO_IOT_2022_pxp_Y_production_footprint_EU27[], 2, FALSE)</f>
        <v>11296163830.972918</v>
      </c>
      <c r="F58" s="4">
        <f>VLOOKUP(A58, output_exiobase_v3.10.2_EXIO_IOT_2022_pxp_Z_production_footprint_EU27[], 2, FALSE)</f>
        <v>34651633290.356285</v>
      </c>
      <c r="G58" s="35">
        <f t="shared" si="6"/>
        <v>0.25061058725092317</v>
      </c>
      <c r="H58" s="1">
        <f t="shared" si="7"/>
        <v>0.74938941274907689</v>
      </c>
    </row>
    <row r="59" spans="1:8" x14ac:dyDescent="0.3">
      <c r="A59" s="9" t="s">
        <v>85</v>
      </c>
      <c r="B59" s="29">
        <f t="shared" si="5"/>
        <v>57859352555.926346</v>
      </c>
      <c r="C59" s="4">
        <f>VLOOKUP(A59,  output_exiobase_v3.10.2_EXIO_IOT_2022_pxp_Y_imports_footprint_EU27[], 2, FALSE)</f>
        <v>28466211708.220459</v>
      </c>
      <c r="D59" s="4">
        <f>VLOOKUP(A59, output_exiobase_v3.10.2_EXIO_IOT_2022_pxp_Z_imports_footprint_EU27[], 2, FALSE)</f>
        <v>5664865263.9536171</v>
      </c>
      <c r="E59" s="4">
        <f>VLOOKUP(A59, output_exiobase_v3.10.2_EXIO_IOT_2022_pxp_Y_production_footprint_EU27[], 2, FALSE)</f>
        <v>15148270372.064331</v>
      </c>
      <c r="F59" s="4">
        <f>VLOOKUP(A59, output_exiobase_v3.10.2_EXIO_IOT_2022_pxp_Z_production_footprint_EU27[], 2, FALSE)</f>
        <v>8580005211.6879425</v>
      </c>
      <c r="G59" s="35">
        <f t="shared" si="6"/>
        <v>0.58989731935184164</v>
      </c>
      <c r="H59" s="1">
        <f t="shared" si="7"/>
        <v>0.41010268064815847</v>
      </c>
    </row>
    <row r="60" spans="1:8" x14ac:dyDescent="0.3">
      <c r="A60" s="9" t="s">
        <v>192</v>
      </c>
      <c r="B60" s="29">
        <f t="shared" si="5"/>
        <v>57850222804.757393</v>
      </c>
      <c r="C60" s="4">
        <f>VLOOKUP(A60,  output_exiobase_v3.10.2_EXIO_IOT_2022_pxp_Y_imports_footprint_EU27[], 2, FALSE)</f>
        <v>1283749695.5887873</v>
      </c>
      <c r="D60" s="4">
        <f>VLOOKUP(A60, output_exiobase_v3.10.2_EXIO_IOT_2022_pxp_Z_imports_footprint_EU27[], 2, FALSE)</f>
        <v>1047659912.9161766</v>
      </c>
      <c r="E60" s="4">
        <f>VLOOKUP(A60, output_exiobase_v3.10.2_EXIO_IOT_2022_pxp_Y_production_footprint_EU27[], 2, FALSE)</f>
        <v>17982277870.387745</v>
      </c>
      <c r="F60" s="4">
        <f>VLOOKUP(A60, output_exiobase_v3.10.2_EXIO_IOT_2022_pxp_Z_production_footprint_EU27[], 2, FALSE)</f>
        <v>37536535325.864685</v>
      </c>
      <c r="G60" s="35">
        <f t="shared" si="6"/>
        <v>4.0300788751901524E-2</v>
      </c>
      <c r="H60" s="1">
        <f t="shared" si="7"/>
        <v>0.95969921124809843</v>
      </c>
    </row>
    <row r="61" spans="1:8" x14ac:dyDescent="0.3">
      <c r="A61" s="9" t="s">
        <v>108</v>
      </c>
      <c r="B61" s="29">
        <f t="shared" si="5"/>
        <v>57328798200.282951</v>
      </c>
      <c r="C61" s="4">
        <f>VLOOKUP(A61,  output_exiobase_v3.10.2_EXIO_IOT_2022_pxp_Y_imports_footprint_EU27[], 2, FALSE)</f>
        <v>13189854275.337761</v>
      </c>
      <c r="D61" s="4">
        <f>VLOOKUP(A61, output_exiobase_v3.10.2_EXIO_IOT_2022_pxp_Z_imports_footprint_EU27[], 2, FALSE)</f>
        <v>21357085195.867428</v>
      </c>
      <c r="E61" s="4">
        <f>VLOOKUP(A61, output_exiobase_v3.10.2_EXIO_IOT_2022_pxp_Y_production_footprint_EU27[], 2, FALSE)</f>
        <v>8805391863.7445946</v>
      </c>
      <c r="F61" s="4">
        <f>VLOOKUP(A61, output_exiobase_v3.10.2_EXIO_IOT_2022_pxp_Z_production_footprint_EU27[], 2, FALSE)</f>
        <v>13976466865.33317</v>
      </c>
      <c r="G61" s="35">
        <f t="shared" si="6"/>
        <v>0.60261056494700205</v>
      </c>
      <c r="H61" s="1">
        <f t="shared" si="7"/>
        <v>0.39738943505299795</v>
      </c>
    </row>
    <row r="62" spans="1:8" x14ac:dyDescent="0.3">
      <c r="A62" s="9" t="s">
        <v>57</v>
      </c>
      <c r="B62" s="29">
        <f t="shared" si="5"/>
        <v>57163867004.975807</v>
      </c>
      <c r="C62" s="4">
        <f>VLOOKUP(A62,  output_exiobase_v3.10.2_EXIO_IOT_2022_pxp_Y_imports_footprint_EU27[], 2, FALSE)</f>
        <v>800931975.59908736</v>
      </c>
      <c r="D62" s="4">
        <f>VLOOKUP(A62, output_exiobase_v3.10.2_EXIO_IOT_2022_pxp_Z_imports_footprint_EU27[], 2, FALSE)</f>
        <v>6650255210.8491678</v>
      </c>
      <c r="E62" s="4">
        <f>VLOOKUP(A62, output_exiobase_v3.10.2_EXIO_IOT_2022_pxp_Y_production_footprint_EU27[], 2, FALSE)</f>
        <v>12688302561.574078</v>
      </c>
      <c r="F62" s="4">
        <f>VLOOKUP(A62, output_exiobase_v3.10.2_EXIO_IOT_2022_pxp_Z_production_footprint_EU27[], 2, FALSE)</f>
        <v>37024377256.953476</v>
      </c>
      <c r="G62" s="35">
        <f t="shared" si="6"/>
        <v>0.13034785043145647</v>
      </c>
      <c r="H62" s="1">
        <f t="shared" si="7"/>
        <v>0.86965214956854364</v>
      </c>
    </row>
    <row r="63" spans="1:8" x14ac:dyDescent="0.3">
      <c r="A63" s="9" t="s">
        <v>148</v>
      </c>
      <c r="B63" s="29">
        <f t="shared" si="5"/>
        <v>55999016097.391006</v>
      </c>
      <c r="C63" s="4">
        <f>VLOOKUP(A63,  output_exiobase_v3.10.2_EXIO_IOT_2022_pxp_Y_imports_footprint_EU27[], 2, FALSE)</f>
        <v>222414058.16564521</v>
      </c>
      <c r="D63" s="4">
        <f>VLOOKUP(A63, output_exiobase_v3.10.2_EXIO_IOT_2022_pxp_Z_imports_footprint_EU27[], 2, FALSE)</f>
        <v>2294529134.7743936</v>
      </c>
      <c r="E63" s="4">
        <f>VLOOKUP(A63, output_exiobase_v3.10.2_EXIO_IOT_2022_pxp_Y_production_footprint_EU27[], 2, FALSE)</f>
        <v>2551648436.6910963</v>
      </c>
      <c r="F63" s="4">
        <f>VLOOKUP(A63, output_exiobase_v3.10.2_EXIO_IOT_2022_pxp_Z_production_footprint_EU27[], 2, FALSE)</f>
        <v>50930424467.759872</v>
      </c>
      <c r="G63" s="35">
        <f t="shared" si="6"/>
        <v>4.494620385048699E-2</v>
      </c>
      <c r="H63" s="1">
        <f t="shared" si="7"/>
        <v>0.95505379614951302</v>
      </c>
    </row>
    <row r="64" spans="1:8" x14ac:dyDescent="0.3">
      <c r="A64" s="9" t="s">
        <v>105</v>
      </c>
      <c r="B64" s="29">
        <f t="shared" si="5"/>
        <v>55277301943.878937</v>
      </c>
      <c r="C64" s="4">
        <f>VLOOKUP(A64,  output_exiobase_v3.10.2_EXIO_IOT_2022_pxp_Y_imports_footprint_EU27[], 2, FALSE)</f>
        <v>28969518481.399181</v>
      </c>
      <c r="D64" s="4">
        <f>VLOOKUP(A64, output_exiobase_v3.10.2_EXIO_IOT_2022_pxp_Z_imports_footprint_EU27[], 2, FALSE)</f>
        <v>15179317685.605753</v>
      </c>
      <c r="E64" s="4">
        <f>VLOOKUP(A64, output_exiobase_v3.10.2_EXIO_IOT_2022_pxp_Y_production_footprint_EU27[], 2, FALSE)</f>
        <v>5373050845.3675623</v>
      </c>
      <c r="F64" s="4">
        <f>VLOOKUP(A64, output_exiobase_v3.10.2_EXIO_IOT_2022_pxp_Z_production_footprint_EU27[], 2, FALSE)</f>
        <v>5755414931.5064392</v>
      </c>
      <c r="G64" s="35">
        <f t="shared" si="6"/>
        <v>0.7986792881430369</v>
      </c>
      <c r="H64" s="1">
        <f t="shared" si="7"/>
        <v>0.20132071185696315</v>
      </c>
    </row>
    <row r="65" spans="1:8" x14ac:dyDescent="0.3">
      <c r="A65" s="9" t="s">
        <v>156</v>
      </c>
      <c r="B65" s="29">
        <f t="shared" si="5"/>
        <v>53338866531.222244</v>
      </c>
      <c r="C65" s="4">
        <f>VLOOKUP(A65,  output_exiobase_v3.10.2_EXIO_IOT_2022_pxp_Y_imports_footprint_EU27[], 2, FALSE)</f>
        <v>3379827.5182744181</v>
      </c>
      <c r="D65" s="4">
        <f>VLOOKUP(A65, output_exiobase_v3.10.2_EXIO_IOT_2022_pxp_Z_imports_footprint_EU27[], 2, FALSE)</f>
        <v>88126203.927370131</v>
      </c>
      <c r="E65" s="4">
        <f>VLOOKUP(A65, output_exiobase_v3.10.2_EXIO_IOT_2022_pxp_Y_production_footprint_EU27[], 2, FALSE)</f>
        <v>6626564477.9848814</v>
      </c>
      <c r="F65" s="4">
        <f>VLOOKUP(A65, output_exiobase_v3.10.2_EXIO_IOT_2022_pxp_Z_production_footprint_EU27[], 2, FALSE)</f>
        <v>46620796021.791718</v>
      </c>
      <c r="G65" s="35">
        <f t="shared" si="6"/>
        <v>1.7155601046017898E-3</v>
      </c>
      <c r="H65" s="1">
        <f t="shared" si="7"/>
        <v>0.99828443989539817</v>
      </c>
    </row>
    <row r="66" spans="1:8" x14ac:dyDescent="0.3">
      <c r="A66" s="9" t="s">
        <v>161</v>
      </c>
      <c r="B66" s="29">
        <f t="shared" si="5"/>
        <v>46988360147.132446</v>
      </c>
      <c r="C66" s="4">
        <f>VLOOKUP(A66,  output_exiobase_v3.10.2_EXIO_IOT_2022_pxp_Y_imports_footprint_EU27[], 2, FALSE)</f>
        <v>1499113518.0954075</v>
      </c>
      <c r="D66" s="4">
        <f>VLOOKUP(A66, output_exiobase_v3.10.2_EXIO_IOT_2022_pxp_Z_imports_footprint_EU27[], 2, FALSE)</f>
        <v>2090972010.2977142</v>
      </c>
      <c r="E66" s="4">
        <f>VLOOKUP(A66, output_exiobase_v3.10.2_EXIO_IOT_2022_pxp_Y_production_footprint_EU27[], 2, FALSE)</f>
        <v>34146914305.333462</v>
      </c>
      <c r="F66" s="4">
        <f>VLOOKUP(A66, output_exiobase_v3.10.2_EXIO_IOT_2022_pxp_Z_production_footprint_EU27[], 2, FALSE)</f>
        <v>9251360313.4058628</v>
      </c>
      <c r="G66" s="35">
        <f t="shared" si="6"/>
        <v>7.6403720350138954E-2</v>
      </c>
      <c r="H66" s="1">
        <f t="shared" si="7"/>
        <v>0.92359627964986113</v>
      </c>
    </row>
    <row r="67" spans="1:8" x14ac:dyDescent="0.3">
      <c r="A67" s="9" t="s">
        <v>34</v>
      </c>
      <c r="B67" s="29">
        <f t="shared" si="5"/>
        <v>46568535732.459633</v>
      </c>
      <c r="C67" s="4">
        <f>VLOOKUP(A67,  output_exiobase_v3.10.2_EXIO_IOT_2022_pxp_Y_imports_footprint_EU27[], 2, FALSE)</f>
        <v>509499860.968009</v>
      </c>
      <c r="D67" s="4">
        <f>VLOOKUP(A67, output_exiobase_v3.10.2_EXIO_IOT_2022_pxp_Z_imports_footprint_EU27[], 2, FALSE)</f>
        <v>9836023436.1062775</v>
      </c>
      <c r="E67" s="4">
        <f>VLOOKUP(A67, output_exiobase_v3.10.2_EXIO_IOT_2022_pxp_Y_production_footprint_EU27[], 2, FALSE)</f>
        <v>1396379453.2527139</v>
      </c>
      <c r="F67" s="4">
        <f>VLOOKUP(A67, output_exiobase_v3.10.2_EXIO_IOT_2022_pxp_Z_production_footprint_EU27[], 2, FALSE)</f>
        <v>34826632982.132629</v>
      </c>
      <c r="G67" s="35">
        <f t="shared" si="6"/>
        <v>0.22215693781978108</v>
      </c>
      <c r="H67" s="1">
        <f t="shared" si="7"/>
        <v>0.77784306218021892</v>
      </c>
    </row>
    <row r="68" spans="1:8" x14ac:dyDescent="0.3">
      <c r="A68" s="9" t="s">
        <v>115</v>
      </c>
      <c r="B68" s="29">
        <f t="shared" si="5"/>
        <v>44859805657.209518</v>
      </c>
      <c r="C68" s="4">
        <f>VLOOKUP(A68,  output_exiobase_v3.10.2_EXIO_IOT_2022_pxp_Y_imports_footprint_EU27[], 2, FALSE)</f>
        <v>7960441142.5399313</v>
      </c>
      <c r="D68" s="4">
        <f>VLOOKUP(A68, output_exiobase_v3.10.2_EXIO_IOT_2022_pxp_Z_imports_footprint_EU27[], 2, FALSE)</f>
        <v>8396606043.5148544</v>
      </c>
      <c r="E68" s="4">
        <f>VLOOKUP(A68, output_exiobase_v3.10.2_EXIO_IOT_2022_pxp_Y_production_footprint_EU27[], 2, FALSE)</f>
        <v>7018123164.1370201</v>
      </c>
      <c r="F68" s="4">
        <f>VLOOKUP(A68, output_exiobase_v3.10.2_EXIO_IOT_2022_pxp_Z_production_footprint_EU27[], 2, FALSE)</f>
        <v>21484635307.017708</v>
      </c>
      <c r="G68" s="35">
        <f t="shared" si="6"/>
        <v>0.36462590388922045</v>
      </c>
      <c r="H68" s="1">
        <f t="shared" si="7"/>
        <v>0.63537409611077944</v>
      </c>
    </row>
    <row r="69" spans="1:8" x14ac:dyDescent="0.3">
      <c r="A69" s="9" t="s">
        <v>72</v>
      </c>
      <c r="B69" s="29">
        <f t="shared" si="5"/>
        <v>44829598576.591774</v>
      </c>
      <c r="C69" s="4">
        <f>VLOOKUP(A69,  output_exiobase_v3.10.2_EXIO_IOT_2022_pxp_Y_imports_footprint_EU27[], 2, FALSE)</f>
        <v>729383932.84792483</v>
      </c>
      <c r="D69" s="4">
        <f>VLOOKUP(A69, output_exiobase_v3.10.2_EXIO_IOT_2022_pxp_Z_imports_footprint_EU27[], 2, FALSE)</f>
        <v>13262482235.445908</v>
      </c>
      <c r="E69" s="4">
        <f>VLOOKUP(A69, output_exiobase_v3.10.2_EXIO_IOT_2022_pxp_Y_production_footprint_EU27[], 2, FALSE)</f>
        <v>1473348348.4333525</v>
      </c>
      <c r="F69" s="4">
        <f>VLOOKUP(A69, output_exiobase_v3.10.2_EXIO_IOT_2022_pxp_Z_production_footprint_EU27[], 2, FALSE)</f>
        <v>29364384059.86459</v>
      </c>
      <c r="G69" s="35">
        <f t="shared" si="6"/>
        <v>0.31211223416128975</v>
      </c>
      <c r="H69" s="1">
        <f t="shared" si="7"/>
        <v>0.68788776583871025</v>
      </c>
    </row>
    <row r="70" spans="1:8" x14ac:dyDescent="0.3">
      <c r="A70" s="9" t="s">
        <v>136</v>
      </c>
      <c r="B70" s="29">
        <f t="shared" si="5"/>
        <v>43093850932.290024</v>
      </c>
      <c r="C70" s="4">
        <f>VLOOKUP(A70,  output_exiobase_v3.10.2_EXIO_IOT_2022_pxp_Y_imports_footprint_EU27[], 2, FALSE)</f>
        <v>1922024834.9295845</v>
      </c>
      <c r="D70" s="4">
        <f>VLOOKUP(A70, output_exiobase_v3.10.2_EXIO_IOT_2022_pxp_Z_imports_footprint_EU27[], 2, FALSE)</f>
        <v>4356102025.0753574</v>
      </c>
      <c r="E70" s="4">
        <f>VLOOKUP(A70, output_exiobase_v3.10.2_EXIO_IOT_2022_pxp_Y_production_footprint_EU27[], 2, FALSE)</f>
        <v>11313506618.227497</v>
      </c>
      <c r="F70" s="4">
        <f>VLOOKUP(A70, output_exiobase_v3.10.2_EXIO_IOT_2022_pxp_Z_production_footprint_EU27[], 2, FALSE)</f>
        <v>25502217454.05759</v>
      </c>
      <c r="G70" s="35">
        <f t="shared" si="6"/>
        <v>0.14568498113267409</v>
      </c>
      <c r="H70" s="1">
        <f t="shared" si="7"/>
        <v>0.85431501886732608</v>
      </c>
    </row>
    <row r="71" spans="1:8" x14ac:dyDescent="0.3">
      <c r="A71" s="9" t="s">
        <v>131</v>
      </c>
      <c r="B71" s="29">
        <f t="shared" si="5"/>
        <v>42772666382.560196</v>
      </c>
      <c r="C71" s="4">
        <f>VLOOKUP(A71,  output_exiobase_v3.10.2_EXIO_IOT_2022_pxp_Y_imports_footprint_EU27[], 2, FALSE)</f>
        <v>407244.86525745364</v>
      </c>
      <c r="D71" s="4">
        <f>VLOOKUP(A71, output_exiobase_v3.10.2_EXIO_IOT_2022_pxp_Z_imports_footprint_EU27[], 2, FALSE)</f>
        <v>5012869.5420484981</v>
      </c>
      <c r="E71" s="4">
        <f>VLOOKUP(A71, output_exiobase_v3.10.2_EXIO_IOT_2022_pxp_Y_production_footprint_EU27[], 2, FALSE)</f>
        <v>7441918932.3754435</v>
      </c>
      <c r="F71" s="4">
        <f>VLOOKUP(A71, output_exiobase_v3.10.2_EXIO_IOT_2022_pxp_Z_production_footprint_EU27[], 2, FALSE)</f>
        <v>35325327335.777443</v>
      </c>
      <c r="G71" s="35">
        <f t="shared" si="6"/>
        <v>1.2671911446502453E-4</v>
      </c>
      <c r="H71" s="1">
        <f t="shared" si="7"/>
        <v>0.99987328088553484</v>
      </c>
    </row>
    <row r="72" spans="1:8" x14ac:dyDescent="0.3">
      <c r="A72" s="9" t="s">
        <v>82</v>
      </c>
      <c r="B72" s="29">
        <f t="shared" si="5"/>
        <v>42656612414.67305</v>
      </c>
      <c r="C72" s="4">
        <f>VLOOKUP(A72,  output_exiobase_v3.10.2_EXIO_IOT_2022_pxp_Y_imports_footprint_EU27[], 2, FALSE)</f>
        <v>1672776490.2084055</v>
      </c>
      <c r="D72" s="4">
        <f>VLOOKUP(A72, output_exiobase_v3.10.2_EXIO_IOT_2022_pxp_Z_imports_footprint_EU27[], 2, FALSE)</f>
        <v>12917137924.238251</v>
      </c>
      <c r="E72" s="4">
        <f>VLOOKUP(A72, output_exiobase_v3.10.2_EXIO_IOT_2022_pxp_Y_production_footprint_EU27[], 2, FALSE)</f>
        <v>1850401009.103878</v>
      </c>
      <c r="F72" s="4">
        <f>VLOOKUP(A72, output_exiobase_v3.10.2_EXIO_IOT_2022_pxp_Z_production_footprint_EU27[], 2, FALSE)</f>
        <v>26216296991.12252</v>
      </c>
      <c r="G72" s="35">
        <f t="shared" si="6"/>
        <v>0.34203171767639023</v>
      </c>
      <c r="H72" s="1">
        <f t="shared" si="7"/>
        <v>0.65796828232360982</v>
      </c>
    </row>
    <row r="73" spans="1:8" x14ac:dyDescent="0.3">
      <c r="A73" s="9" t="s">
        <v>74</v>
      </c>
      <c r="B73" s="29">
        <f t="shared" si="5"/>
        <v>40222284418.809677</v>
      </c>
      <c r="C73" s="4">
        <f>VLOOKUP(A73,  output_exiobase_v3.10.2_EXIO_IOT_2022_pxp_Y_imports_footprint_EU27[], 2, FALSE)</f>
        <v>2806325051.1771255</v>
      </c>
      <c r="D73" s="4">
        <f>VLOOKUP(A73, output_exiobase_v3.10.2_EXIO_IOT_2022_pxp_Z_imports_footprint_EU27[], 2, FALSE)</f>
        <v>7862319445.0082684</v>
      </c>
      <c r="E73" s="4">
        <f>VLOOKUP(A73, output_exiobase_v3.10.2_EXIO_IOT_2022_pxp_Y_production_footprint_EU27[], 2, FALSE)</f>
        <v>9310174653.4643021</v>
      </c>
      <c r="F73" s="4">
        <f>VLOOKUP(A73, output_exiobase_v3.10.2_EXIO_IOT_2022_pxp_Z_production_footprint_EU27[], 2, FALSE)</f>
        <v>20243465269.159985</v>
      </c>
      <c r="G73" s="35">
        <f t="shared" si="6"/>
        <v>0.26524213257256657</v>
      </c>
      <c r="H73" s="1">
        <f t="shared" si="7"/>
        <v>0.73475786742743354</v>
      </c>
    </row>
    <row r="74" spans="1:8" x14ac:dyDescent="0.3">
      <c r="A74" s="9" t="s">
        <v>106</v>
      </c>
      <c r="B74" s="29">
        <f t="shared" ref="B74:B105" si="8">SUM(C74:F74)</f>
        <v>39857577340.500511</v>
      </c>
      <c r="C74" s="4">
        <f>VLOOKUP(A74,  output_exiobase_v3.10.2_EXIO_IOT_2022_pxp_Y_imports_footprint_EU27[], 2, FALSE)</f>
        <v>3513570400.4977665</v>
      </c>
      <c r="D74" s="4">
        <f>VLOOKUP(A74, output_exiobase_v3.10.2_EXIO_IOT_2022_pxp_Z_imports_footprint_EU27[], 2, FALSE)</f>
        <v>8119174959.3621693</v>
      </c>
      <c r="E74" s="4">
        <f>VLOOKUP(A74, output_exiobase_v3.10.2_EXIO_IOT_2022_pxp_Y_production_footprint_EU27[], 2, FALSE)</f>
        <v>7440368787.7960472</v>
      </c>
      <c r="F74" s="4">
        <f>VLOOKUP(A74, output_exiobase_v3.10.2_EXIO_IOT_2022_pxp_Z_production_footprint_EU27[], 2, FALSE)</f>
        <v>20784463192.844528</v>
      </c>
      <c r="G74" s="35">
        <f t="shared" ref="G74:G105" si="9">(C74+D74)/B74</f>
        <v>0.29185781314509412</v>
      </c>
      <c r="H74" s="1">
        <f t="shared" ref="H74:H105" si="10">(E74+F74)/B74</f>
        <v>0.70814218685490593</v>
      </c>
    </row>
    <row r="75" spans="1:8" x14ac:dyDescent="0.3">
      <c r="A75" s="9" t="s">
        <v>188</v>
      </c>
      <c r="B75" s="29">
        <f t="shared" si="8"/>
        <v>38815542738.894264</v>
      </c>
      <c r="C75" s="4">
        <f>VLOOKUP(A75,  output_exiobase_v3.10.2_EXIO_IOT_2022_pxp_Y_imports_footprint_EU27[], 2, FALSE)</f>
        <v>6542683.9155682661</v>
      </c>
      <c r="D75" s="4">
        <f>VLOOKUP(A75, output_exiobase_v3.10.2_EXIO_IOT_2022_pxp_Z_imports_footprint_EU27[], 2, FALSE)</f>
        <v>15224031995.837683</v>
      </c>
      <c r="E75" s="4">
        <f>VLOOKUP(A75, output_exiobase_v3.10.2_EXIO_IOT_2022_pxp_Y_production_footprint_EU27[], 2, FALSE)</f>
        <v>33342598.16650911</v>
      </c>
      <c r="F75" s="4">
        <f>VLOOKUP(A75, output_exiobase_v3.10.2_EXIO_IOT_2022_pxp_Z_production_footprint_EU27[], 2, FALSE)</f>
        <v>23551625460.974506</v>
      </c>
      <c r="G75" s="35">
        <f t="shared" si="9"/>
        <v>0.39238340121138604</v>
      </c>
      <c r="H75" s="1">
        <f t="shared" si="10"/>
        <v>0.60761659878861396</v>
      </c>
    </row>
    <row r="76" spans="1:8" x14ac:dyDescent="0.3">
      <c r="A76" s="9" t="s">
        <v>66</v>
      </c>
      <c r="B76" s="29">
        <f t="shared" si="8"/>
        <v>38296985845.797363</v>
      </c>
      <c r="C76" s="4">
        <f>VLOOKUP(A76,  output_exiobase_v3.10.2_EXIO_IOT_2022_pxp_Y_imports_footprint_EU27[], 2, FALSE)</f>
        <v>0</v>
      </c>
      <c r="D76" s="4">
        <f>VLOOKUP(A76, output_exiobase_v3.10.2_EXIO_IOT_2022_pxp_Z_imports_footprint_EU27[], 2, FALSE)</f>
        <v>0</v>
      </c>
      <c r="E76" s="4">
        <f>VLOOKUP(A76, output_exiobase_v3.10.2_EXIO_IOT_2022_pxp_Y_production_footprint_EU27[], 2, FALSE)</f>
        <v>732969965.64324391</v>
      </c>
      <c r="F76" s="4">
        <f>VLOOKUP(A76, output_exiobase_v3.10.2_EXIO_IOT_2022_pxp_Z_production_footprint_EU27[], 2, FALSE)</f>
        <v>37564015880.154121</v>
      </c>
      <c r="G76" s="35">
        <f t="shared" si="9"/>
        <v>0</v>
      </c>
      <c r="H76" s="1">
        <f t="shared" si="10"/>
        <v>1</v>
      </c>
    </row>
    <row r="77" spans="1:8" x14ac:dyDescent="0.3">
      <c r="A77" s="9" t="s">
        <v>120</v>
      </c>
      <c r="B77" s="29">
        <f t="shared" si="8"/>
        <v>38282485883.176926</v>
      </c>
      <c r="C77" s="4">
        <f>VLOOKUP(A77,  output_exiobase_v3.10.2_EXIO_IOT_2022_pxp_Y_imports_footprint_EU27[], 2, FALSE)</f>
        <v>3319622002.8821907</v>
      </c>
      <c r="D77" s="4">
        <f>VLOOKUP(A77, output_exiobase_v3.10.2_EXIO_IOT_2022_pxp_Z_imports_footprint_EU27[], 2, FALSE)</f>
        <v>19302131143.614986</v>
      </c>
      <c r="E77" s="4">
        <f>VLOOKUP(A77, output_exiobase_v3.10.2_EXIO_IOT_2022_pxp_Y_production_footprint_EU27[], 2, FALSE)</f>
        <v>5666222733.4483747</v>
      </c>
      <c r="F77" s="4">
        <f>VLOOKUP(A77, output_exiobase_v3.10.2_EXIO_IOT_2022_pxp_Z_production_footprint_EU27[], 2, FALSE)</f>
        <v>9994510003.231369</v>
      </c>
      <c r="G77" s="35">
        <f t="shared" si="9"/>
        <v>0.59091651507506227</v>
      </c>
      <c r="H77" s="1">
        <f t="shared" si="10"/>
        <v>0.40908348492493762</v>
      </c>
    </row>
    <row r="78" spans="1:8" x14ac:dyDescent="0.3">
      <c r="A78" s="9" t="s">
        <v>145</v>
      </c>
      <c r="B78" s="29">
        <f t="shared" si="8"/>
        <v>36804213952.289818</v>
      </c>
      <c r="C78" s="4">
        <f>VLOOKUP(A78,  output_exiobase_v3.10.2_EXIO_IOT_2022_pxp_Y_imports_footprint_EU27[], 2, FALSE)</f>
        <v>149394831.70961282</v>
      </c>
      <c r="D78" s="4">
        <f>VLOOKUP(A78, output_exiobase_v3.10.2_EXIO_IOT_2022_pxp_Z_imports_footprint_EU27[], 2, FALSE)</f>
        <v>51185258.38229382</v>
      </c>
      <c r="E78" s="4">
        <f>VLOOKUP(A78, output_exiobase_v3.10.2_EXIO_IOT_2022_pxp_Y_production_footprint_EU27[], 2, FALSE)</f>
        <v>22534356374.749054</v>
      </c>
      <c r="F78" s="4">
        <f>VLOOKUP(A78, output_exiobase_v3.10.2_EXIO_IOT_2022_pxp_Z_production_footprint_EU27[], 2, FALSE)</f>
        <v>14069277487.448856</v>
      </c>
      <c r="G78" s="35">
        <f t="shared" si="9"/>
        <v>5.4499218581851357E-3</v>
      </c>
      <c r="H78" s="1">
        <f t="shared" si="10"/>
        <v>0.99455007814181473</v>
      </c>
    </row>
    <row r="79" spans="1:8" x14ac:dyDescent="0.3">
      <c r="A79" s="9" t="s">
        <v>21</v>
      </c>
      <c r="B79" s="29">
        <f t="shared" si="8"/>
        <v>34089689776.536484</v>
      </c>
      <c r="C79" s="4">
        <f>VLOOKUP(A79,  output_exiobase_v3.10.2_EXIO_IOT_2022_pxp_Y_imports_footprint_EU27[], 2, FALSE)</f>
        <v>5700460230.5617237</v>
      </c>
      <c r="D79" s="4">
        <f>VLOOKUP(A79, output_exiobase_v3.10.2_EXIO_IOT_2022_pxp_Z_imports_footprint_EU27[], 2, FALSE)</f>
        <v>5975384490.2329826</v>
      </c>
      <c r="E79" s="4">
        <f>VLOOKUP(A79, output_exiobase_v3.10.2_EXIO_IOT_2022_pxp_Y_production_footprint_EU27[], 2, FALSE)</f>
        <v>8068773982.5034275</v>
      </c>
      <c r="F79" s="4">
        <f>VLOOKUP(A79, output_exiobase_v3.10.2_EXIO_IOT_2022_pxp_Z_production_footprint_EU27[], 2, FALSE)</f>
        <v>14345071073.238348</v>
      </c>
      <c r="G79" s="35">
        <f t="shared" si="9"/>
        <v>0.34250369532054376</v>
      </c>
      <c r="H79" s="1">
        <f t="shared" si="10"/>
        <v>0.65749630467945619</v>
      </c>
    </row>
    <row r="80" spans="1:8" x14ac:dyDescent="0.3">
      <c r="A80" s="9" t="s">
        <v>162</v>
      </c>
      <c r="B80" s="29">
        <f t="shared" si="8"/>
        <v>33730865557.643024</v>
      </c>
      <c r="C80" s="4">
        <f>VLOOKUP(A80,  output_exiobase_v3.10.2_EXIO_IOT_2022_pxp_Y_imports_footprint_EU27[], 2, FALSE)</f>
        <v>2127465.1855828473</v>
      </c>
      <c r="D80" s="4">
        <f>VLOOKUP(A80, output_exiobase_v3.10.2_EXIO_IOT_2022_pxp_Z_imports_footprint_EU27[], 2, FALSE)</f>
        <v>269314583.70552433</v>
      </c>
      <c r="E80" s="4">
        <f>VLOOKUP(A80, output_exiobase_v3.10.2_EXIO_IOT_2022_pxp_Y_production_footprint_EU27[], 2, FALSE)</f>
        <v>3418055040.2381544</v>
      </c>
      <c r="F80" s="4">
        <f>VLOOKUP(A80, output_exiobase_v3.10.2_EXIO_IOT_2022_pxp_Z_production_footprint_EU27[], 2, FALSE)</f>
        <v>30041368468.513763</v>
      </c>
      <c r="G80" s="35">
        <f t="shared" si="9"/>
        <v>8.0472897568322731E-3</v>
      </c>
      <c r="H80" s="1">
        <f t="shared" si="10"/>
        <v>0.99195271024316778</v>
      </c>
    </row>
    <row r="81" spans="1:8" x14ac:dyDescent="0.3">
      <c r="A81" s="9" t="s">
        <v>59</v>
      </c>
      <c r="B81" s="29">
        <f t="shared" si="8"/>
        <v>32905574973.855133</v>
      </c>
      <c r="C81" s="4">
        <f>VLOOKUP(A81,  output_exiobase_v3.10.2_EXIO_IOT_2022_pxp_Y_imports_footprint_EU27[], 2, FALSE)</f>
        <v>4625401758.1677599</v>
      </c>
      <c r="D81" s="4">
        <f>VLOOKUP(A81, output_exiobase_v3.10.2_EXIO_IOT_2022_pxp_Z_imports_footprint_EU27[], 2, FALSE)</f>
        <v>7656029561.5625877</v>
      </c>
      <c r="E81" s="4">
        <f>VLOOKUP(A81, output_exiobase_v3.10.2_EXIO_IOT_2022_pxp_Y_production_footprint_EU27[], 2, FALSE)</f>
        <v>7324514084.2017565</v>
      </c>
      <c r="F81" s="4">
        <f>VLOOKUP(A81, output_exiobase_v3.10.2_EXIO_IOT_2022_pxp_Z_production_footprint_EU27[], 2, FALSE)</f>
        <v>13299629569.923029</v>
      </c>
      <c r="G81" s="35">
        <f t="shared" si="9"/>
        <v>0.37323253975924936</v>
      </c>
      <c r="H81" s="1">
        <f t="shared" si="10"/>
        <v>0.62676746024075058</v>
      </c>
    </row>
    <row r="82" spans="1:8" x14ac:dyDescent="0.3">
      <c r="A82" s="9" t="s">
        <v>78</v>
      </c>
      <c r="B82" s="29">
        <f t="shared" si="8"/>
        <v>29985460140.494705</v>
      </c>
      <c r="C82" s="4">
        <f>VLOOKUP(A82,  output_exiobase_v3.10.2_EXIO_IOT_2022_pxp_Y_imports_footprint_EU27[], 2, FALSE)</f>
        <v>1509797734.9100649</v>
      </c>
      <c r="D82" s="4">
        <f>VLOOKUP(A82, output_exiobase_v3.10.2_EXIO_IOT_2022_pxp_Z_imports_footprint_EU27[], 2, FALSE)</f>
        <v>2393281158.4389668</v>
      </c>
      <c r="E82" s="4">
        <f>VLOOKUP(A82, output_exiobase_v3.10.2_EXIO_IOT_2022_pxp_Y_production_footprint_EU27[], 2, FALSE)</f>
        <v>16387383200.007494</v>
      </c>
      <c r="F82" s="4">
        <f>VLOOKUP(A82, output_exiobase_v3.10.2_EXIO_IOT_2022_pxp_Z_production_footprint_EU27[], 2, FALSE)</f>
        <v>9694998047.1381798</v>
      </c>
      <c r="G82" s="35">
        <f t="shared" si="9"/>
        <v>0.13016571615247649</v>
      </c>
      <c r="H82" s="1">
        <f t="shared" si="10"/>
        <v>0.86983428384752359</v>
      </c>
    </row>
    <row r="83" spans="1:8" x14ac:dyDescent="0.3">
      <c r="A83" s="9" t="s">
        <v>48</v>
      </c>
      <c r="B83" s="29">
        <f t="shared" si="8"/>
        <v>29803660687.589363</v>
      </c>
      <c r="C83" s="4">
        <f>VLOOKUP(A83,  output_exiobase_v3.10.2_EXIO_IOT_2022_pxp_Y_imports_footprint_EU27[], 2, FALSE)</f>
        <v>100750662.74254224</v>
      </c>
      <c r="D83" s="4">
        <f>VLOOKUP(A83, output_exiobase_v3.10.2_EXIO_IOT_2022_pxp_Z_imports_footprint_EU27[], 2, FALSE)</f>
        <v>561478682.94807553</v>
      </c>
      <c r="E83" s="4">
        <f>VLOOKUP(A83, output_exiobase_v3.10.2_EXIO_IOT_2022_pxp_Y_production_footprint_EU27[], 2, FALSE)</f>
        <v>5926127361.8574343</v>
      </c>
      <c r="F83" s="4">
        <f>VLOOKUP(A83, output_exiobase_v3.10.2_EXIO_IOT_2022_pxp_Z_production_footprint_EU27[], 2, FALSE)</f>
        <v>23215303980.041313</v>
      </c>
      <c r="G83" s="35">
        <f t="shared" si="9"/>
        <v>2.2219731751488461E-2</v>
      </c>
      <c r="H83" s="1">
        <f t="shared" si="10"/>
        <v>0.97778026824851161</v>
      </c>
    </row>
    <row r="84" spans="1:8" x14ac:dyDescent="0.3">
      <c r="A84" s="9" t="s">
        <v>137</v>
      </c>
      <c r="B84" s="29">
        <f t="shared" si="8"/>
        <v>28398586968.961487</v>
      </c>
      <c r="C84" s="4">
        <f>VLOOKUP(A84,  output_exiobase_v3.10.2_EXIO_IOT_2022_pxp_Y_imports_footprint_EU27[], 2, FALSE)</f>
        <v>164015295.28163341</v>
      </c>
      <c r="D84" s="4">
        <f>VLOOKUP(A84, output_exiobase_v3.10.2_EXIO_IOT_2022_pxp_Z_imports_footprint_EU27[], 2, FALSE)</f>
        <v>74965789.63323015</v>
      </c>
      <c r="E84" s="4">
        <f>VLOOKUP(A84, output_exiobase_v3.10.2_EXIO_IOT_2022_pxp_Y_production_footprint_EU27[], 2, FALSE)</f>
        <v>18155156205.977814</v>
      </c>
      <c r="F84" s="4">
        <f>VLOOKUP(A84, output_exiobase_v3.10.2_EXIO_IOT_2022_pxp_Z_production_footprint_EU27[], 2, FALSE)</f>
        <v>10004449678.068811</v>
      </c>
      <c r="G84" s="35">
        <f t="shared" si="9"/>
        <v>8.4152456309203091E-3</v>
      </c>
      <c r="H84" s="1">
        <f t="shared" si="10"/>
        <v>0.99158475436907967</v>
      </c>
    </row>
    <row r="85" spans="1:8" x14ac:dyDescent="0.3">
      <c r="A85" s="9" t="s">
        <v>187</v>
      </c>
      <c r="B85" s="29">
        <f t="shared" si="8"/>
        <v>27695311500.16209</v>
      </c>
      <c r="C85" s="4">
        <f>VLOOKUP(A85,  output_exiobase_v3.10.2_EXIO_IOT_2022_pxp_Y_imports_footprint_EU27[], 2, FALSE)</f>
        <v>0</v>
      </c>
      <c r="D85" s="4">
        <f>VLOOKUP(A85, output_exiobase_v3.10.2_EXIO_IOT_2022_pxp_Z_imports_footprint_EU27[], 2, FALSE)</f>
        <v>0</v>
      </c>
      <c r="E85" s="4">
        <f>VLOOKUP(A85, output_exiobase_v3.10.2_EXIO_IOT_2022_pxp_Y_production_footprint_EU27[], 2, FALSE)</f>
        <v>2423171592.4173126</v>
      </c>
      <c r="F85" s="4">
        <f>VLOOKUP(A85, output_exiobase_v3.10.2_EXIO_IOT_2022_pxp_Z_production_footprint_EU27[], 2, FALSE)</f>
        <v>25272139907.744778</v>
      </c>
      <c r="G85" s="35">
        <f t="shared" si="9"/>
        <v>0</v>
      </c>
      <c r="H85" s="1">
        <f t="shared" si="10"/>
        <v>1</v>
      </c>
    </row>
    <row r="86" spans="1:8" x14ac:dyDescent="0.3">
      <c r="A86" s="9" t="s">
        <v>118</v>
      </c>
      <c r="B86" s="29">
        <f t="shared" si="8"/>
        <v>27198578951.517792</v>
      </c>
      <c r="C86" s="4">
        <f>VLOOKUP(A86,  output_exiobase_v3.10.2_EXIO_IOT_2022_pxp_Y_imports_footprint_EU27[], 2, FALSE)</f>
        <v>893070.7761245236</v>
      </c>
      <c r="D86" s="4">
        <f>VLOOKUP(A86, output_exiobase_v3.10.2_EXIO_IOT_2022_pxp_Z_imports_footprint_EU27[], 2, FALSE)</f>
        <v>5072018.5006626826</v>
      </c>
      <c r="E86" s="4">
        <f>VLOOKUP(A86, output_exiobase_v3.10.2_EXIO_IOT_2022_pxp_Y_production_footprint_EU27[], 2, FALSE)</f>
        <v>8355536212.4034901</v>
      </c>
      <c r="F86" s="4">
        <f>VLOOKUP(A86, output_exiobase_v3.10.2_EXIO_IOT_2022_pxp_Z_production_footprint_EU27[], 2, FALSE)</f>
        <v>18837077649.837513</v>
      </c>
      <c r="G86" s="35">
        <f t="shared" si="9"/>
        <v>2.193162108733747E-4</v>
      </c>
      <c r="H86" s="1">
        <f t="shared" si="10"/>
        <v>0.99978068378912666</v>
      </c>
    </row>
    <row r="87" spans="1:8" x14ac:dyDescent="0.3">
      <c r="A87" s="9" t="s">
        <v>200</v>
      </c>
      <c r="B87" s="29">
        <f t="shared" si="8"/>
        <v>26339680418.40287</v>
      </c>
      <c r="C87" s="4">
        <f>VLOOKUP(A87,  output_exiobase_v3.10.2_EXIO_IOT_2022_pxp_Y_imports_footprint_EU27[], 2, FALSE)</f>
        <v>2098532585.4302313</v>
      </c>
      <c r="D87" s="4">
        <f>VLOOKUP(A87, output_exiobase_v3.10.2_EXIO_IOT_2022_pxp_Z_imports_footprint_EU27[], 2, FALSE)</f>
        <v>10408916064.68339</v>
      </c>
      <c r="E87" s="4">
        <f>VLOOKUP(A87, output_exiobase_v3.10.2_EXIO_IOT_2022_pxp_Y_production_footprint_EU27[], 2, FALSE)</f>
        <v>3127540372.055851</v>
      </c>
      <c r="F87" s="4">
        <f>VLOOKUP(A87, output_exiobase_v3.10.2_EXIO_IOT_2022_pxp_Z_production_footprint_EU27[], 2, FALSE)</f>
        <v>10704691396.233398</v>
      </c>
      <c r="G87" s="35">
        <f t="shared" si="9"/>
        <v>0.4748519515587965</v>
      </c>
      <c r="H87" s="1">
        <f t="shared" si="10"/>
        <v>0.52514804844120344</v>
      </c>
    </row>
    <row r="88" spans="1:8" x14ac:dyDescent="0.3">
      <c r="A88" s="9" t="s">
        <v>116</v>
      </c>
      <c r="B88" s="29">
        <f t="shared" si="8"/>
        <v>26109209983.680958</v>
      </c>
      <c r="C88" s="4">
        <f>VLOOKUP(A88,  output_exiobase_v3.10.2_EXIO_IOT_2022_pxp_Y_imports_footprint_EU27[], 2, FALSE)</f>
        <v>3039685182.6999722</v>
      </c>
      <c r="D88" s="4">
        <f>VLOOKUP(A88, output_exiobase_v3.10.2_EXIO_IOT_2022_pxp_Z_imports_footprint_EU27[], 2, FALSE)</f>
        <v>1264054723.6024265</v>
      </c>
      <c r="E88" s="4">
        <f>VLOOKUP(A88, output_exiobase_v3.10.2_EXIO_IOT_2022_pxp_Y_production_footprint_EU27[], 2, FALSE)</f>
        <v>17459878034.183697</v>
      </c>
      <c r="F88" s="4">
        <f>VLOOKUP(A88, output_exiobase_v3.10.2_EXIO_IOT_2022_pxp_Z_production_footprint_EU27[], 2, FALSE)</f>
        <v>4345592043.1948624</v>
      </c>
      <c r="G88" s="35">
        <f t="shared" si="9"/>
        <v>0.1648360830906935</v>
      </c>
      <c r="H88" s="1">
        <f t="shared" si="10"/>
        <v>0.83516391690930647</v>
      </c>
    </row>
    <row r="89" spans="1:8" x14ac:dyDescent="0.3">
      <c r="A89" s="9" t="s">
        <v>175</v>
      </c>
      <c r="B89" s="29">
        <f t="shared" si="8"/>
        <v>25812318866.141388</v>
      </c>
      <c r="C89" s="4">
        <f>VLOOKUP(A89,  output_exiobase_v3.10.2_EXIO_IOT_2022_pxp_Y_imports_footprint_EU27[], 2, FALSE)</f>
        <v>201355049.38860995</v>
      </c>
      <c r="D89" s="4">
        <f>VLOOKUP(A89, output_exiobase_v3.10.2_EXIO_IOT_2022_pxp_Z_imports_footprint_EU27[], 2, FALSE)</f>
        <v>1460566072.2041254</v>
      </c>
      <c r="E89" s="4">
        <f>VLOOKUP(A89, output_exiobase_v3.10.2_EXIO_IOT_2022_pxp_Y_production_footprint_EU27[], 2, FALSE)</f>
        <v>3237214604.5273404</v>
      </c>
      <c r="F89" s="4">
        <f>VLOOKUP(A89, output_exiobase_v3.10.2_EXIO_IOT_2022_pxp_Z_production_footprint_EU27[], 2, FALSE)</f>
        <v>20913183140.021313</v>
      </c>
      <c r="G89" s="35">
        <f t="shared" si="9"/>
        <v>6.4384805185895774E-2</v>
      </c>
      <c r="H89" s="1">
        <f t="shared" si="10"/>
        <v>0.93561519481410427</v>
      </c>
    </row>
    <row r="90" spans="1:8" x14ac:dyDescent="0.3">
      <c r="A90" s="9" t="s">
        <v>153</v>
      </c>
      <c r="B90" s="29">
        <f t="shared" si="8"/>
        <v>24921043091.850883</v>
      </c>
      <c r="C90" s="4">
        <f>VLOOKUP(A90,  output_exiobase_v3.10.2_EXIO_IOT_2022_pxp_Y_imports_footprint_EU27[], 2, FALSE)</f>
        <v>1848137020.7774274</v>
      </c>
      <c r="D90" s="4">
        <f>VLOOKUP(A90, output_exiobase_v3.10.2_EXIO_IOT_2022_pxp_Z_imports_footprint_EU27[], 2, FALSE)</f>
        <v>1430477765.7230084</v>
      </c>
      <c r="E90" s="4">
        <f>VLOOKUP(A90, output_exiobase_v3.10.2_EXIO_IOT_2022_pxp_Y_production_footprint_EU27[], 2, FALSE)</f>
        <v>12740332019.338129</v>
      </c>
      <c r="F90" s="4">
        <f>VLOOKUP(A90, output_exiobase_v3.10.2_EXIO_IOT_2022_pxp_Z_production_footprint_EU27[], 2, FALSE)</f>
        <v>8902096286.0123158</v>
      </c>
      <c r="G90" s="35">
        <f t="shared" si="9"/>
        <v>0.13156009459220969</v>
      </c>
      <c r="H90" s="1">
        <f t="shared" si="10"/>
        <v>0.86843990540779026</v>
      </c>
    </row>
    <row r="91" spans="1:8" x14ac:dyDescent="0.3">
      <c r="A91" s="9" t="s">
        <v>35</v>
      </c>
      <c r="B91" s="29">
        <f t="shared" si="8"/>
        <v>21835574393.876968</v>
      </c>
      <c r="C91" s="4">
        <f>VLOOKUP(A91,  output_exiobase_v3.10.2_EXIO_IOT_2022_pxp_Y_imports_footprint_EU27[], 2, FALSE)</f>
        <v>6091061605.446332</v>
      </c>
      <c r="D91" s="4">
        <f>VLOOKUP(A91, output_exiobase_v3.10.2_EXIO_IOT_2022_pxp_Z_imports_footprint_EU27[], 2, FALSE)</f>
        <v>6924891005.9175739</v>
      </c>
      <c r="E91" s="4">
        <f>VLOOKUP(A91, output_exiobase_v3.10.2_EXIO_IOT_2022_pxp_Y_production_footprint_EU27[], 2, FALSE)</f>
        <v>1390728837.4002924</v>
      </c>
      <c r="F91" s="4">
        <f>VLOOKUP(A91, output_exiobase_v3.10.2_EXIO_IOT_2022_pxp_Z_production_footprint_EU27[], 2, FALSE)</f>
        <v>7428892945.112772</v>
      </c>
      <c r="G91" s="35">
        <f t="shared" si="9"/>
        <v>0.59608931629542017</v>
      </c>
      <c r="H91" s="1">
        <f t="shared" si="10"/>
        <v>0.40391068370457994</v>
      </c>
    </row>
    <row r="92" spans="1:8" x14ac:dyDescent="0.3">
      <c r="A92" s="9" t="s">
        <v>92</v>
      </c>
      <c r="B92" s="29">
        <f t="shared" si="8"/>
        <v>21365116691.241211</v>
      </c>
      <c r="C92" s="4">
        <f>VLOOKUP(A92,  output_exiobase_v3.10.2_EXIO_IOT_2022_pxp_Y_imports_footprint_EU27[], 2, FALSE)</f>
        <v>4950371971.937314</v>
      </c>
      <c r="D92" s="4">
        <f>VLOOKUP(A92, output_exiobase_v3.10.2_EXIO_IOT_2022_pxp_Z_imports_footprint_EU27[], 2, FALSE)</f>
        <v>485523276.98432702</v>
      </c>
      <c r="E92" s="4">
        <f>VLOOKUP(A92, output_exiobase_v3.10.2_EXIO_IOT_2022_pxp_Y_production_footprint_EU27[], 2, FALSE)</f>
        <v>10299929650.222281</v>
      </c>
      <c r="F92" s="4">
        <f>VLOOKUP(A92, output_exiobase_v3.10.2_EXIO_IOT_2022_pxp_Z_production_footprint_EU27[], 2, FALSE)</f>
        <v>5629291792.09729</v>
      </c>
      <c r="G92" s="35">
        <f t="shared" si="9"/>
        <v>0.25442853074376737</v>
      </c>
      <c r="H92" s="1">
        <f t="shared" si="10"/>
        <v>0.74557146925623274</v>
      </c>
    </row>
    <row r="93" spans="1:8" x14ac:dyDescent="0.3">
      <c r="A93" s="9" t="s">
        <v>143</v>
      </c>
      <c r="B93" s="29">
        <f t="shared" si="8"/>
        <v>21053162526.738281</v>
      </c>
      <c r="C93" s="4">
        <f>VLOOKUP(A93,  output_exiobase_v3.10.2_EXIO_IOT_2022_pxp_Y_imports_footprint_EU27[], 2, FALSE)</f>
        <v>335809000.62020051</v>
      </c>
      <c r="D93" s="4">
        <f>VLOOKUP(A93, output_exiobase_v3.10.2_EXIO_IOT_2022_pxp_Z_imports_footprint_EU27[], 2, FALSE)</f>
        <v>1006373836.0525618</v>
      </c>
      <c r="E93" s="4">
        <f>VLOOKUP(A93, output_exiobase_v3.10.2_EXIO_IOT_2022_pxp_Y_production_footprint_EU27[], 2, FALSE)</f>
        <v>4321174327.3393049</v>
      </c>
      <c r="F93" s="4">
        <f>VLOOKUP(A93, output_exiobase_v3.10.2_EXIO_IOT_2022_pxp_Z_production_footprint_EU27[], 2, FALSE)</f>
        <v>15389805362.726212</v>
      </c>
      <c r="G93" s="35">
        <f t="shared" si="9"/>
        <v>6.3752076913297054E-2</v>
      </c>
      <c r="H93" s="1">
        <f t="shared" si="10"/>
        <v>0.9362479230867029</v>
      </c>
    </row>
    <row r="94" spans="1:8" x14ac:dyDescent="0.3">
      <c r="A94" s="9" t="s">
        <v>140</v>
      </c>
      <c r="B94" s="29">
        <f t="shared" si="8"/>
        <v>20897375224.992199</v>
      </c>
      <c r="C94" s="4">
        <f>VLOOKUP(A94,  output_exiobase_v3.10.2_EXIO_IOT_2022_pxp_Y_imports_footprint_EU27[], 2, FALSE)</f>
        <v>798002558.37785327</v>
      </c>
      <c r="D94" s="4">
        <f>VLOOKUP(A94, output_exiobase_v3.10.2_EXIO_IOT_2022_pxp_Z_imports_footprint_EU27[], 2, FALSE)</f>
        <v>1573784993.6556242</v>
      </c>
      <c r="E94" s="4">
        <f>VLOOKUP(A94, output_exiobase_v3.10.2_EXIO_IOT_2022_pxp_Y_production_footprint_EU27[], 2, FALSE)</f>
        <v>4097053164.7000709</v>
      </c>
      <c r="F94" s="4">
        <f>VLOOKUP(A94, output_exiobase_v3.10.2_EXIO_IOT_2022_pxp_Z_production_footprint_EU27[], 2, FALSE)</f>
        <v>14428534508.258652</v>
      </c>
      <c r="G94" s="35">
        <f t="shared" si="9"/>
        <v>0.1134969117651168</v>
      </c>
      <c r="H94" s="1">
        <f t="shared" si="10"/>
        <v>0.88650308823488322</v>
      </c>
    </row>
    <row r="95" spans="1:8" x14ac:dyDescent="0.3">
      <c r="A95" s="9" t="s">
        <v>30</v>
      </c>
      <c r="B95" s="29">
        <f t="shared" si="8"/>
        <v>19724027867.232529</v>
      </c>
      <c r="C95" s="4">
        <f>VLOOKUP(A95,  output_exiobase_v3.10.2_EXIO_IOT_2022_pxp_Y_imports_footprint_EU27[], 2, FALSE)</f>
        <v>0</v>
      </c>
      <c r="D95" s="4">
        <f>VLOOKUP(A95, output_exiobase_v3.10.2_EXIO_IOT_2022_pxp_Z_imports_footprint_EU27[], 2, FALSE)</f>
        <v>0</v>
      </c>
      <c r="E95" s="4">
        <f>VLOOKUP(A95, output_exiobase_v3.10.2_EXIO_IOT_2022_pxp_Y_production_footprint_EU27[], 2, FALSE)</f>
        <v>10352784978.58374</v>
      </c>
      <c r="F95" s="4">
        <f>VLOOKUP(A95, output_exiobase_v3.10.2_EXIO_IOT_2022_pxp_Z_production_footprint_EU27[], 2, FALSE)</f>
        <v>9371242888.6487865</v>
      </c>
      <c r="G95" s="35">
        <f t="shared" si="9"/>
        <v>0</v>
      </c>
      <c r="H95" s="1">
        <f t="shared" si="10"/>
        <v>1</v>
      </c>
    </row>
    <row r="96" spans="1:8" x14ac:dyDescent="0.3">
      <c r="A96" s="9" t="s">
        <v>146</v>
      </c>
      <c r="B96" s="29">
        <f t="shared" si="8"/>
        <v>19663005747.966713</v>
      </c>
      <c r="C96" s="4">
        <f>VLOOKUP(A96,  output_exiobase_v3.10.2_EXIO_IOT_2022_pxp_Y_imports_footprint_EU27[], 2, FALSE)</f>
        <v>1112542408.1096597</v>
      </c>
      <c r="D96" s="4">
        <f>VLOOKUP(A96, output_exiobase_v3.10.2_EXIO_IOT_2022_pxp_Z_imports_footprint_EU27[], 2, FALSE)</f>
        <v>144168240.72091505</v>
      </c>
      <c r="E96" s="4">
        <f>VLOOKUP(A96, output_exiobase_v3.10.2_EXIO_IOT_2022_pxp_Y_production_footprint_EU27[], 2, FALSE)</f>
        <v>15950426378.489906</v>
      </c>
      <c r="F96" s="4">
        <f>VLOOKUP(A96, output_exiobase_v3.10.2_EXIO_IOT_2022_pxp_Z_production_footprint_EU27[], 2, FALSE)</f>
        <v>2455868720.6462326</v>
      </c>
      <c r="G96" s="35">
        <f t="shared" si="9"/>
        <v>6.3912438664700436E-2</v>
      </c>
      <c r="H96" s="1">
        <f t="shared" si="10"/>
        <v>0.93608756133529958</v>
      </c>
    </row>
    <row r="97" spans="1:9" x14ac:dyDescent="0.3">
      <c r="A97" s="9" t="s">
        <v>83</v>
      </c>
      <c r="B97" s="29">
        <f t="shared" si="8"/>
        <v>19311172247.182808</v>
      </c>
      <c r="C97" s="4">
        <f>VLOOKUP(A97,  output_exiobase_v3.10.2_EXIO_IOT_2022_pxp_Y_imports_footprint_EU27[], 2, FALSE)</f>
        <v>1547310734.6070592</v>
      </c>
      <c r="D97" s="4">
        <f>VLOOKUP(A97, output_exiobase_v3.10.2_EXIO_IOT_2022_pxp_Z_imports_footprint_EU27[], 2, FALSE)</f>
        <v>3262548830.2722912</v>
      </c>
      <c r="E97" s="4">
        <f>VLOOKUP(A97, output_exiobase_v3.10.2_EXIO_IOT_2022_pxp_Y_production_footprint_EU27[], 2, FALSE)</f>
        <v>2687809652.4469714</v>
      </c>
      <c r="F97" s="4">
        <f>VLOOKUP(A97, output_exiobase_v3.10.2_EXIO_IOT_2022_pxp_Z_production_footprint_EU27[], 2, FALSE)</f>
        <v>11813503029.856487</v>
      </c>
      <c r="G97" s="35">
        <f t="shared" si="9"/>
        <v>0.2490713408442117</v>
      </c>
      <c r="H97" s="1">
        <f t="shared" si="10"/>
        <v>0.75092865915578844</v>
      </c>
    </row>
    <row r="98" spans="1:9" x14ac:dyDescent="0.3">
      <c r="A98" s="9" t="s">
        <v>87</v>
      </c>
      <c r="B98" s="29">
        <f t="shared" si="8"/>
        <v>19128058160.507305</v>
      </c>
      <c r="C98" s="4">
        <f>VLOOKUP(A98,  output_exiobase_v3.10.2_EXIO_IOT_2022_pxp_Y_imports_footprint_EU27[], 2, FALSE)</f>
        <v>6184751256.9110947</v>
      </c>
      <c r="D98" s="4">
        <f>VLOOKUP(A98, output_exiobase_v3.10.2_EXIO_IOT_2022_pxp_Z_imports_footprint_EU27[], 2, FALSE)</f>
        <v>4798891900.2689724</v>
      </c>
      <c r="E98" s="4">
        <f>VLOOKUP(A98, output_exiobase_v3.10.2_EXIO_IOT_2022_pxp_Y_production_footprint_EU27[], 2, FALSE)</f>
        <v>4664373015.2977505</v>
      </c>
      <c r="F98" s="4">
        <f>VLOOKUP(A98, output_exiobase_v3.10.2_EXIO_IOT_2022_pxp_Z_production_footprint_EU27[], 2, FALSE)</f>
        <v>3480041988.0294867</v>
      </c>
      <c r="G98" s="35">
        <f t="shared" si="9"/>
        <v>0.57421631955602359</v>
      </c>
      <c r="H98" s="1">
        <f t="shared" si="10"/>
        <v>0.42578368044397641</v>
      </c>
    </row>
    <row r="99" spans="1:9" x14ac:dyDescent="0.3">
      <c r="A99" s="9" t="s">
        <v>27</v>
      </c>
      <c r="B99" s="29">
        <f t="shared" si="8"/>
        <v>18067944073.471046</v>
      </c>
      <c r="C99" s="4">
        <f>VLOOKUP(A99,  output_exiobase_v3.10.2_EXIO_IOT_2022_pxp_Y_imports_footprint_EU27[], 2, FALSE)</f>
        <v>128146458.39405517</v>
      </c>
      <c r="D99" s="4">
        <f>VLOOKUP(A99, output_exiobase_v3.10.2_EXIO_IOT_2022_pxp_Z_imports_footprint_EU27[], 2, FALSE)</f>
        <v>1532368903.8963635</v>
      </c>
      <c r="E99" s="4">
        <f>VLOOKUP(A99, output_exiobase_v3.10.2_EXIO_IOT_2022_pxp_Y_production_footprint_EU27[], 2, FALSE)</f>
        <v>278676848.41116405</v>
      </c>
      <c r="F99" s="4">
        <f>VLOOKUP(A99, output_exiobase_v3.10.2_EXIO_IOT_2022_pxp_Z_production_footprint_EU27[], 2, FALSE)</f>
        <v>16128751862.769463</v>
      </c>
      <c r="G99" s="35">
        <f t="shared" si="9"/>
        <v>9.190394632273266E-2</v>
      </c>
      <c r="H99" s="1">
        <f t="shared" si="10"/>
        <v>0.9080960536772672</v>
      </c>
    </row>
    <row r="100" spans="1:9" x14ac:dyDescent="0.3">
      <c r="A100" s="9" t="s">
        <v>58</v>
      </c>
      <c r="B100" s="29">
        <f t="shared" si="8"/>
        <v>17446547564.524776</v>
      </c>
      <c r="C100" s="4">
        <f>VLOOKUP(A100,  output_exiobase_v3.10.2_EXIO_IOT_2022_pxp_Y_imports_footprint_EU27[], 2, FALSE)</f>
        <v>3617664607.0459304</v>
      </c>
      <c r="D100" s="4">
        <f>VLOOKUP(A100, output_exiobase_v3.10.2_EXIO_IOT_2022_pxp_Z_imports_footprint_EU27[], 2, FALSE)</f>
        <v>1263609133.0552282</v>
      </c>
      <c r="E100" s="4">
        <f>VLOOKUP(A100, output_exiobase_v3.10.2_EXIO_IOT_2022_pxp_Y_production_footprint_EU27[], 2, FALSE)</f>
        <v>8401900170.7509737</v>
      </c>
      <c r="F100" s="4">
        <f>VLOOKUP(A100, output_exiobase_v3.10.2_EXIO_IOT_2022_pxp_Z_production_footprint_EU27[], 2, FALSE)</f>
        <v>4163373653.6726465</v>
      </c>
      <c r="G100" s="35">
        <f t="shared" si="9"/>
        <v>0.2797845087716137</v>
      </c>
      <c r="H100" s="1">
        <f t="shared" si="10"/>
        <v>0.72021549122838635</v>
      </c>
    </row>
    <row r="101" spans="1:9" x14ac:dyDescent="0.3">
      <c r="A101" s="9" t="s">
        <v>95</v>
      </c>
      <c r="B101" s="29">
        <f t="shared" si="8"/>
        <v>17214225788.925854</v>
      </c>
      <c r="C101" s="4">
        <f>VLOOKUP(A101,  output_exiobase_v3.10.2_EXIO_IOT_2022_pxp_Y_imports_footprint_EU27[], 2, FALSE)</f>
        <v>636165635.76289749</v>
      </c>
      <c r="D101" s="4">
        <f>VLOOKUP(A101, output_exiobase_v3.10.2_EXIO_IOT_2022_pxp_Z_imports_footprint_EU27[], 2, FALSE)</f>
        <v>411358088.17468506</v>
      </c>
      <c r="E101" s="4">
        <f>VLOOKUP(A101, output_exiobase_v3.10.2_EXIO_IOT_2022_pxp_Y_production_footprint_EU27[], 2, FALSE)</f>
        <v>12015023788.676826</v>
      </c>
      <c r="F101" s="4">
        <f>VLOOKUP(A101, output_exiobase_v3.10.2_EXIO_IOT_2022_pxp_Z_production_footprint_EU27[], 2, FALSE)</f>
        <v>4151678276.3114448</v>
      </c>
      <c r="G101" s="35">
        <f t="shared" si="9"/>
        <v>6.0852212395835353E-2</v>
      </c>
      <c r="H101" s="1">
        <f t="shared" si="10"/>
        <v>0.93914778760416462</v>
      </c>
    </row>
    <row r="102" spans="1:9" x14ac:dyDescent="0.3">
      <c r="A102" s="9" t="s">
        <v>64</v>
      </c>
      <c r="B102" s="29">
        <f t="shared" si="8"/>
        <v>16841562450.692087</v>
      </c>
      <c r="C102" s="4">
        <f>VLOOKUP(A102,  output_exiobase_v3.10.2_EXIO_IOT_2022_pxp_Y_imports_footprint_EU27[], 2, FALSE)</f>
        <v>826700.65256359102</v>
      </c>
      <c r="D102" s="4">
        <f>VLOOKUP(A102, output_exiobase_v3.10.2_EXIO_IOT_2022_pxp_Z_imports_footprint_EU27[], 2, FALSE)</f>
        <v>4952560.0108085098</v>
      </c>
      <c r="E102" s="4">
        <f>VLOOKUP(A102, output_exiobase_v3.10.2_EXIO_IOT_2022_pxp_Y_production_footprint_EU27[], 2, FALSE)</f>
        <v>5228422527.0128613</v>
      </c>
      <c r="F102" s="4">
        <f>VLOOKUP(A102, output_exiobase_v3.10.2_EXIO_IOT_2022_pxp_Z_production_footprint_EU27[], 2, FALSE)</f>
        <v>11607360663.015854</v>
      </c>
      <c r="G102" s="35">
        <f t="shared" si="9"/>
        <v>3.431546615875066E-4</v>
      </c>
      <c r="H102" s="1">
        <f t="shared" si="10"/>
        <v>0.99965684533841248</v>
      </c>
    </row>
    <row r="103" spans="1:9" x14ac:dyDescent="0.3">
      <c r="A103" s="9" t="s">
        <v>79</v>
      </c>
      <c r="B103" s="29">
        <f t="shared" si="8"/>
        <v>15265086138.269848</v>
      </c>
      <c r="C103" s="4">
        <f>VLOOKUP(A103,  output_exiobase_v3.10.2_EXIO_IOT_2022_pxp_Y_imports_footprint_EU27[], 2, FALSE)</f>
        <v>3777620.0915334998</v>
      </c>
      <c r="D103" s="4">
        <f>VLOOKUP(A103, output_exiobase_v3.10.2_EXIO_IOT_2022_pxp_Z_imports_footprint_EU27[], 2, FALSE)</f>
        <v>19043123.92186385</v>
      </c>
      <c r="E103" s="4">
        <f>VLOOKUP(A103, output_exiobase_v3.10.2_EXIO_IOT_2022_pxp_Y_production_footprint_EU27[], 2, FALSE)</f>
        <v>5396457074.25245</v>
      </c>
      <c r="F103" s="4">
        <f>VLOOKUP(A103, output_exiobase_v3.10.2_EXIO_IOT_2022_pxp_Z_production_footprint_EU27[], 2, FALSE)</f>
        <v>9845808320.0039997</v>
      </c>
      <c r="G103" s="35">
        <f t="shared" si="9"/>
        <v>1.4949633304842827E-3</v>
      </c>
      <c r="H103" s="1">
        <f t="shared" si="10"/>
        <v>0.99850503666951573</v>
      </c>
    </row>
    <row r="104" spans="1:9" x14ac:dyDescent="0.3">
      <c r="A104" s="9" t="s">
        <v>62</v>
      </c>
      <c r="B104" s="29">
        <f t="shared" si="8"/>
        <v>15120716828.264784</v>
      </c>
      <c r="C104" s="4">
        <f>VLOOKUP(A104,  output_exiobase_v3.10.2_EXIO_IOT_2022_pxp_Y_imports_footprint_EU27[], 2, FALSE)</f>
        <v>1698479.8231714421</v>
      </c>
      <c r="D104" s="4">
        <f>VLOOKUP(A104, output_exiobase_v3.10.2_EXIO_IOT_2022_pxp_Z_imports_footprint_EU27[], 2, FALSE)</f>
        <v>10229165.754890004</v>
      </c>
      <c r="E104" s="4">
        <f>VLOOKUP(A104, output_exiobase_v3.10.2_EXIO_IOT_2022_pxp_Y_production_footprint_EU27[], 2, FALSE)</f>
        <v>3798303572.6600385</v>
      </c>
      <c r="F104" s="4">
        <f>VLOOKUP(A104, output_exiobase_v3.10.2_EXIO_IOT_2022_pxp_Z_production_footprint_EU27[], 2, FALSE)</f>
        <v>11310485610.026684</v>
      </c>
      <c r="G104" s="35">
        <f t="shared" si="9"/>
        <v>7.8882805051711522E-4</v>
      </c>
      <c r="H104" s="1">
        <f t="shared" si="10"/>
        <v>0.99921117194948283</v>
      </c>
    </row>
    <row r="105" spans="1:9" x14ac:dyDescent="0.3">
      <c r="A105" s="9" t="s">
        <v>114</v>
      </c>
      <c r="B105" s="29">
        <f t="shared" si="8"/>
        <v>14916144997.43733</v>
      </c>
      <c r="C105" s="4">
        <f>VLOOKUP(A105,  output_exiobase_v3.10.2_EXIO_IOT_2022_pxp_Y_imports_footprint_EU27[], 2, FALSE)</f>
        <v>277254182.27210724</v>
      </c>
      <c r="D105" s="4">
        <f>VLOOKUP(A105, output_exiobase_v3.10.2_EXIO_IOT_2022_pxp_Z_imports_footprint_EU27[], 2, FALSE)</f>
        <v>6110715158.6703806</v>
      </c>
      <c r="E105" s="4">
        <f>VLOOKUP(A105, output_exiobase_v3.10.2_EXIO_IOT_2022_pxp_Y_production_footprint_EU27[], 2, FALSE)</f>
        <v>304582662.84893382</v>
      </c>
      <c r="F105" s="4">
        <f>VLOOKUP(A105, output_exiobase_v3.10.2_EXIO_IOT_2022_pxp_Z_production_footprint_EU27[], 2, FALSE)</f>
        <v>8223592993.6459084</v>
      </c>
      <c r="G105" s="35">
        <f t="shared" si="9"/>
        <v>0.42825873186671043</v>
      </c>
      <c r="H105" s="1">
        <f t="shared" si="10"/>
        <v>0.57174126813328963</v>
      </c>
    </row>
    <row r="106" spans="1:9" x14ac:dyDescent="0.3">
      <c r="A106" s="9" t="s">
        <v>99</v>
      </c>
      <c r="B106" s="29">
        <f t="shared" ref="B106:B137" si="11">SUM(C106:F106)</f>
        <v>14483071891.620399</v>
      </c>
      <c r="C106" s="4">
        <f>VLOOKUP(A106,  output_exiobase_v3.10.2_EXIO_IOT_2022_pxp_Y_imports_footprint_EU27[], 2, FALSE)</f>
        <v>281244085.53302604</v>
      </c>
      <c r="D106" s="4">
        <f>VLOOKUP(A106, output_exiobase_v3.10.2_EXIO_IOT_2022_pxp_Z_imports_footprint_EU27[], 2, FALSE)</f>
        <v>2448682767.6668234</v>
      </c>
      <c r="E106" s="4">
        <f>VLOOKUP(A106, output_exiobase_v3.10.2_EXIO_IOT_2022_pxp_Y_production_footprint_EU27[], 2, FALSE)</f>
        <v>403829983.33808362</v>
      </c>
      <c r="F106" s="4">
        <f>VLOOKUP(A106, output_exiobase_v3.10.2_EXIO_IOT_2022_pxp_Z_production_footprint_EU27[], 2, FALSE)</f>
        <v>11349315055.082466</v>
      </c>
      <c r="G106" s="35">
        <f t="shared" ref="G106:G128" si="12">(C106+D106)/B106</f>
        <v>0.18849087221470798</v>
      </c>
      <c r="H106" s="1">
        <f t="shared" ref="H106:H128" si="13">(E106+F106)/B106</f>
        <v>0.81150912778529194</v>
      </c>
    </row>
    <row r="107" spans="1:9" x14ac:dyDescent="0.3">
      <c r="A107" s="9" t="s">
        <v>12</v>
      </c>
      <c r="B107" s="29">
        <f t="shared" si="11"/>
        <v>14180237132.823448</v>
      </c>
      <c r="C107" s="4">
        <f>VLOOKUP(A107,  output_exiobase_v3.10.2_EXIO_IOT_2022_pxp_Y_imports_footprint_EU27[], 2, FALSE)</f>
        <v>1667701992.9777372</v>
      </c>
      <c r="D107" s="4">
        <f>VLOOKUP(A107, output_exiobase_v3.10.2_EXIO_IOT_2022_pxp_Z_imports_footprint_EU27[], 2, FALSE)</f>
        <v>2574486577.2790771</v>
      </c>
      <c r="E107" s="4">
        <f>VLOOKUP(A107, output_exiobase_v3.10.2_EXIO_IOT_2022_pxp_Y_production_footprint_EU27[], 2, FALSE)</f>
        <v>2531376208.1815968</v>
      </c>
      <c r="F107" s="4">
        <f>VLOOKUP(A107, output_exiobase_v3.10.2_EXIO_IOT_2022_pxp_Z_production_footprint_EU27[], 2, FALSE)</f>
        <v>7406672354.3850365</v>
      </c>
      <c r="G107" s="35">
        <f t="shared" si="12"/>
        <v>0.29916203308316225</v>
      </c>
      <c r="H107" s="1">
        <f t="shared" si="13"/>
        <v>0.70083796691683775</v>
      </c>
    </row>
    <row r="108" spans="1:9" x14ac:dyDescent="0.3">
      <c r="A108" s="9" t="s">
        <v>76</v>
      </c>
      <c r="B108" s="29">
        <f t="shared" si="11"/>
        <v>13725572010.118967</v>
      </c>
      <c r="C108" s="4">
        <f>VLOOKUP(A108,  output_exiobase_v3.10.2_EXIO_IOT_2022_pxp_Y_imports_footprint_EU27[], 2, FALSE)</f>
        <v>819566.14560472465</v>
      </c>
      <c r="D108" s="4">
        <f>VLOOKUP(A108, output_exiobase_v3.10.2_EXIO_IOT_2022_pxp_Z_imports_footprint_EU27[], 2, FALSE)</f>
        <v>5295767.1329218047</v>
      </c>
      <c r="E108" s="4">
        <f>VLOOKUP(A108, output_exiobase_v3.10.2_EXIO_IOT_2022_pxp_Y_production_footprint_EU27[], 2, FALSE)</f>
        <v>4468440868.2522125</v>
      </c>
      <c r="F108" s="4">
        <f>VLOOKUP(A108, output_exiobase_v3.10.2_EXIO_IOT_2022_pxp_Z_production_footprint_EU27[], 2, FALSE)</f>
        <v>9251015808.5882282</v>
      </c>
      <c r="G108" s="35">
        <f t="shared" si="12"/>
        <v>4.4554305452757046E-4</v>
      </c>
      <c r="H108" s="1">
        <f t="shared" si="13"/>
        <v>0.9995544569454724</v>
      </c>
    </row>
    <row r="109" spans="1:9" x14ac:dyDescent="0.3">
      <c r="A109" s="9" t="s">
        <v>65</v>
      </c>
      <c r="B109" s="29">
        <f t="shared" si="11"/>
        <v>13717110498.441925</v>
      </c>
      <c r="C109" s="4">
        <f>VLOOKUP(A109,  output_exiobase_v3.10.2_EXIO_IOT_2022_pxp_Y_imports_footprint_EU27[], 2, FALSE)</f>
        <v>464843.91322405735</v>
      </c>
      <c r="D109" s="4">
        <f>VLOOKUP(A109, output_exiobase_v3.10.2_EXIO_IOT_2022_pxp_Z_imports_footprint_EU27[], 2, FALSE)</f>
        <v>2580540.7768613771</v>
      </c>
      <c r="E109" s="4">
        <f>VLOOKUP(A109, output_exiobase_v3.10.2_EXIO_IOT_2022_pxp_Y_production_footprint_EU27[], 2, FALSE)</f>
        <v>4544126572.1432304</v>
      </c>
      <c r="F109" s="4">
        <f>VLOOKUP(A109, output_exiobase_v3.10.2_EXIO_IOT_2022_pxp_Z_production_footprint_EU27[], 2, FALSE)</f>
        <v>9169938541.6086082</v>
      </c>
      <c r="G109" s="35">
        <f t="shared" si="12"/>
        <v>2.2201357132986194E-4</v>
      </c>
      <c r="H109" s="1">
        <f t="shared" si="13"/>
        <v>0.99977798642867011</v>
      </c>
    </row>
    <row r="110" spans="1:9" x14ac:dyDescent="0.3">
      <c r="A110" s="9" t="s">
        <v>43</v>
      </c>
      <c r="B110" s="29">
        <f t="shared" si="11"/>
        <v>13418016832.622993</v>
      </c>
      <c r="C110" s="4">
        <f>VLOOKUP(A110,  output_exiobase_v3.10.2_EXIO_IOT_2022_pxp_Y_imports_footprint_EU27[], 2, FALSE)</f>
        <v>109537562.61572866</v>
      </c>
      <c r="D110" s="4">
        <f>VLOOKUP(A110, output_exiobase_v3.10.2_EXIO_IOT_2022_pxp_Z_imports_footprint_EU27[], 2, FALSE)</f>
        <v>377698713.72382194</v>
      </c>
      <c r="E110" s="4">
        <f>VLOOKUP(A110, output_exiobase_v3.10.2_EXIO_IOT_2022_pxp_Y_production_footprint_EU27[], 2, FALSE)</f>
        <v>2095188488.5342746</v>
      </c>
      <c r="F110" s="4">
        <f>VLOOKUP(A110, output_exiobase_v3.10.2_EXIO_IOT_2022_pxp_Z_production_footprint_EU27[], 2, FALSE)</f>
        <v>10835592067.749168</v>
      </c>
      <c r="G110" s="35">
        <f t="shared" si="12"/>
        <v>3.631209309224754E-2</v>
      </c>
      <c r="H110" s="1">
        <f t="shared" si="13"/>
        <v>0.96368790690775252</v>
      </c>
    </row>
    <row r="111" spans="1:9" x14ac:dyDescent="0.3">
      <c r="A111" s="9" t="s">
        <v>139</v>
      </c>
      <c r="B111" s="29">
        <f t="shared" si="11"/>
        <v>13131698390.356018</v>
      </c>
      <c r="C111" s="4">
        <f>VLOOKUP(A111,  output_exiobase_v3.10.2_EXIO_IOT_2022_pxp_Y_imports_footprint_EU27[], 2, FALSE)</f>
        <v>119117509.48467569</v>
      </c>
      <c r="D111" s="4">
        <f>VLOOKUP(A111, output_exiobase_v3.10.2_EXIO_IOT_2022_pxp_Z_imports_footprint_EU27[], 2, FALSE)</f>
        <v>930369446.90754306</v>
      </c>
      <c r="E111" s="4">
        <f>VLOOKUP(A111, output_exiobase_v3.10.2_EXIO_IOT_2022_pxp_Y_production_footprint_EU27[], 2, FALSE)</f>
        <v>1552255860.0315225</v>
      </c>
      <c r="F111" s="4">
        <f>VLOOKUP(A111, output_exiobase_v3.10.2_EXIO_IOT_2022_pxp_Z_production_footprint_EU27[], 2, FALSE)</f>
        <v>10529955573.932276</v>
      </c>
      <c r="G111" s="35">
        <f t="shared" si="12"/>
        <v>7.9920123444425659E-2</v>
      </c>
      <c r="H111" s="1">
        <f t="shared" si="13"/>
        <v>0.92007987655557433</v>
      </c>
    </row>
    <row r="112" spans="1:9" x14ac:dyDescent="0.3">
      <c r="A112" s="9" t="s">
        <v>93</v>
      </c>
      <c r="B112" s="29">
        <f t="shared" si="11"/>
        <v>13074982253.01709</v>
      </c>
      <c r="C112" s="4">
        <f>VLOOKUP(A112,  output_exiobase_v3.10.2_EXIO_IOT_2022_pxp_Y_imports_footprint_EU27[], 2, FALSE)</f>
        <v>4197461246.3244643</v>
      </c>
      <c r="D112" s="4">
        <f>VLOOKUP(A112, output_exiobase_v3.10.2_EXIO_IOT_2022_pxp_Z_imports_footprint_EU27[], 2, FALSE)</f>
        <v>356623428.92794091</v>
      </c>
      <c r="E112" s="4">
        <f>VLOOKUP(A112, output_exiobase_v3.10.2_EXIO_IOT_2022_pxp_Y_production_footprint_EU27[], 2, FALSE)</f>
        <v>5630359208.8780746</v>
      </c>
      <c r="F112" s="4">
        <f>VLOOKUP(A112, output_exiobase_v3.10.2_EXIO_IOT_2022_pxp_Z_production_footprint_EU27[], 2, FALSE)</f>
        <v>2890538368.88661</v>
      </c>
      <c r="G112" s="35">
        <f t="shared" si="12"/>
        <v>0.34830522803971969</v>
      </c>
      <c r="H112" s="1">
        <f t="shared" si="13"/>
        <v>0.65169477196028036</v>
      </c>
      <c r="I112" s="5"/>
    </row>
    <row r="113" spans="1:9" x14ac:dyDescent="0.3">
      <c r="A113" s="9" t="s">
        <v>178</v>
      </c>
      <c r="B113" s="29">
        <f t="shared" si="11"/>
        <v>12729534555.316179</v>
      </c>
      <c r="C113" s="4">
        <f>VLOOKUP(A113,  output_exiobase_v3.10.2_EXIO_IOT_2022_pxp_Y_imports_footprint_EU27[], 2, FALSE)</f>
        <v>3892362.3423561556</v>
      </c>
      <c r="D113" s="4">
        <f>VLOOKUP(A113, output_exiobase_v3.10.2_EXIO_IOT_2022_pxp_Z_imports_footprint_EU27[], 2, FALSE)</f>
        <v>43258481.534819126</v>
      </c>
      <c r="E113" s="4">
        <f>VLOOKUP(A113, output_exiobase_v3.10.2_EXIO_IOT_2022_pxp_Y_production_footprint_EU27[], 2, FALSE)</f>
        <v>1690441925.7649963</v>
      </c>
      <c r="F113" s="4">
        <f>VLOOKUP(A113, output_exiobase_v3.10.2_EXIO_IOT_2022_pxp_Z_production_footprint_EU27[], 2, FALSE)</f>
        <v>10991941785.674007</v>
      </c>
      <c r="G113" s="35">
        <f t="shared" si="12"/>
        <v>3.7040508961487424E-3</v>
      </c>
      <c r="H113" s="1">
        <f t="shared" si="13"/>
        <v>0.99629594910385122</v>
      </c>
      <c r="I113" s="5"/>
    </row>
    <row r="114" spans="1:9" x14ac:dyDescent="0.3">
      <c r="A114" s="9" t="s">
        <v>149</v>
      </c>
      <c r="B114" s="29">
        <f t="shared" si="11"/>
        <v>12056093592.189976</v>
      </c>
      <c r="C114" s="4">
        <f>VLOOKUP(A114,  output_exiobase_v3.10.2_EXIO_IOT_2022_pxp_Y_imports_footprint_EU27[], 2, FALSE)</f>
        <v>2241902977.2669964</v>
      </c>
      <c r="D114" s="4">
        <f>VLOOKUP(A114, output_exiobase_v3.10.2_EXIO_IOT_2022_pxp_Z_imports_footprint_EU27[], 2, FALSE)</f>
        <v>3423433713.3982143</v>
      </c>
      <c r="E114" s="4">
        <f>VLOOKUP(A114, output_exiobase_v3.10.2_EXIO_IOT_2022_pxp_Y_production_footprint_EU27[], 2, FALSE)</f>
        <v>1219914633.8266594</v>
      </c>
      <c r="F114" s="4">
        <f>VLOOKUP(A114, output_exiobase_v3.10.2_EXIO_IOT_2022_pxp_Z_production_footprint_EU27[], 2, FALSE)</f>
        <v>5170842267.6981058</v>
      </c>
      <c r="G114" s="35">
        <f t="shared" si="12"/>
        <v>0.46991479017177312</v>
      </c>
      <c r="H114" s="1">
        <f t="shared" si="13"/>
        <v>0.53008520982822693</v>
      </c>
      <c r="I114" s="5"/>
    </row>
    <row r="115" spans="1:9" x14ac:dyDescent="0.3">
      <c r="A115" s="9" t="s">
        <v>180</v>
      </c>
      <c r="B115" s="29">
        <f t="shared" si="11"/>
        <v>11918123049.420279</v>
      </c>
      <c r="C115" s="4">
        <f>VLOOKUP(A115,  output_exiobase_v3.10.2_EXIO_IOT_2022_pxp_Y_imports_footprint_EU27[], 2, FALSE)</f>
        <v>593319133.50267994</v>
      </c>
      <c r="D115" s="4">
        <f>VLOOKUP(A115, output_exiobase_v3.10.2_EXIO_IOT_2022_pxp_Z_imports_footprint_EU27[], 2, FALSE)</f>
        <v>486408632.7525081</v>
      </c>
      <c r="E115" s="4">
        <f>VLOOKUP(A115, output_exiobase_v3.10.2_EXIO_IOT_2022_pxp_Y_production_footprint_EU27[], 2, FALSE)</f>
        <v>4874214901.3497448</v>
      </c>
      <c r="F115" s="4">
        <f>VLOOKUP(A115, output_exiobase_v3.10.2_EXIO_IOT_2022_pxp_Z_production_footprint_EU27[], 2, FALSE)</f>
        <v>5964180381.8153458</v>
      </c>
      <c r="G115" s="35">
        <f t="shared" si="12"/>
        <v>9.0595453812478313E-2</v>
      </c>
      <c r="H115" s="1">
        <f t="shared" si="13"/>
        <v>0.90940454618752165</v>
      </c>
      <c r="I115" s="5"/>
    </row>
    <row r="116" spans="1:9" x14ac:dyDescent="0.3">
      <c r="A116" s="9" t="s">
        <v>94</v>
      </c>
      <c r="B116" s="29">
        <f t="shared" si="11"/>
        <v>11585132925.726477</v>
      </c>
      <c r="C116" s="4">
        <f>VLOOKUP(A116,  output_exiobase_v3.10.2_EXIO_IOT_2022_pxp_Y_imports_footprint_EU27[], 2, FALSE)</f>
        <v>1474382857.9343174</v>
      </c>
      <c r="D116" s="4">
        <f>VLOOKUP(A116, output_exiobase_v3.10.2_EXIO_IOT_2022_pxp_Z_imports_footprint_EU27[], 2, FALSE)</f>
        <v>6941775023.9489937</v>
      </c>
      <c r="E116" s="4">
        <f>VLOOKUP(A116, output_exiobase_v3.10.2_EXIO_IOT_2022_pxp_Y_production_footprint_EU27[], 2, FALSE)</f>
        <v>977710396.801965</v>
      </c>
      <c r="F116" s="4">
        <f>VLOOKUP(A116, output_exiobase_v3.10.2_EXIO_IOT_2022_pxp_Z_production_footprint_EU27[], 2, FALSE)</f>
        <v>2191264647.0412006</v>
      </c>
      <c r="G116" s="35">
        <f t="shared" si="12"/>
        <v>0.72646191768710788</v>
      </c>
      <c r="H116" s="1">
        <f t="shared" si="13"/>
        <v>0.27353808231289212</v>
      </c>
      <c r="I116" s="5"/>
    </row>
    <row r="117" spans="1:9" x14ac:dyDescent="0.3">
      <c r="A117" s="9" t="s">
        <v>18</v>
      </c>
      <c r="B117" s="29">
        <f t="shared" si="11"/>
        <v>11120294991.465588</v>
      </c>
      <c r="C117" s="4">
        <f>VLOOKUP(A117,  output_exiobase_v3.10.2_EXIO_IOT_2022_pxp_Y_imports_footprint_EU27[], 2, FALSE)</f>
        <v>9263217.4050513785</v>
      </c>
      <c r="D117" s="4">
        <f>VLOOKUP(A117, output_exiobase_v3.10.2_EXIO_IOT_2022_pxp_Z_imports_footprint_EU27[], 2, FALSE)</f>
        <v>287572220.74352264</v>
      </c>
      <c r="E117" s="4">
        <f>VLOOKUP(A117, output_exiobase_v3.10.2_EXIO_IOT_2022_pxp_Y_production_footprint_EU27[], 2, FALSE)</f>
        <v>563836124.93633866</v>
      </c>
      <c r="F117" s="4">
        <f>VLOOKUP(A117, output_exiobase_v3.10.2_EXIO_IOT_2022_pxp_Z_production_footprint_EU27[], 2, FALSE)</f>
        <v>10259623428.380674</v>
      </c>
      <c r="G117" s="35">
        <f t="shared" si="12"/>
        <v>2.6693126250372328E-2</v>
      </c>
      <c r="H117" s="1">
        <f t="shared" si="13"/>
        <v>0.97330687374962754</v>
      </c>
      <c r="I117" s="5"/>
    </row>
    <row r="118" spans="1:9" x14ac:dyDescent="0.3">
      <c r="A118" s="9" t="s">
        <v>126</v>
      </c>
      <c r="B118" s="29">
        <f t="shared" si="11"/>
        <v>10613129836.295719</v>
      </c>
      <c r="C118" s="4">
        <f>VLOOKUP(A118,  output_exiobase_v3.10.2_EXIO_IOT_2022_pxp_Y_imports_footprint_EU27[], 2, FALSE)</f>
        <v>1445868.2858396287</v>
      </c>
      <c r="D118" s="4">
        <f>VLOOKUP(A118, output_exiobase_v3.10.2_EXIO_IOT_2022_pxp_Z_imports_footprint_EU27[], 2, FALSE)</f>
        <v>13881911.917475425</v>
      </c>
      <c r="E118" s="4">
        <f>VLOOKUP(A118, output_exiobase_v3.10.2_EXIO_IOT_2022_pxp_Y_production_footprint_EU27[], 2, FALSE)</f>
        <v>2668033091.2545786</v>
      </c>
      <c r="F118" s="4">
        <f>VLOOKUP(A118, output_exiobase_v3.10.2_EXIO_IOT_2022_pxp_Z_production_footprint_EU27[], 2, FALSE)</f>
        <v>7929768964.8378248</v>
      </c>
      <c r="G118" s="35">
        <f t="shared" si="12"/>
        <v>1.4442280872599669E-3</v>
      </c>
      <c r="H118" s="1">
        <f t="shared" si="13"/>
        <v>0.99855577191273992</v>
      </c>
      <c r="I118" s="5"/>
    </row>
    <row r="119" spans="1:9" x14ac:dyDescent="0.3">
      <c r="A119" s="9" t="s">
        <v>107</v>
      </c>
      <c r="B119" s="29">
        <f t="shared" si="11"/>
        <v>10481718941.948019</v>
      </c>
      <c r="C119" s="4">
        <f>VLOOKUP(A119,  output_exiobase_v3.10.2_EXIO_IOT_2022_pxp_Y_imports_footprint_EU27[], 2, FALSE)</f>
        <v>754948.64096463425</v>
      </c>
      <c r="D119" s="4">
        <f>VLOOKUP(A119, output_exiobase_v3.10.2_EXIO_IOT_2022_pxp_Z_imports_footprint_EU27[], 2, FALSE)</f>
        <v>4036783.2712166295</v>
      </c>
      <c r="E119" s="4">
        <f>VLOOKUP(A119, output_exiobase_v3.10.2_EXIO_IOT_2022_pxp_Y_production_footprint_EU27[], 2, FALSE)</f>
        <v>2946311255.4475489</v>
      </c>
      <c r="F119" s="4">
        <f>VLOOKUP(A119, output_exiobase_v3.10.2_EXIO_IOT_2022_pxp_Z_production_footprint_EU27[], 2, FALSE)</f>
        <v>7530615954.5882883</v>
      </c>
      <c r="G119" s="35">
        <f t="shared" si="12"/>
        <v>4.5715134499596917E-4</v>
      </c>
      <c r="H119" s="1">
        <f t="shared" si="13"/>
        <v>0.99954284865500398</v>
      </c>
      <c r="I119" s="5"/>
    </row>
    <row r="120" spans="1:9" x14ac:dyDescent="0.3">
      <c r="A120" s="9" t="s">
        <v>133</v>
      </c>
      <c r="B120" s="29">
        <f t="shared" si="11"/>
        <v>9780360499.1587105</v>
      </c>
      <c r="C120" s="4">
        <f>VLOOKUP(A120,  output_exiobase_v3.10.2_EXIO_IOT_2022_pxp_Y_imports_footprint_EU27[], 2, FALSE)</f>
        <v>423704.61775252776</v>
      </c>
      <c r="D120" s="4">
        <f>VLOOKUP(A120, output_exiobase_v3.10.2_EXIO_IOT_2022_pxp_Z_imports_footprint_EU27[], 2, FALSE)</f>
        <v>4118447.149048062</v>
      </c>
      <c r="E120" s="4">
        <f>VLOOKUP(A120, output_exiobase_v3.10.2_EXIO_IOT_2022_pxp_Y_production_footprint_EU27[], 2, FALSE)</f>
        <v>2523842040.4261889</v>
      </c>
      <c r="F120" s="4">
        <f>VLOOKUP(A120, output_exiobase_v3.10.2_EXIO_IOT_2022_pxp_Z_production_footprint_EU27[], 2, FALSE)</f>
        <v>7251976306.9657211</v>
      </c>
      <c r="G120" s="35">
        <f t="shared" si="12"/>
        <v>4.6441557723677957E-4</v>
      </c>
      <c r="H120" s="1">
        <f t="shared" si="13"/>
        <v>0.99953558442276325</v>
      </c>
      <c r="I120" s="5"/>
    </row>
    <row r="121" spans="1:9" x14ac:dyDescent="0.3">
      <c r="A121" s="9" t="s">
        <v>63</v>
      </c>
      <c r="B121" s="29">
        <f t="shared" si="11"/>
        <v>9540161385.2274075</v>
      </c>
      <c r="C121" s="4">
        <f>VLOOKUP(A121,  output_exiobase_v3.10.2_EXIO_IOT_2022_pxp_Y_imports_footprint_EU27[], 2, FALSE)</f>
        <v>1212658.3722178556</v>
      </c>
      <c r="D121" s="4">
        <f>VLOOKUP(A121, output_exiobase_v3.10.2_EXIO_IOT_2022_pxp_Z_imports_footprint_EU27[], 2, FALSE)</f>
        <v>11600263.932136824</v>
      </c>
      <c r="E121" s="4">
        <f>VLOOKUP(A121, output_exiobase_v3.10.2_EXIO_IOT_2022_pxp_Y_production_footprint_EU27[], 2, FALSE)</f>
        <v>2321071867.2265906</v>
      </c>
      <c r="F121" s="4">
        <f>VLOOKUP(A121, output_exiobase_v3.10.2_EXIO_IOT_2022_pxp_Z_production_footprint_EU27[], 2, FALSE)</f>
        <v>7206276595.6964626</v>
      </c>
      <c r="G121" s="35">
        <f t="shared" si="12"/>
        <v>1.3430508968323141E-3</v>
      </c>
      <c r="H121" s="1">
        <f t="shared" si="13"/>
        <v>0.99865694910316782</v>
      </c>
      <c r="I121" s="5"/>
    </row>
    <row r="122" spans="1:9" x14ac:dyDescent="0.3">
      <c r="A122" s="9" t="s">
        <v>104</v>
      </c>
      <c r="B122" s="29">
        <f t="shared" si="11"/>
        <v>9243479406.9122295</v>
      </c>
      <c r="C122" s="4">
        <f>VLOOKUP(A122,  output_exiobase_v3.10.2_EXIO_IOT_2022_pxp_Y_imports_footprint_EU27[], 2, FALSE)</f>
        <v>22823309.570650835</v>
      </c>
      <c r="D122" s="4">
        <f>VLOOKUP(A122, output_exiobase_v3.10.2_EXIO_IOT_2022_pxp_Z_imports_footprint_EU27[], 2, FALSE)</f>
        <v>6423720.0747071728</v>
      </c>
      <c r="E122" s="4">
        <f>VLOOKUP(A122, output_exiobase_v3.10.2_EXIO_IOT_2022_pxp_Y_production_footprint_EU27[], 2, FALSE)</f>
        <v>8537886493.6716261</v>
      </c>
      <c r="F122" s="4">
        <f>VLOOKUP(A122, output_exiobase_v3.10.2_EXIO_IOT_2022_pxp_Z_production_footprint_EU27[], 2, FALSE)</f>
        <v>676345883.595245</v>
      </c>
      <c r="G122" s="35">
        <f t="shared" si="12"/>
        <v>3.1640714884361857E-3</v>
      </c>
      <c r="H122" s="1">
        <f t="shared" si="13"/>
        <v>0.99683592851156366</v>
      </c>
      <c r="I122" s="5"/>
    </row>
    <row r="123" spans="1:9" x14ac:dyDescent="0.3">
      <c r="A123" s="9" t="s">
        <v>176</v>
      </c>
      <c r="B123" s="29">
        <f t="shared" si="11"/>
        <v>9087891840.1151161</v>
      </c>
      <c r="C123" s="4">
        <f>VLOOKUP(A123,  output_exiobase_v3.10.2_EXIO_IOT_2022_pxp_Y_imports_footprint_EU27[], 2, FALSE)</f>
        <v>340620.07262268703</v>
      </c>
      <c r="D123" s="4">
        <f>VLOOKUP(A123, output_exiobase_v3.10.2_EXIO_IOT_2022_pxp_Z_imports_footprint_EU27[], 2, FALSE)</f>
        <v>2066942.3724629015</v>
      </c>
      <c r="E123" s="4">
        <f>VLOOKUP(A123, output_exiobase_v3.10.2_EXIO_IOT_2022_pxp_Y_production_footprint_EU27[], 2, FALSE)</f>
        <v>2283960389.7709513</v>
      </c>
      <c r="F123" s="4">
        <f>VLOOKUP(A123, output_exiobase_v3.10.2_EXIO_IOT_2022_pxp_Z_production_footprint_EU27[], 2, FALSE)</f>
        <v>6801523887.8990784</v>
      </c>
      <c r="G123" s="35">
        <f t="shared" si="12"/>
        <v>2.6491979520027956E-4</v>
      </c>
      <c r="H123" s="1">
        <f t="shared" si="13"/>
        <v>0.99973508020479951</v>
      </c>
      <c r="I123" s="5"/>
    </row>
    <row r="124" spans="1:9" x14ac:dyDescent="0.3">
      <c r="A124" s="9" t="s">
        <v>181</v>
      </c>
      <c r="B124" s="29">
        <f t="shared" si="11"/>
        <v>8423654033.1275043</v>
      </c>
      <c r="C124" s="4">
        <f>VLOOKUP(A124,  output_exiobase_v3.10.2_EXIO_IOT_2022_pxp_Y_imports_footprint_EU27[], 2, FALSE)</f>
        <v>406358.47620078269</v>
      </c>
      <c r="D124" s="4">
        <f>VLOOKUP(A124, output_exiobase_v3.10.2_EXIO_IOT_2022_pxp_Z_imports_footprint_EU27[], 2, FALSE)</f>
        <v>2155473.4387930678</v>
      </c>
      <c r="E124" s="4">
        <f>VLOOKUP(A124, output_exiobase_v3.10.2_EXIO_IOT_2022_pxp_Y_production_footprint_EU27[], 2, FALSE)</f>
        <v>1708456770.1997988</v>
      </c>
      <c r="F124" s="4">
        <f>VLOOKUP(A124, output_exiobase_v3.10.2_EXIO_IOT_2022_pxp_Z_production_footprint_EU27[], 2, FALSE)</f>
        <v>6712635431.0127115</v>
      </c>
      <c r="G124" s="35">
        <f t="shared" si="12"/>
        <v>3.0412359113028562E-4</v>
      </c>
      <c r="H124" s="1">
        <f t="shared" si="13"/>
        <v>0.9996958764088697</v>
      </c>
      <c r="I124" s="5"/>
    </row>
    <row r="125" spans="1:9" x14ac:dyDescent="0.3">
      <c r="A125" s="9" t="s">
        <v>124</v>
      </c>
      <c r="B125" s="29">
        <f t="shared" si="11"/>
        <v>7894747703.7676888</v>
      </c>
      <c r="C125" s="4">
        <f>VLOOKUP(A125,  output_exiobase_v3.10.2_EXIO_IOT_2022_pxp_Y_imports_footprint_EU27[], 2, FALSE)</f>
        <v>489430.02338767704</v>
      </c>
      <c r="D125" s="4">
        <f>VLOOKUP(A125, output_exiobase_v3.10.2_EXIO_IOT_2022_pxp_Z_imports_footprint_EU27[], 2, FALSE)</f>
        <v>2737910.0441097524</v>
      </c>
      <c r="E125" s="4">
        <f>VLOOKUP(A125, output_exiobase_v3.10.2_EXIO_IOT_2022_pxp_Y_production_footprint_EU27[], 2, FALSE)</f>
        <v>2055283048.5440757</v>
      </c>
      <c r="F125" s="4">
        <f>VLOOKUP(A125, output_exiobase_v3.10.2_EXIO_IOT_2022_pxp_Z_production_footprint_EU27[], 2, FALSE)</f>
        <v>5836237315.1561155</v>
      </c>
      <c r="G125" s="35">
        <f t="shared" si="12"/>
        <v>4.0879584612402674E-4</v>
      </c>
      <c r="H125" s="1">
        <f t="shared" si="13"/>
        <v>0.99959120415387603</v>
      </c>
      <c r="I125" s="5"/>
    </row>
    <row r="126" spans="1:9" x14ac:dyDescent="0.3">
      <c r="A126" s="9" t="s">
        <v>47</v>
      </c>
      <c r="B126" s="29">
        <f t="shared" si="11"/>
        <v>7644566601.9395294</v>
      </c>
      <c r="C126" s="4">
        <f>VLOOKUP(A126,  output_exiobase_v3.10.2_EXIO_IOT_2022_pxp_Y_imports_footprint_EU27[], 2, FALSE)</f>
        <v>136995763.40672973</v>
      </c>
      <c r="D126" s="4">
        <f>VLOOKUP(A126, output_exiobase_v3.10.2_EXIO_IOT_2022_pxp_Z_imports_footprint_EU27[], 2, FALSE)</f>
        <v>557539790.73103678</v>
      </c>
      <c r="E126" s="4">
        <f>VLOOKUP(A126, output_exiobase_v3.10.2_EXIO_IOT_2022_pxp_Y_production_footprint_EU27[], 2, FALSE)</f>
        <v>1513719056.2379487</v>
      </c>
      <c r="F126" s="4">
        <f>VLOOKUP(A126, output_exiobase_v3.10.2_EXIO_IOT_2022_pxp_Z_production_footprint_EU27[], 2, FALSE)</f>
        <v>5436311991.5638142</v>
      </c>
      <c r="G126" s="35">
        <f t="shared" si="12"/>
        <v>9.0853489844872751E-2</v>
      </c>
      <c r="H126" s="1">
        <f t="shared" si="13"/>
        <v>0.90914651015512715</v>
      </c>
      <c r="I126" s="5"/>
    </row>
    <row r="127" spans="1:9" x14ac:dyDescent="0.3">
      <c r="A127" s="9" t="s">
        <v>141</v>
      </c>
      <c r="B127" s="29">
        <f t="shared" si="11"/>
        <v>7537179458.0108376</v>
      </c>
      <c r="C127" s="4">
        <f>VLOOKUP(A127,  output_exiobase_v3.10.2_EXIO_IOT_2022_pxp_Y_imports_footprint_EU27[], 2, FALSE)</f>
        <v>4854935746.6788845</v>
      </c>
      <c r="D127" s="4">
        <f>VLOOKUP(A127, output_exiobase_v3.10.2_EXIO_IOT_2022_pxp_Z_imports_footprint_EU27[], 2, FALSE)</f>
        <v>2161620672.5789557</v>
      </c>
      <c r="E127" s="4">
        <f>VLOOKUP(A127, output_exiobase_v3.10.2_EXIO_IOT_2022_pxp_Y_production_footprint_EU27[], 2, FALSE)</f>
        <v>252079509.3032068</v>
      </c>
      <c r="F127" s="4">
        <f>VLOOKUP(A127, output_exiobase_v3.10.2_EXIO_IOT_2022_pxp_Z_production_footprint_EU27[], 2, FALSE)</f>
        <v>268543529.44979066</v>
      </c>
      <c r="G127" s="35">
        <f t="shared" si="12"/>
        <v>0.93092601262138497</v>
      </c>
      <c r="H127" s="1">
        <f t="shared" si="13"/>
        <v>6.9073987378615087E-2</v>
      </c>
      <c r="I127" s="5"/>
    </row>
    <row r="128" spans="1:9" x14ac:dyDescent="0.3">
      <c r="A128" s="9" t="s">
        <v>46</v>
      </c>
      <c r="B128" s="29">
        <f t="shared" si="11"/>
        <v>7386446190.6565323</v>
      </c>
      <c r="C128" s="4">
        <f>VLOOKUP(A128,  output_exiobase_v3.10.2_EXIO_IOT_2022_pxp_Y_imports_footprint_EU27[], 2, FALSE)</f>
        <v>97371356.654500365</v>
      </c>
      <c r="D128" s="4">
        <f>VLOOKUP(A128, output_exiobase_v3.10.2_EXIO_IOT_2022_pxp_Z_imports_footprint_EU27[], 2, FALSE)</f>
        <v>417212427.49612391</v>
      </c>
      <c r="E128" s="4">
        <f>VLOOKUP(A128, output_exiobase_v3.10.2_EXIO_IOT_2022_pxp_Y_production_footprint_EU27[], 2, FALSE)</f>
        <v>1245565613.7544112</v>
      </c>
      <c r="F128" s="4">
        <f>VLOOKUP(A128, output_exiobase_v3.10.2_EXIO_IOT_2022_pxp_Z_production_footprint_EU27[], 2, FALSE)</f>
        <v>5626296792.7514973</v>
      </c>
      <c r="G128" s="35">
        <f t="shared" si="12"/>
        <v>6.9665949073256073E-2</v>
      </c>
      <c r="H128" s="1">
        <f t="shared" si="13"/>
        <v>0.93033405092674404</v>
      </c>
      <c r="I128" s="5"/>
    </row>
    <row r="129" spans="1:9" x14ac:dyDescent="0.3">
      <c r="A129" s="9" t="s">
        <v>173</v>
      </c>
      <c r="B129" s="29">
        <f t="shared" si="11"/>
        <v>7125379464.3746872</v>
      </c>
      <c r="C129" s="4">
        <f>VLOOKUP(A129,  output_exiobase_v3.10.2_EXIO_IOT_2022_pxp_Y_imports_footprint_EU27[], 2, FALSE)</f>
        <v>0</v>
      </c>
      <c r="D129" s="4">
        <f>VLOOKUP(A129, output_exiobase_v3.10.2_EXIO_IOT_2022_pxp_Z_imports_footprint_EU27[], 2, FALSE)</f>
        <v>0</v>
      </c>
      <c r="E129" s="4">
        <f>VLOOKUP(A129, output_exiobase_v3.10.2_EXIO_IOT_2022_pxp_Y_production_footprint_EU27[], 2, FALSE)</f>
        <v>224015046.55660829</v>
      </c>
      <c r="F129" s="4">
        <f>VLOOKUP(A129, output_exiobase_v3.10.2_EXIO_IOT_2022_pxp_Z_production_footprint_EU27[], 2, FALSE)</f>
        <v>6901364417.818079</v>
      </c>
      <c r="I129" s="5"/>
    </row>
    <row r="130" spans="1:9" x14ac:dyDescent="0.3">
      <c r="A130" s="9" t="s">
        <v>77</v>
      </c>
      <c r="B130" s="29">
        <f t="shared" si="11"/>
        <v>6861069651.4016571</v>
      </c>
      <c r="C130" s="4">
        <f>VLOOKUP(A130,  output_exiobase_v3.10.2_EXIO_IOT_2022_pxp_Y_imports_footprint_EU27[], 2, FALSE)</f>
        <v>284714192.6354351</v>
      </c>
      <c r="D130" s="4">
        <f>VLOOKUP(A130, output_exiobase_v3.10.2_EXIO_IOT_2022_pxp_Z_imports_footprint_EU27[], 2, FALSE)</f>
        <v>574827226.97303843</v>
      </c>
      <c r="E130" s="4">
        <f>VLOOKUP(A130, output_exiobase_v3.10.2_EXIO_IOT_2022_pxp_Y_production_footprint_EU27[], 2, FALSE)</f>
        <v>2912706483.5216122</v>
      </c>
      <c r="F130" s="4">
        <f>VLOOKUP(A130, output_exiobase_v3.10.2_EXIO_IOT_2022_pxp_Z_production_footprint_EU27[], 2, FALSE)</f>
        <v>3088821748.2715707</v>
      </c>
      <c r="G130" s="35">
        <f>(C130+D130)/B130</f>
        <v>0.12527804894574662</v>
      </c>
      <c r="H130" s="1">
        <f>(E130+F130)/B130</f>
        <v>0.87472195105425321</v>
      </c>
      <c r="I130" s="5"/>
    </row>
    <row r="131" spans="1:9" x14ac:dyDescent="0.3">
      <c r="A131" s="9" t="s">
        <v>186</v>
      </c>
      <c r="B131" s="29">
        <f t="shared" si="11"/>
        <v>6691176071.5883865</v>
      </c>
      <c r="C131" s="4">
        <f>VLOOKUP(A131,  output_exiobase_v3.10.2_EXIO_IOT_2022_pxp_Y_imports_footprint_EU27[], 2, FALSE)</f>
        <v>566787156.04954457</v>
      </c>
      <c r="D131" s="4">
        <f>VLOOKUP(A131, output_exiobase_v3.10.2_EXIO_IOT_2022_pxp_Z_imports_footprint_EU27[], 2, FALSE)</f>
        <v>96155124.521923229</v>
      </c>
      <c r="E131" s="4">
        <f>VLOOKUP(A131, output_exiobase_v3.10.2_EXIO_IOT_2022_pxp_Y_production_footprint_EU27[], 2, FALSE)</f>
        <v>4842564514.7208567</v>
      </c>
      <c r="F131" s="4">
        <f>VLOOKUP(A131, output_exiobase_v3.10.2_EXIO_IOT_2022_pxp_Z_production_footprint_EU27[], 2, FALSE)</f>
        <v>1185669276.2960629</v>
      </c>
      <c r="G131" s="35">
        <f>(C131+D131)/B131</f>
        <v>9.907709399344726E-2</v>
      </c>
      <c r="H131" s="1">
        <f>(E131+F131)/B131</f>
        <v>0.90092290600655289</v>
      </c>
      <c r="I131" s="5"/>
    </row>
    <row r="132" spans="1:9" x14ac:dyDescent="0.3">
      <c r="A132" s="9" t="s">
        <v>24</v>
      </c>
      <c r="B132" s="29">
        <f t="shared" si="11"/>
        <v>6570713326.4826841</v>
      </c>
      <c r="C132" s="4">
        <f>VLOOKUP(A132,  output_exiobase_v3.10.2_EXIO_IOT_2022_pxp_Y_imports_footprint_EU27[], 2, FALSE)</f>
        <v>59934303.962586738</v>
      </c>
      <c r="D132" s="4">
        <f>VLOOKUP(A132, output_exiobase_v3.10.2_EXIO_IOT_2022_pxp_Z_imports_footprint_EU27[], 2, FALSE)</f>
        <v>623583159.12094998</v>
      </c>
      <c r="E132" s="4">
        <f>VLOOKUP(A132, output_exiobase_v3.10.2_EXIO_IOT_2022_pxp_Y_production_footprint_EU27[], 2, FALSE)</f>
        <v>396637922.37112558</v>
      </c>
      <c r="F132" s="4">
        <f>VLOOKUP(A132, output_exiobase_v3.10.2_EXIO_IOT_2022_pxp_Z_production_footprint_EU27[], 2, FALSE)</f>
        <v>5490557941.0280218</v>
      </c>
      <c r="G132" s="35">
        <f>(C132+D132)/B132</f>
        <v>0.1040248492243117</v>
      </c>
      <c r="H132" s="1">
        <f>(E132+F132)/B132</f>
        <v>0.89597515077568823</v>
      </c>
    </row>
    <row r="133" spans="1:9" x14ac:dyDescent="0.3">
      <c r="A133" s="9" t="s">
        <v>102</v>
      </c>
      <c r="B133" s="29">
        <f t="shared" si="11"/>
        <v>6436182410.2631893</v>
      </c>
      <c r="C133" s="4">
        <f>VLOOKUP(A133,  output_exiobase_v3.10.2_EXIO_IOT_2022_pxp_Y_imports_footprint_EU27[], 2, FALSE)</f>
        <v>22932.489436606538</v>
      </c>
      <c r="D133" s="4">
        <f>VLOOKUP(A133, output_exiobase_v3.10.2_EXIO_IOT_2022_pxp_Z_imports_footprint_EU27[], 2, FALSE)</f>
        <v>2497501.2282619597</v>
      </c>
      <c r="E133" s="4">
        <f>VLOOKUP(A133, output_exiobase_v3.10.2_EXIO_IOT_2022_pxp_Y_production_footprint_EU27[], 2, FALSE)</f>
        <v>4785702079.9474182</v>
      </c>
      <c r="F133" s="4">
        <f>VLOOKUP(A133, output_exiobase_v3.10.2_EXIO_IOT_2022_pxp_Z_production_footprint_EU27[], 2, FALSE)</f>
        <v>1647959896.5980735</v>
      </c>
    </row>
    <row r="134" spans="1:9" x14ac:dyDescent="0.3">
      <c r="A134" s="9" t="s">
        <v>100</v>
      </c>
      <c r="B134" s="29">
        <f t="shared" si="11"/>
        <v>6400562946.5246544</v>
      </c>
      <c r="C134" s="4">
        <f>VLOOKUP(A134,  output_exiobase_v3.10.2_EXIO_IOT_2022_pxp_Y_imports_footprint_EU27[], 2, FALSE)</f>
        <v>1911853785.0184999</v>
      </c>
      <c r="D134" s="4">
        <f>VLOOKUP(A134, output_exiobase_v3.10.2_EXIO_IOT_2022_pxp_Z_imports_footprint_EU27[], 2, FALSE)</f>
        <v>4121411301.6346431</v>
      </c>
      <c r="E134" s="4">
        <f>VLOOKUP(A134, output_exiobase_v3.10.2_EXIO_IOT_2022_pxp_Y_production_footprint_EU27[], 2, FALSE)</f>
        <v>15028259.53789991</v>
      </c>
      <c r="F134" s="4">
        <f>VLOOKUP(A134, output_exiobase_v3.10.2_EXIO_IOT_2022_pxp_Z_production_footprint_EU27[], 2, FALSE)</f>
        <v>352269600.33361137</v>
      </c>
      <c r="G134" s="35">
        <f t="shared" ref="G134:G177" si="14">(C134+D134)/B134</f>
        <v>0.94261475702368569</v>
      </c>
      <c r="H134" s="1">
        <f t="shared" ref="H134:H177" si="15">(E134+F134)/B134</f>
        <v>5.7385242976314269E-2</v>
      </c>
    </row>
    <row r="135" spans="1:9" x14ac:dyDescent="0.3">
      <c r="A135" s="9" t="s">
        <v>5</v>
      </c>
      <c r="B135" s="29">
        <f t="shared" si="11"/>
        <v>6190170587.0401745</v>
      </c>
      <c r="C135" s="4">
        <f>VLOOKUP(A135,  output_exiobase_v3.10.2_EXIO_IOT_2022_pxp_Y_imports_footprint_EU27[], 2, FALSE)</f>
        <v>1375599825.6439631</v>
      </c>
      <c r="D135" s="4">
        <f>VLOOKUP(A135, output_exiobase_v3.10.2_EXIO_IOT_2022_pxp_Z_imports_footprint_EU27[], 2, FALSE)</f>
        <v>296195565.03396547</v>
      </c>
      <c r="E135" s="4">
        <f>VLOOKUP(A135, output_exiobase_v3.10.2_EXIO_IOT_2022_pxp_Y_production_footprint_EU27[], 2, FALSE)</f>
        <v>3297589934.7729082</v>
      </c>
      <c r="F135" s="4">
        <f>VLOOKUP(A135, output_exiobase_v3.10.2_EXIO_IOT_2022_pxp_Z_production_footprint_EU27[], 2, FALSE)</f>
        <v>1220785261.5893381</v>
      </c>
      <c r="G135" s="35">
        <f t="shared" si="14"/>
        <v>0.27007258801203671</v>
      </c>
      <c r="H135" s="1">
        <f t="shared" si="15"/>
        <v>0.7299274119879634</v>
      </c>
    </row>
    <row r="136" spans="1:9" x14ac:dyDescent="0.3">
      <c r="A136" s="9" t="s">
        <v>121</v>
      </c>
      <c r="B136" s="29">
        <f t="shared" si="11"/>
        <v>5935178338.6766787</v>
      </c>
      <c r="C136" s="4">
        <f>VLOOKUP(A136,  output_exiobase_v3.10.2_EXIO_IOT_2022_pxp_Y_imports_footprint_EU27[], 2, FALSE)</f>
        <v>138288175.44494295</v>
      </c>
      <c r="D136" s="4">
        <f>VLOOKUP(A136, output_exiobase_v3.10.2_EXIO_IOT_2022_pxp_Z_imports_footprint_EU27[], 2, FALSE)</f>
        <v>469455719.82628101</v>
      </c>
      <c r="E136" s="4">
        <f>VLOOKUP(A136, output_exiobase_v3.10.2_EXIO_IOT_2022_pxp_Y_production_footprint_EU27[], 2, FALSE)</f>
        <v>3201065212.6817994</v>
      </c>
      <c r="F136" s="4">
        <f>VLOOKUP(A136, output_exiobase_v3.10.2_EXIO_IOT_2022_pxp_Z_production_footprint_EU27[], 2, FALSE)</f>
        <v>2126369230.7236555</v>
      </c>
      <c r="G136" s="35">
        <f t="shared" si="14"/>
        <v>0.10239690546631966</v>
      </c>
      <c r="H136" s="1">
        <f t="shared" si="15"/>
        <v>0.89760309453368037</v>
      </c>
    </row>
    <row r="137" spans="1:9" x14ac:dyDescent="0.3">
      <c r="A137" s="9" t="s">
        <v>142</v>
      </c>
      <c r="B137" s="29">
        <f t="shared" si="11"/>
        <v>5718165793.5891647</v>
      </c>
      <c r="C137" s="4">
        <f>VLOOKUP(A137,  output_exiobase_v3.10.2_EXIO_IOT_2022_pxp_Y_imports_footprint_EU27[], 2, FALSE)</f>
        <v>2110592191.7653136</v>
      </c>
      <c r="D137" s="4">
        <f>VLOOKUP(A137, output_exiobase_v3.10.2_EXIO_IOT_2022_pxp_Z_imports_footprint_EU27[], 2, FALSE)</f>
        <v>1061091584.6664762</v>
      </c>
      <c r="E137" s="4">
        <f>VLOOKUP(A137, output_exiobase_v3.10.2_EXIO_IOT_2022_pxp_Y_production_footprint_EU27[], 2, FALSE)</f>
        <v>1470087041.4941041</v>
      </c>
      <c r="F137" s="4">
        <f>VLOOKUP(A137, output_exiobase_v3.10.2_EXIO_IOT_2022_pxp_Z_production_footprint_EU27[], 2, FALSE)</f>
        <v>1076394975.6632714</v>
      </c>
      <c r="G137" s="35">
        <f t="shared" si="14"/>
        <v>0.55466803358301975</v>
      </c>
      <c r="H137" s="1">
        <f t="shared" si="15"/>
        <v>0.44533196641698031</v>
      </c>
    </row>
    <row r="138" spans="1:9" x14ac:dyDescent="0.3">
      <c r="A138" s="9" t="s">
        <v>98</v>
      </c>
      <c r="B138" s="29">
        <f t="shared" ref="B138:B169" si="16">SUM(C138:F138)</f>
        <v>5624803788.9569864</v>
      </c>
      <c r="C138" s="4">
        <f>VLOOKUP(A138,  output_exiobase_v3.10.2_EXIO_IOT_2022_pxp_Y_imports_footprint_EU27[], 2, FALSE)</f>
        <v>65983231.81489031</v>
      </c>
      <c r="D138" s="4">
        <f>VLOOKUP(A138, output_exiobase_v3.10.2_EXIO_IOT_2022_pxp_Z_imports_footprint_EU27[], 2, FALSE)</f>
        <v>529129332.94037199</v>
      </c>
      <c r="E138" s="4">
        <f>VLOOKUP(A138, output_exiobase_v3.10.2_EXIO_IOT_2022_pxp_Y_production_footprint_EU27[], 2, FALSE)</f>
        <v>2320866986.9947572</v>
      </c>
      <c r="F138" s="4">
        <f>VLOOKUP(A138, output_exiobase_v3.10.2_EXIO_IOT_2022_pxp_Z_production_footprint_EU27[], 2, FALSE)</f>
        <v>2708824237.2069669</v>
      </c>
      <c r="G138" s="35">
        <f t="shared" si="14"/>
        <v>0.1058014798531514</v>
      </c>
      <c r="H138" s="1">
        <f t="shared" si="15"/>
        <v>0.89419852014684853</v>
      </c>
    </row>
    <row r="139" spans="1:9" x14ac:dyDescent="0.3">
      <c r="A139" s="9" t="s">
        <v>81</v>
      </c>
      <c r="B139" s="29">
        <f t="shared" si="16"/>
        <v>5554946303.9314051</v>
      </c>
      <c r="C139" s="4">
        <f>VLOOKUP(A139,  output_exiobase_v3.10.2_EXIO_IOT_2022_pxp_Y_imports_footprint_EU27[], 2, FALSE)</f>
        <v>176348181.49945116</v>
      </c>
      <c r="D139" s="4">
        <f>VLOOKUP(A139, output_exiobase_v3.10.2_EXIO_IOT_2022_pxp_Z_imports_footprint_EU27[], 2, FALSE)</f>
        <v>366913102.30507892</v>
      </c>
      <c r="E139" s="4">
        <f>VLOOKUP(A139, output_exiobase_v3.10.2_EXIO_IOT_2022_pxp_Y_production_footprint_EU27[], 2, FALSE)</f>
        <v>317585778.84317142</v>
      </c>
      <c r="F139" s="4">
        <f>VLOOKUP(A139, output_exiobase_v3.10.2_EXIO_IOT_2022_pxp_Z_production_footprint_EU27[], 2, FALSE)</f>
        <v>4694099241.2837038</v>
      </c>
      <c r="G139" s="35">
        <f t="shared" si="14"/>
        <v>9.7797756104329503E-2</v>
      </c>
      <c r="H139" s="1">
        <f t="shared" si="15"/>
        <v>0.9022022438956705</v>
      </c>
    </row>
    <row r="140" spans="1:9" x14ac:dyDescent="0.3">
      <c r="A140" s="9" t="s">
        <v>33</v>
      </c>
      <c r="B140" s="29">
        <f t="shared" si="16"/>
        <v>5525529214.0512276</v>
      </c>
      <c r="C140" s="4">
        <f>VLOOKUP(A140,  output_exiobase_v3.10.2_EXIO_IOT_2022_pxp_Y_imports_footprint_EU27[], 2, FALSE)</f>
        <v>50516.644150698135</v>
      </c>
      <c r="D140" s="4">
        <f>VLOOKUP(A140, output_exiobase_v3.10.2_EXIO_IOT_2022_pxp_Z_imports_footprint_EU27[], 2, FALSE)</f>
        <v>102013614.852375</v>
      </c>
      <c r="E140" s="4">
        <f>VLOOKUP(A140, output_exiobase_v3.10.2_EXIO_IOT_2022_pxp_Y_production_footprint_EU27[], 2, FALSE)</f>
        <v>186379793.56624806</v>
      </c>
      <c r="F140" s="4">
        <f>VLOOKUP(A140, output_exiobase_v3.10.2_EXIO_IOT_2022_pxp_Z_production_footprint_EU27[], 2, FALSE)</f>
        <v>5237085288.9884539</v>
      </c>
      <c r="G140" s="35">
        <f t="shared" si="14"/>
        <v>1.8471376684966245E-2</v>
      </c>
      <c r="H140" s="1">
        <f t="shared" si="15"/>
        <v>0.98152862331503377</v>
      </c>
    </row>
    <row r="141" spans="1:9" x14ac:dyDescent="0.3">
      <c r="A141" s="9" t="s">
        <v>113</v>
      </c>
      <c r="B141" s="29">
        <f t="shared" si="16"/>
        <v>4998726428.7754383</v>
      </c>
      <c r="C141" s="4">
        <f>VLOOKUP(A141,  output_exiobase_v3.10.2_EXIO_IOT_2022_pxp_Y_imports_footprint_EU27[], 2, FALSE)</f>
        <v>3036.1916522860206</v>
      </c>
      <c r="D141" s="4">
        <f>VLOOKUP(A141, output_exiobase_v3.10.2_EXIO_IOT_2022_pxp_Z_imports_footprint_EU27[], 2, FALSE)</f>
        <v>5881644.4748563347</v>
      </c>
      <c r="E141" s="4">
        <f>VLOOKUP(A141, output_exiobase_v3.10.2_EXIO_IOT_2022_pxp_Y_production_footprint_EU27[], 2, FALSE)</f>
        <v>33820664.754377119</v>
      </c>
      <c r="F141" s="4">
        <f>VLOOKUP(A141, output_exiobase_v3.10.2_EXIO_IOT_2022_pxp_Z_production_footprint_EU27[], 2, FALSE)</f>
        <v>4959021083.3545523</v>
      </c>
      <c r="G141" s="35">
        <f t="shared" si="14"/>
        <v>1.17723599207853E-3</v>
      </c>
      <c r="H141" s="1">
        <f t="shared" si="15"/>
        <v>0.99882276400792147</v>
      </c>
    </row>
    <row r="142" spans="1:9" x14ac:dyDescent="0.3">
      <c r="A142" s="9" t="s">
        <v>197</v>
      </c>
      <c r="B142" s="29">
        <f t="shared" si="16"/>
        <v>4994337577.7155018</v>
      </c>
      <c r="C142" s="4">
        <f>VLOOKUP(A142,  output_exiobase_v3.10.2_EXIO_IOT_2022_pxp_Y_imports_footprint_EU27[], 2, FALSE)</f>
        <v>343697.51587768464</v>
      </c>
      <c r="D142" s="4">
        <f>VLOOKUP(A142, output_exiobase_v3.10.2_EXIO_IOT_2022_pxp_Z_imports_footprint_EU27[], 2, FALSE)</f>
        <v>2826726.7855757358</v>
      </c>
      <c r="E142" s="4">
        <f>VLOOKUP(A142, output_exiobase_v3.10.2_EXIO_IOT_2022_pxp_Y_production_footprint_EU27[], 2, FALSE)</f>
        <v>1203739281.278506</v>
      </c>
      <c r="F142" s="4">
        <f>VLOOKUP(A142, output_exiobase_v3.10.2_EXIO_IOT_2022_pxp_Z_production_footprint_EU27[], 2, FALSE)</f>
        <v>3787427872.1355429</v>
      </c>
      <c r="G142" s="35">
        <f t="shared" si="14"/>
        <v>6.3480376568850769E-4</v>
      </c>
      <c r="H142" s="1">
        <f t="shared" si="15"/>
        <v>0.99936519623431164</v>
      </c>
    </row>
    <row r="143" spans="1:9" x14ac:dyDescent="0.3">
      <c r="A143" s="9" t="s">
        <v>159</v>
      </c>
      <c r="B143" s="29">
        <f t="shared" si="16"/>
        <v>4869405333.2654705</v>
      </c>
      <c r="C143" s="4">
        <f>VLOOKUP(A143,  output_exiobase_v3.10.2_EXIO_IOT_2022_pxp_Y_imports_footprint_EU27[], 2, FALSE)</f>
        <v>135474948.11244699</v>
      </c>
      <c r="D143" s="4">
        <f>VLOOKUP(A143, output_exiobase_v3.10.2_EXIO_IOT_2022_pxp_Z_imports_footprint_EU27[], 2, FALSE)</f>
        <v>523797299.1274274</v>
      </c>
      <c r="E143" s="4">
        <f>VLOOKUP(A143, output_exiobase_v3.10.2_EXIO_IOT_2022_pxp_Y_production_footprint_EU27[], 2, FALSE)</f>
        <v>1286345693.6641321</v>
      </c>
      <c r="F143" s="4">
        <f>VLOOKUP(A143, output_exiobase_v3.10.2_EXIO_IOT_2022_pxp_Z_production_footprint_EU27[], 2, FALSE)</f>
        <v>2923787392.3614635</v>
      </c>
      <c r="G143" s="35">
        <f t="shared" si="14"/>
        <v>0.13539071038839973</v>
      </c>
      <c r="H143" s="1">
        <f t="shared" si="15"/>
        <v>0.86460928961160022</v>
      </c>
    </row>
    <row r="144" spans="1:9" x14ac:dyDescent="0.3">
      <c r="A144" s="9" t="s">
        <v>138</v>
      </c>
      <c r="B144" s="29">
        <f t="shared" si="16"/>
        <v>4655430409.0101576</v>
      </c>
      <c r="C144" s="4">
        <f>VLOOKUP(A144,  output_exiobase_v3.10.2_EXIO_IOT_2022_pxp_Y_imports_footprint_EU27[], 2, FALSE)</f>
        <v>549804.64173889812</v>
      </c>
      <c r="D144" s="4">
        <f>VLOOKUP(A144, output_exiobase_v3.10.2_EXIO_IOT_2022_pxp_Z_imports_footprint_EU27[], 2, FALSE)</f>
        <v>557742297.63042486</v>
      </c>
      <c r="E144" s="4">
        <f>VLOOKUP(A144, output_exiobase_v3.10.2_EXIO_IOT_2022_pxp_Y_production_footprint_EU27[], 2, FALSE)</f>
        <v>1583287439.5330217</v>
      </c>
      <c r="F144" s="4">
        <f>VLOOKUP(A144, output_exiobase_v3.10.2_EXIO_IOT_2022_pxp_Z_production_footprint_EU27[], 2, FALSE)</f>
        <v>2513850867.2049723</v>
      </c>
      <c r="G144" s="35">
        <f t="shared" si="14"/>
        <v>0.1199227682990687</v>
      </c>
      <c r="H144" s="1">
        <f t="shared" si="15"/>
        <v>0.88007723170093133</v>
      </c>
    </row>
    <row r="145" spans="1:8" x14ac:dyDescent="0.3">
      <c r="A145" s="9" t="s">
        <v>154</v>
      </c>
      <c r="B145" s="29">
        <f t="shared" si="16"/>
        <v>4333344530.1890507</v>
      </c>
      <c r="C145" s="4">
        <f>VLOOKUP(A145,  output_exiobase_v3.10.2_EXIO_IOT_2022_pxp_Y_imports_footprint_EU27[], 2, FALSE)</f>
        <v>1071.9517544454659</v>
      </c>
      <c r="D145" s="4">
        <f>VLOOKUP(A145, output_exiobase_v3.10.2_EXIO_IOT_2022_pxp_Z_imports_footprint_EU27[], 2, FALSE)</f>
        <v>52771527.466806829</v>
      </c>
      <c r="E145" s="4">
        <f>VLOOKUP(A145, output_exiobase_v3.10.2_EXIO_IOT_2022_pxp_Y_production_footprint_EU27[], 2, FALSE)</f>
        <v>192424305.08967683</v>
      </c>
      <c r="F145" s="4">
        <f>VLOOKUP(A145, output_exiobase_v3.10.2_EXIO_IOT_2022_pxp_Z_production_footprint_EU27[], 2, FALSE)</f>
        <v>4088147625.6808124</v>
      </c>
      <c r="G145" s="35">
        <f t="shared" si="14"/>
        <v>1.2178260706230751E-2</v>
      </c>
      <c r="H145" s="1">
        <f t="shared" si="15"/>
        <v>0.98782173929376915</v>
      </c>
    </row>
    <row r="146" spans="1:8" x14ac:dyDescent="0.3">
      <c r="A146" s="9" t="s">
        <v>52</v>
      </c>
      <c r="B146" s="29">
        <f t="shared" si="16"/>
        <v>4333264039.4356461</v>
      </c>
      <c r="C146" s="4">
        <f>VLOOKUP(A146,  output_exiobase_v3.10.2_EXIO_IOT_2022_pxp_Y_imports_footprint_EU27[], 2, FALSE)</f>
        <v>17006409.080419231</v>
      </c>
      <c r="D146" s="4">
        <f>VLOOKUP(A146, output_exiobase_v3.10.2_EXIO_IOT_2022_pxp_Z_imports_footprint_EU27[], 2, FALSE)</f>
        <v>57222454.168685466</v>
      </c>
      <c r="E146" s="4">
        <f>VLOOKUP(A146, output_exiobase_v3.10.2_EXIO_IOT_2022_pxp_Y_production_footprint_EU27[], 2, FALSE)</f>
        <v>702985881.45470703</v>
      </c>
      <c r="F146" s="4">
        <f>VLOOKUP(A146, output_exiobase_v3.10.2_EXIO_IOT_2022_pxp_Z_production_footprint_EU27[], 2, FALSE)</f>
        <v>3556049294.7318344</v>
      </c>
      <c r="G146" s="35">
        <f t="shared" si="14"/>
        <v>1.7130011597163621E-2</v>
      </c>
      <c r="H146" s="1">
        <f t="shared" si="15"/>
        <v>0.98286998840283646</v>
      </c>
    </row>
    <row r="147" spans="1:8" x14ac:dyDescent="0.3">
      <c r="A147" s="9" t="s">
        <v>14</v>
      </c>
      <c r="B147" s="29">
        <f t="shared" si="16"/>
        <v>4193178308.8598151</v>
      </c>
      <c r="C147" s="4">
        <f>VLOOKUP(A147,  output_exiobase_v3.10.2_EXIO_IOT_2022_pxp_Y_imports_footprint_EU27[], 2, FALSE)</f>
        <v>1216958434.0319173</v>
      </c>
      <c r="D147" s="4">
        <f>VLOOKUP(A147, output_exiobase_v3.10.2_EXIO_IOT_2022_pxp_Z_imports_footprint_EU27[], 2, FALSE)</f>
        <v>625985415.32380915</v>
      </c>
      <c r="E147" s="4">
        <f>VLOOKUP(A147, output_exiobase_v3.10.2_EXIO_IOT_2022_pxp_Y_production_footprint_EU27[], 2, FALSE)</f>
        <v>1227734280.9405127</v>
      </c>
      <c r="F147" s="4">
        <f>VLOOKUP(A147, output_exiobase_v3.10.2_EXIO_IOT_2022_pxp_Z_production_footprint_EU27[], 2, FALSE)</f>
        <v>1122500178.5635762</v>
      </c>
      <c r="G147" s="35">
        <f t="shared" si="14"/>
        <v>0.43951001212177143</v>
      </c>
      <c r="H147" s="1">
        <f t="shared" si="15"/>
        <v>0.56048998787822857</v>
      </c>
    </row>
    <row r="148" spans="1:8" x14ac:dyDescent="0.3">
      <c r="A148" s="9" t="s">
        <v>86</v>
      </c>
      <c r="B148" s="29">
        <f t="shared" si="16"/>
        <v>3999687639.548924</v>
      </c>
      <c r="C148" s="4">
        <f>VLOOKUP(A148,  output_exiobase_v3.10.2_EXIO_IOT_2022_pxp_Y_imports_footprint_EU27[], 2, FALSE)</f>
        <v>1367824.784182735</v>
      </c>
      <c r="D148" s="4">
        <f>VLOOKUP(A148, output_exiobase_v3.10.2_EXIO_IOT_2022_pxp_Z_imports_footprint_EU27[], 2, FALSE)</f>
        <v>2925038.0712013124</v>
      </c>
      <c r="E148" s="4">
        <f>VLOOKUP(A148, output_exiobase_v3.10.2_EXIO_IOT_2022_pxp_Y_production_footprint_EU27[], 2, FALSE)</f>
        <v>93696899.928273648</v>
      </c>
      <c r="F148" s="4">
        <f>VLOOKUP(A148, output_exiobase_v3.10.2_EXIO_IOT_2022_pxp_Z_production_footprint_EU27[], 2, FALSE)</f>
        <v>3901697876.7652664</v>
      </c>
      <c r="G148" s="35">
        <f t="shared" si="14"/>
        <v>1.0732995279271824E-3</v>
      </c>
      <c r="H148" s="1">
        <f t="shared" si="15"/>
        <v>0.99892670047207288</v>
      </c>
    </row>
    <row r="149" spans="1:8" x14ac:dyDescent="0.3">
      <c r="A149" s="9" t="s">
        <v>198</v>
      </c>
      <c r="B149" s="29">
        <f t="shared" si="16"/>
        <v>3099213074.3937836</v>
      </c>
      <c r="C149" s="4">
        <f>VLOOKUP(A149,  output_exiobase_v3.10.2_EXIO_IOT_2022_pxp_Y_imports_footprint_EU27[], 2, FALSE)</f>
        <v>90652.249311356602</v>
      </c>
      <c r="D149" s="4">
        <f>VLOOKUP(A149, output_exiobase_v3.10.2_EXIO_IOT_2022_pxp_Z_imports_footprint_EU27[], 2, FALSE)</f>
        <v>544387.70337590028</v>
      </c>
      <c r="E149" s="4">
        <f>VLOOKUP(A149, output_exiobase_v3.10.2_EXIO_IOT_2022_pxp_Y_production_footprint_EU27[], 2, FALSE)</f>
        <v>440376052.60809565</v>
      </c>
      <c r="F149" s="4">
        <f>VLOOKUP(A149, output_exiobase_v3.10.2_EXIO_IOT_2022_pxp_Z_production_footprint_EU27[], 2, FALSE)</f>
        <v>2658201981.8330007</v>
      </c>
      <c r="G149" s="35">
        <f t="shared" si="14"/>
        <v>2.049036118019968E-4</v>
      </c>
      <c r="H149" s="1">
        <f t="shared" si="15"/>
        <v>0.99979509638819797</v>
      </c>
    </row>
    <row r="150" spans="1:8" x14ac:dyDescent="0.3">
      <c r="A150" s="9" t="s">
        <v>184</v>
      </c>
      <c r="B150" s="29">
        <f t="shared" si="16"/>
        <v>2866197129.8498821</v>
      </c>
      <c r="C150" s="4">
        <f>VLOOKUP(A150,  output_exiobase_v3.10.2_EXIO_IOT_2022_pxp_Y_imports_footprint_EU27[], 2, FALSE)</f>
        <v>138011.17414111193</v>
      </c>
      <c r="D150" s="4">
        <f>VLOOKUP(A150, output_exiobase_v3.10.2_EXIO_IOT_2022_pxp_Z_imports_footprint_EU27[], 2, FALSE)</f>
        <v>1296659.5163715265</v>
      </c>
      <c r="E150" s="4">
        <f>VLOOKUP(A150, output_exiobase_v3.10.2_EXIO_IOT_2022_pxp_Y_production_footprint_EU27[], 2, FALSE)</f>
        <v>467330816.68987751</v>
      </c>
      <c r="F150" s="4">
        <f>VLOOKUP(A150, output_exiobase_v3.10.2_EXIO_IOT_2022_pxp_Z_production_footprint_EU27[], 2, FALSE)</f>
        <v>2397431642.469492</v>
      </c>
      <c r="G150" s="35">
        <f t="shared" si="14"/>
        <v>5.0054850574349013E-4</v>
      </c>
      <c r="H150" s="1">
        <f t="shared" si="15"/>
        <v>0.99949945149425645</v>
      </c>
    </row>
    <row r="151" spans="1:8" x14ac:dyDescent="0.3">
      <c r="A151" s="9" t="s">
        <v>61</v>
      </c>
      <c r="B151" s="29">
        <f t="shared" si="16"/>
        <v>2684634910.5000639</v>
      </c>
      <c r="C151" s="4">
        <f>VLOOKUP(A151,  output_exiobase_v3.10.2_EXIO_IOT_2022_pxp_Y_imports_footprint_EU27[], 2, FALSE)</f>
        <v>315.04004067296961</v>
      </c>
      <c r="D151" s="4">
        <f>VLOOKUP(A151, output_exiobase_v3.10.2_EXIO_IOT_2022_pxp_Z_imports_footprint_EU27[], 2, FALSE)</f>
        <v>8029.2676834155873</v>
      </c>
      <c r="E151" s="4">
        <f>VLOOKUP(A151, output_exiobase_v3.10.2_EXIO_IOT_2022_pxp_Y_production_footprint_EU27[], 2, FALSE)</f>
        <v>494331984.62868655</v>
      </c>
      <c r="F151" s="4">
        <f>VLOOKUP(A151, output_exiobase_v3.10.2_EXIO_IOT_2022_pxp_Z_production_footprint_EU27[], 2, FALSE)</f>
        <v>2190294581.563653</v>
      </c>
      <c r="G151" s="35">
        <f t="shared" si="14"/>
        <v>3.1081722477244672E-6</v>
      </c>
      <c r="H151" s="1">
        <f t="shared" si="15"/>
        <v>0.99999689182775209</v>
      </c>
    </row>
    <row r="152" spans="1:8" x14ac:dyDescent="0.3">
      <c r="A152" s="9" t="s">
        <v>15</v>
      </c>
      <c r="B152" s="29">
        <f t="shared" si="16"/>
        <v>2593043191.8379974</v>
      </c>
      <c r="C152" s="4">
        <f>VLOOKUP(A152,  output_exiobase_v3.10.2_EXIO_IOT_2022_pxp_Y_imports_footprint_EU27[], 2, FALSE)</f>
        <v>11869771.590925964</v>
      </c>
      <c r="D152" s="4">
        <f>VLOOKUP(A152, output_exiobase_v3.10.2_EXIO_IOT_2022_pxp_Z_imports_footprint_EU27[], 2, FALSE)</f>
        <v>480089337.67497122</v>
      </c>
      <c r="E152" s="4">
        <f>VLOOKUP(A152, output_exiobase_v3.10.2_EXIO_IOT_2022_pxp_Y_production_footprint_EU27[], 2, FALSE)</f>
        <v>65885151.650311142</v>
      </c>
      <c r="F152" s="4">
        <f>VLOOKUP(A152, output_exiobase_v3.10.2_EXIO_IOT_2022_pxp_Z_production_footprint_EU27[], 2, FALSE)</f>
        <v>2035198930.9217889</v>
      </c>
      <c r="G152" s="35">
        <f t="shared" si="14"/>
        <v>0.18972268214213101</v>
      </c>
      <c r="H152" s="1">
        <f t="shared" si="15"/>
        <v>0.81027731785786894</v>
      </c>
    </row>
    <row r="153" spans="1:8" x14ac:dyDescent="0.3">
      <c r="A153" s="9" t="s">
        <v>29</v>
      </c>
      <c r="B153" s="29">
        <f t="shared" si="16"/>
        <v>2508567884.4236498</v>
      </c>
      <c r="C153" s="4">
        <f>VLOOKUP(A153,  output_exiobase_v3.10.2_EXIO_IOT_2022_pxp_Y_imports_footprint_EU27[], 2, FALSE)</f>
        <v>102874407.04323404</v>
      </c>
      <c r="D153" s="4">
        <f>VLOOKUP(A153, output_exiobase_v3.10.2_EXIO_IOT_2022_pxp_Z_imports_footprint_EU27[], 2, FALSE)</f>
        <v>958420991.92285013</v>
      </c>
      <c r="E153" s="4">
        <f>VLOOKUP(A153, output_exiobase_v3.10.2_EXIO_IOT_2022_pxp_Y_production_footprint_EU27[], 2, FALSE)</f>
        <v>105063212.84818923</v>
      </c>
      <c r="F153" s="4">
        <f>VLOOKUP(A153, output_exiobase_v3.10.2_EXIO_IOT_2022_pxp_Z_production_footprint_EU27[], 2, FALSE)</f>
        <v>1342209272.6093764</v>
      </c>
      <c r="G153" s="35">
        <f t="shared" si="14"/>
        <v>0.42306823967409579</v>
      </c>
      <c r="H153" s="1">
        <f t="shared" si="15"/>
        <v>0.57693176032590421</v>
      </c>
    </row>
    <row r="154" spans="1:8" x14ac:dyDescent="0.3">
      <c r="A154" s="9" t="s">
        <v>9</v>
      </c>
      <c r="B154" s="29">
        <f t="shared" si="16"/>
        <v>2439340078.6118937</v>
      </c>
      <c r="C154" s="4">
        <f>VLOOKUP(A154,  output_exiobase_v3.10.2_EXIO_IOT_2022_pxp_Y_imports_footprint_EU27[], 2, FALSE)</f>
        <v>11678835.441550912</v>
      </c>
      <c r="D154" s="4">
        <f>VLOOKUP(A154, output_exiobase_v3.10.2_EXIO_IOT_2022_pxp_Z_imports_footprint_EU27[], 2, FALSE)</f>
        <v>25882676.952535894</v>
      </c>
      <c r="E154" s="4">
        <f>VLOOKUP(A154, output_exiobase_v3.10.2_EXIO_IOT_2022_pxp_Y_production_footprint_EU27[], 2, FALSE)</f>
        <v>389976528.33986592</v>
      </c>
      <c r="F154" s="4">
        <f>VLOOKUP(A154, output_exiobase_v3.10.2_EXIO_IOT_2022_pxp_Z_production_footprint_EU27[], 2, FALSE)</f>
        <v>2011802037.8779411</v>
      </c>
      <c r="G154" s="35">
        <f t="shared" si="14"/>
        <v>1.5398227054696361E-2</v>
      </c>
      <c r="H154" s="1">
        <f t="shared" si="15"/>
        <v>0.9846017729453036</v>
      </c>
    </row>
    <row r="155" spans="1:8" x14ac:dyDescent="0.3">
      <c r="A155" s="9" t="s">
        <v>134</v>
      </c>
      <c r="B155" s="29">
        <f t="shared" si="16"/>
        <v>2267133015.1606722</v>
      </c>
      <c r="C155" s="4">
        <f>VLOOKUP(A155,  output_exiobase_v3.10.2_EXIO_IOT_2022_pxp_Y_imports_footprint_EU27[], 2, FALSE)</f>
        <v>158267.99500398291</v>
      </c>
      <c r="D155" s="4">
        <f>VLOOKUP(A155, output_exiobase_v3.10.2_EXIO_IOT_2022_pxp_Z_imports_footprint_EU27[], 2, FALSE)</f>
        <v>1051091.6777172906</v>
      </c>
      <c r="E155" s="4">
        <f>VLOOKUP(A155, output_exiobase_v3.10.2_EXIO_IOT_2022_pxp_Y_production_footprint_EU27[], 2, FALSE)</f>
        <v>255663384.91885689</v>
      </c>
      <c r="F155" s="4">
        <f>VLOOKUP(A155, output_exiobase_v3.10.2_EXIO_IOT_2022_pxp_Z_production_footprint_EU27[], 2, FALSE)</f>
        <v>2010260270.5690939</v>
      </c>
      <c r="G155" s="35">
        <f t="shared" si="14"/>
        <v>5.3343128287316923E-4</v>
      </c>
      <c r="H155" s="1">
        <f t="shared" si="15"/>
        <v>0.9994665687171268</v>
      </c>
    </row>
    <row r="156" spans="1:8" x14ac:dyDescent="0.3">
      <c r="A156" s="9" t="s">
        <v>49</v>
      </c>
      <c r="B156" s="29">
        <f t="shared" si="16"/>
        <v>2169192408.9480066</v>
      </c>
      <c r="C156" s="4">
        <f>VLOOKUP(A156,  output_exiobase_v3.10.2_EXIO_IOT_2022_pxp_Y_imports_footprint_EU27[], 2, FALSE)</f>
        <v>27397956.024437662</v>
      </c>
      <c r="D156" s="4">
        <f>VLOOKUP(A156, output_exiobase_v3.10.2_EXIO_IOT_2022_pxp_Z_imports_footprint_EU27[], 2, FALSE)</f>
        <v>109508362.30885187</v>
      </c>
      <c r="E156" s="4">
        <f>VLOOKUP(A156, output_exiobase_v3.10.2_EXIO_IOT_2022_pxp_Y_production_footprint_EU27[], 2, FALSE)</f>
        <v>366679086.67841762</v>
      </c>
      <c r="F156" s="4">
        <f>VLOOKUP(A156, output_exiobase_v3.10.2_EXIO_IOT_2022_pxp_Z_production_footprint_EU27[], 2, FALSE)</f>
        <v>1665607003.9362996</v>
      </c>
      <c r="G156" s="35">
        <f t="shared" si="14"/>
        <v>6.3113957880612817E-2</v>
      </c>
      <c r="H156" s="1">
        <f t="shared" si="15"/>
        <v>0.93688604211938731</v>
      </c>
    </row>
    <row r="157" spans="1:8" x14ac:dyDescent="0.3">
      <c r="A157" s="9" t="s">
        <v>103</v>
      </c>
      <c r="B157" s="29">
        <f t="shared" si="16"/>
        <v>1935904282.1939187</v>
      </c>
      <c r="C157" s="4">
        <f>VLOOKUP(A157,  output_exiobase_v3.10.2_EXIO_IOT_2022_pxp_Y_imports_footprint_EU27[], 2, FALSE)</f>
        <v>73147700.525421903</v>
      </c>
      <c r="D157" s="4">
        <f>VLOOKUP(A157, output_exiobase_v3.10.2_EXIO_IOT_2022_pxp_Z_imports_footprint_EU27[], 2, FALSE)</f>
        <v>573613378.81120217</v>
      </c>
      <c r="E157" s="4">
        <f>VLOOKUP(A157, output_exiobase_v3.10.2_EXIO_IOT_2022_pxp_Y_production_footprint_EU27[], 2, FALSE)</f>
        <v>75092070.941346616</v>
      </c>
      <c r="F157" s="4">
        <f>VLOOKUP(A157, output_exiobase_v3.10.2_EXIO_IOT_2022_pxp_Z_production_footprint_EU27[], 2, FALSE)</f>
        <v>1214051131.9159482</v>
      </c>
      <c r="G157" s="35">
        <f t="shared" si="14"/>
        <v>0.33408732305900146</v>
      </c>
      <c r="H157" s="1">
        <f t="shared" si="15"/>
        <v>0.66591267694099865</v>
      </c>
    </row>
    <row r="158" spans="1:8" x14ac:dyDescent="0.3">
      <c r="A158" s="9" t="s">
        <v>88</v>
      </c>
      <c r="B158" s="29">
        <f t="shared" si="16"/>
        <v>1768892123.7051036</v>
      </c>
      <c r="C158" s="4">
        <f>VLOOKUP(A158,  output_exiobase_v3.10.2_EXIO_IOT_2022_pxp_Y_imports_footprint_EU27[], 2, FALSE)</f>
        <v>3588881.9602603838</v>
      </c>
      <c r="D158" s="4">
        <f>VLOOKUP(A158, output_exiobase_v3.10.2_EXIO_IOT_2022_pxp_Z_imports_footprint_EU27[], 2, FALSE)</f>
        <v>26112069.571625233</v>
      </c>
      <c r="E158" s="4">
        <f>VLOOKUP(A158, output_exiobase_v3.10.2_EXIO_IOT_2022_pxp_Y_production_footprint_EU27[], 2, FALSE)</f>
        <v>58813974.942184865</v>
      </c>
      <c r="F158" s="4">
        <f>VLOOKUP(A158, output_exiobase_v3.10.2_EXIO_IOT_2022_pxp_Z_production_footprint_EU27[], 2, FALSE)</f>
        <v>1680377197.2310331</v>
      </c>
      <c r="G158" s="35">
        <f t="shared" si="14"/>
        <v>1.6790708225708134E-2</v>
      </c>
      <c r="H158" s="1">
        <f t="shared" si="15"/>
        <v>0.98320929177429184</v>
      </c>
    </row>
    <row r="159" spans="1:8" x14ac:dyDescent="0.3">
      <c r="A159" s="9" t="s">
        <v>6</v>
      </c>
      <c r="B159" s="29">
        <f t="shared" si="16"/>
        <v>1742338542.5206621</v>
      </c>
      <c r="C159" s="4">
        <f>VLOOKUP(A159,  output_exiobase_v3.10.2_EXIO_IOT_2022_pxp_Y_imports_footprint_EU27[], 2, FALSE)</f>
        <v>401515742.7541604</v>
      </c>
      <c r="D159" s="4">
        <f>VLOOKUP(A159, output_exiobase_v3.10.2_EXIO_IOT_2022_pxp_Z_imports_footprint_EU27[], 2, FALSE)</f>
        <v>875431507.3969698</v>
      </c>
      <c r="E159" s="4">
        <f>VLOOKUP(A159, output_exiobase_v3.10.2_EXIO_IOT_2022_pxp_Y_production_footprint_EU27[], 2, FALSE)</f>
        <v>286527270.12670112</v>
      </c>
      <c r="F159" s="4">
        <f>VLOOKUP(A159, output_exiobase_v3.10.2_EXIO_IOT_2022_pxp_Z_production_footprint_EU27[], 2, FALSE)</f>
        <v>178864022.24283078</v>
      </c>
      <c r="G159" s="35">
        <f t="shared" si="14"/>
        <v>0.73289272950580275</v>
      </c>
      <c r="H159" s="1">
        <f t="shared" si="15"/>
        <v>0.26710727049419725</v>
      </c>
    </row>
    <row r="160" spans="1:8" x14ac:dyDescent="0.3">
      <c r="A160" s="9" t="s">
        <v>193</v>
      </c>
      <c r="B160" s="29">
        <f t="shared" si="16"/>
        <v>1687716943.4449797</v>
      </c>
      <c r="C160" s="4">
        <f>VLOOKUP(A160,  output_exiobase_v3.10.2_EXIO_IOT_2022_pxp_Y_imports_footprint_EU27[], 2, FALSE)</f>
        <v>3468720.6500092666</v>
      </c>
      <c r="D160" s="4">
        <f>VLOOKUP(A160, output_exiobase_v3.10.2_EXIO_IOT_2022_pxp_Z_imports_footprint_EU27[], 2, FALSE)</f>
        <v>74164405.495362401</v>
      </c>
      <c r="E160" s="4">
        <f>VLOOKUP(A160, output_exiobase_v3.10.2_EXIO_IOT_2022_pxp_Y_production_footprint_EU27[], 2, FALSE)</f>
        <v>42399819.517363332</v>
      </c>
      <c r="F160" s="4">
        <f>VLOOKUP(A160, output_exiobase_v3.10.2_EXIO_IOT_2022_pxp_Z_production_footprint_EU27[], 2, FALSE)</f>
        <v>1567683997.7822447</v>
      </c>
      <c r="G160" s="35">
        <f t="shared" si="14"/>
        <v>4.5998901917110806E-2</v>
      </c>
      <c r="H160" s="1">
        <f t="shared" si="15"/>
        <v>0.95400109808288924</v>
      </c>
    </row>
    <row r="161" spans="1:8" x14ac:dyDescent="0.3">
      <c r="A161" s="9" t="s">
        <v>132</v>
      </c>
      <c r="B161" s="29">
        <f t="shared" si="16"/>
        <v>1605900475.838448</v>
      </c>
      <c r="C161" s="4">
        <f>VLOOKUP(A161,  output_exiobase_v3.10.2_EXIO_IOT_2022_pxp_Y_imports_footprint_EU27[], 2, FALSE)</f>
        <v>262663058.7379491</v>
      </c>
      <c r="D161" s="4">
        <f>VLOOKUP(A161, output_exiobase_v3.10.2_EXIO_IOT_2022_pxp_Z_imports_footprint_EU27[], 2, FALSE)</f>
        <v>378905560.82815957</v>
      </c>
      <c r="E161" s="4">
        <f>VLOOKUP(A161, output_exiobase_v3.10.2_EXIO_IOT_2022_pxp_Y_production_footprint_EU27[], 2, FALSE)</f>
        <v>270810583.38100272</v>
      </c>
      <c r="F161" s="4">
        <f>VLOOKUP(A161, output_exiobase_v3.10.2_EXIO_IOT_2022_pxp_Z_production_footprint_EU27[], 2, FALSE)</f>
        <v>693521272.8913368</v>
      </c>
      <c r="G161" s="35">
        <f t="shared" si="14"/>
        <v>0.39950708603604018</v>
      </c>
      <c r="H161" s="1">
        <f t="shared" si="15"/>
        <v>0.60049291396395998</v>
      </c>
    </row>
    <row r="162" spans="1:8" x14ac:dyDescent="0.3">
      <c r="A162" s="9" t="s">
        <v>185</v>
      </c>
      <c r="B162" s="29">
        <f t="shared" si="16"/>
        <v>1588612554.8395398</v>
      </c>
      <c r="C162" s="4">
        <f>VLOOKUP(A162,  output_exiobase_v3.10.2_EXIO_IOT_2022_pxp_Y_imports_footprint_EU27[], 2, FALSE)</f>
        <v>56271.815727926929</v>
      </c>
      <c r="D162" s="4">
        <f>VLOOKUP(A162, output_exiobase_v3.10.2_EXIO_IOT_2022_pxp_Z_imports_footprint_EU27[], 2, FALSE)</f>
        <v>353288.94015819044</v>
      </c>
      <c r="E162" s="4">
        <f>VLOOKUP(A162, output_exiobase_v3.10.2_EXIO_IOT_2022_pxp_Y_production_footprint_EU27[], 2, FALSE)</f>
        <v>182615581.50230902</v>
      </c>
      <c r="F162" s="4">
        <f>VLOOKUP(A162, output_exiobase_v3.10.2_EXIO_IOT_2022_pxp_Z_production_footprint_EU27[], 2, FALSE)</f>
        <v>1405587412.5813446</v>
      </c>
      <c r="G162" s="35">
        <f t="shared" si="14"/>
        <v>2.5781034817988431E-4</v>
      </c>
      <c r="H162" s="1">
        <f t="shared" si="15"/>
        <v>0.99974218965182016</v>
      </c>
    </row>
    <row r="163" spans="1:8" x14ac:dyDescent="0.3">
      <c r="A163" s="9" t="s">
        <v>23</v>
      </c>
      <c r="B163" s="29">
        <f t="shared" si="16"/>
        <v>1543733323.5449731</v>
      </c>
      <c r="C163" s="4">
        <f>VLOOKUP(A163,  output_exiobase_v3.10.2_EXIO_IOT_2022_pxp_Y_imports_footprint_EU27[], 2, FALSE)</f>
        <v>1264696656.1874526</v>
      </c>
      <c r="D163" s="4">
        <f>VLOOKUP(A163, output_exiobase_v3.10.2_EXIO_IOT_2022_pxp_Z_imports_footprint_EU27[], 2, FALSE)</f>
        <v>238054854.09400716</v>
      </c>
      <c r="E163" s="4">
        <f>VLOOKUP(A163, output_exiobase_v3.10.2_EXIO_IOT_2022_pxp_Y_production_footprint_EU27[], 2, FALSE)</f>
        <v>37641645.252037801</v>
      </c>
      <c r="F163" s="4">
        <f>VLOOKUP(A163, output_exiobase_v3.10.2_EXIO_IOT_2022_pxp_Z_production_footprint_EU27[], 2, FALSE)</f>
        <v>3340168.0114756385</v>
      </c>
      <c r="G163" s="35">
        <f t="shared" si="14"/>
        <v>0.97345278965060866</v>
      </c>
      <c r="H163" s="1">
        <f t="shared" si="15"/>
        <v>2.6547210349391365E-2</v>
      </c>
    </row>
    <row r="164" spans="1:8" x14ac:dyDescent="0.3">
      <c r="A164" s="9" t="s">
        <v>26</v>
      </c>
      <c r="B164" s="29">
        <f t="shared" si="16"/>
        <v>1407622535.8315659</v>
      </c>
      <c r="C164" s="4">
        <f>VLOOKUP(A164,  output_exiobase_v3.10.2_EXIO_IOT_2022_pxp_Y_imports_footprint_EU27[], 2, FALSE)</f>
        <v>42833996.624990001</v>
      </c>
      <c r="D164" s="4">
        <f>VLOOKUP(A164, output_exiobase_v3.10.2_EXIO_IOT_2022_pxp_Z_imports_footprint_EU27[], 2, FALSE)</f>
        <v>266981017.51189625</v>
      </c>
      <c r="E164" s="4">
        <f>VLOOKUP(A164, output_exiobase_v3.10.2_EXIO_IOT_2022_pxp_Y_production_footprint_EU27[], 2, FALSE)</f>
        <v>185400486.91484836</v>
      </c>
      <c r="F164" s="4">
        <f>VLOOKUP(A164, output_exiobase_v3.10.2_EXIO_IOT_2022_pxp_Z_production_footprint_EU27[], 2, FALSE)</f>
        <v>912407034.77983129</v>
      </c>
      <c r="G164" s="35">
        <f t="shared" si="14"/>
        <v>0.22009807760989006</v>
      </c>
      <c r="H164" s="1">
        <f t="shared" si="15"/>
        <v>0.77990192239011003</v>
      </c>
    </row>
    <row r="165" spans="1:8" x14ac:dyDescent="0.3">
      <c r="A165" s="9" t="s">
        <v>13</v>
      </c>
      <c r="B165" s="29">
        <f t="shared" si="16"/>
        <v>1340434932.4816012</v>
      </c>
      <c r="C165" s="4">
        <f>VLOOKUP(A165,  output_exiobase_v3.10.2_EXIO_IOT_2022_pxp_Y_imports_footprint_EU27[], 2, FALSE)</f>
        <v>0.99030237316452752</v>
      </c>
      <c r="D165" s="4">
        <f>VLOOKUP(A165, output_exiobase_v3.10.2_EXIO_IOT_2022_pxp_Z_imports_footprint_EU27[], 2, FALSE)</f>
        <v>10545.764077751042</v>
      </c>
      <c r="E165" s="4">
        <f>VLOOKUP(A165, output_exiobase_v3.10.2_EXIO_IOT_2022_pxp_Y_production_footprint_EU27[], 2, FALSE)</f>
        <v>26925739.051794376</v>
      </c>
      <c r="F165" s="4">
        <f>VLOOKUP(A165, output_exiobase_v3.10.2_EXIO_IOT_2022_pxp_Z_production_footprint_EU27[], 2, FALSE)</f>
        <v>1313498646.6754267</v>
      </c>
      <c r="G165" s="35">
        <f t="shared" si="14"/>
        <v>7.8681584048235564E-6</v>
      </c>
      <c r="H165" s="1">
        <f t="shared" si="15"/>
        <v>0.99999213184159508</v>
      </c>
    </row>
    <row r="166" spans="1:8" x14ac:dyDescent="0.3">
      <c r="A166" s="9" t="s">
        <v>1</v>
      </c>
      <c r="B166" s="29">
        <f t="shared" si="16"/>
        <v>1314777653.5474234</v>
      </c>
      <c r="C166" s="4">
        <f>VLOOKUP(A166,  output_exiobase_v3.10.2_EXIO_IOT_2022_pxp_Y_imports_footprint_EU27[], 2, FALSE)</f>
        <v>40561502.637581185</v>
      </c>
      <c r="D166" s="4">
        <f>VLOOKUP(A166, output_exiobase_v3.10.2_EXIO_IOT_2022_pxp_Z_imports_footprint_EU27[], 2, FALSE)</f>
        <v>84946357.195858523</v>
      </c>
      <c r="E166" s="4">
        <f>VLOOKUP(A166, output_exiobase_v3.10.2_EXIO_IOT_2022_pxp_Y_production_footprint_EU27[], 2, FALSE)</f>
        <v>63529424.640639618</v>
      </c>
      <c r="F166" s="4">
        <f>VLOOKUP(A166, output_exiobase_v3.10.2_EXIO_IOT_2022_pxp_Z_production_footprint_EU27[], 2, FALSE)</f>
        <v>1125740369.073344</v>
      </c>
      <c r="G166" s="35">
        <f t="shared" si="14"/>
        <v>9.5459380142950315E-2</v>
      </c>
      <c r="H166" s="1">
        <f t="shared" si="15"/>
        <v>0.90454061985704959</v>
      </c>
    </row>
    <row r="167" spans="1:8" x14ac:dyDescent="0.3">
      <c r="A167" s="9" t="s">
        <v>84</v>
      </c>
      <c r="B167" s="29">
        <f t="shared" si="16"/>
        <v>1258588940.9779398</v>
      </c>
      <c r="C167" s="4">
        <f>VLOOKUP(A167,  output_exiobase_v3.10.2_EXIO_IOT_2022_pxp_Y_imports_footprint_EU27[], 2, FALSE)</f>
        <v>3939755.0992522608</v>
      </c>
      <c r="D167" s="4">
        <f>VLOOKUP(A167, output_exiobase_v3.10.2_EXIO_IOT_2022_pxp_Z_imports_footprint_EU27[], 2, FALSE)</f>
        <v>27593636.31576125</v>
      </c>
      <c r="E167" s="4">
        <f>VLOOKUP(A167, output_exiobase_v3.10.2_EXIO_IOT_2022_pxp_Y_production_footprint_EU27[], 2, FALSE)</f>
        <v>414547530.24003476</v>
      </c>
      <c r="F167" s="4">
        <f>VLOOKUP(A167, output_exiobase_v3.10.2_EXIO_IOT_2022_pxp_Z_production_footprint_EU27[], 2, FALSE)</f>
        <v>812508019.32289159</v>
      </c>
      <c r="G167" s="35">
        <f t="shared" si="14"/>
        <v>2.5054559426298199E-2</v>
      </c>
      <c r="H167" s="1">
        <f t="shared" si="15"/>
        <v>0.9749454405737018</v>
      </c>
    </row>
    <row r="168" spans="1:8" x14ac:dyDescent="0.3">
      <c r="A168" s="9" t="s">
        <v>16</v>
      </c>
      <c r="B168" s="29">
        <f t="shared" si="16"/>
        <v>1207120524.4554665</v>
      </c>
      <c r="C168" s="4">
        <f>VLOOKUP(A168,  output_exiobase_v3.10.2_EXIO_IOT_2022_pxp_Y_imports_footprint_EU27[], 2, FALSE)</f>
        <v>102170.86419296928</v>
      </c>
      <c r="D168" s="4">
        <f>VLOOKUP(A168, output_exiobase_v3.10.2_EXIO_IOT_2022_pxp_Z_imports_footprint_EU27[], 2, FALSE)</f>
        <v>95463.28454353835</v>
      </c>
      <c r="E168" s="4">
        <f>VLOOKUP(A168, output_exiobase_v3.10.2_EXIO_IOT_2022_pxp_Y_production_footprint_EU27[], 2, FALSE)</f>
        <v>1835453.4800970519</v>
      </c>
      <c r="F168" s="4">
        <f>VLOOKUP(A168, output_exiobase_v3.10.2_EXIO_IOT_2022_pxp_Z_production_footprint_EU27[], 2, FALSE)</f>
        <v>1205087436.826633</v>
      </c>
      <c r="G168" s="35">
        <f t="shared" si="14"/>
        <v>1.6372362554738321E-4</v>
      </c>
      <c r="H168" s="1">
        <f t="shared" si="15"/>
        <v>0.9998362763744526</v>
      </c>
    </row>
    <row r="169" spans="1:8" x14ac:dyDescent="0.3">
      <c r="A169" s="9" t="s">
        <v>80</v>
      </c>
      <c r="B169" s="29">
        <f t="shared" si="16"/>
        <v>1177484181.626081</v>
      </c>
      <c r="C169" s="4">
        <f>VLOOKUP(A169,  output_exiobase_v3.10.2_EXIO_IOT_2022_pxp_Y_imports_footprint_EU27[], 2, FALSE)</f>
        <v>4.3872819437104988</v>
      </c>
      <c r="D169" s="4">
        <f>VLOOKUP(A169, output_exiobase_v3.10.2_EXIO_IOT_2022_pxp_Z_imports_footprint_EU27[], 2, FALSE)</f>
        <v>13052.356019302038</v>
      </c>
      <c r="E169" s="4">
        <f>VLOOKUP(A169, output_exiobase_v3.10.2_EXIO_IOT_2022_pxp_Y_production_footprint_EU27[], 2, FALSE)</f>
        <v>48602448.154760636</v>
      </c>
      <c r="F169" s="4">
        <f>VLOOKUP(A169, output_exiobase_v3.10.2_EXIO_IOT_2022_pxp_Z_production_footprint_EU27[], 2, FALSE)</f>
        <v>1128868676.728019</v>
      </c>
      <c r="G169" s="35">
        <f t="shared" si="14"/>
        <v>1.1088678306671314E-5</v>
      </c>
      <c r="H169" s="1">
        <f t="shared" si="15"/>
        <v>0.99998891132169321</v>
      </c>
    </row>
    <row r="170" spans="1:8" x14ac:dyDescent="0.3">
      <c r="A170" s="9" t="s">
        <v>127</v>
      </c>
      <c r="B170" s="29">
        <f t="shared" ref="B170:B201" si="17">SUM(C170:F170)</f>
        <v>842080136.97924137</v>
      </c>
      <c r="C170" s="4">
        <f>VLOOKUP(A170,  output_exiobase_v3.10.2_EXIO_IOT_2022_pxp_Y_imports_footprint_EU27[], 2, FALSE)</f>
        <v>43453521.597794741</v>
      </c>
      <c r="D170" s="4">
        <f>VLOOKUP(A170, output_exiobase_v3.10.2_EXIO_IOT_2022_pxp_Z_imports_footprint_EU27[], 2, FALSE)</f>
        <v>207085138.40414971</v>
      </c>
      <c r="E170" s="4">
        <f>VLOOKUP(A170, output_exiobase_v3.10.2_EXIO_IOT_2022_pxp_Y_production_footprint_EU27[], 2, FALSE)</f>
        <v>139023636.61716986</v>
      </c>
      <c r="F170" s="4">
        <f>VLOOKUP(A170, output_exiobase_v3.10.2_EXIO_IOT_2022_pxp_Z_production_footprint_EU27[], 2, FALSE)</f>
        <v>452517840.36012709</v>
      </c>
      <c r="G170" s="35">
        <f t="shared" si="14"/>
        <v>0.29752353606236487</v>
      </c>
      <c r="H170" s="1">
        <f t="shared" si="15"/>
        <v>0.70247646393763519</v>
      </c>
    </row>
    <row r="171" spans="1:8" x14ac:dyDescent="0.3">
      <c r="A171" s="9" t="s">
        <v>199</v>
      </c>
      <c r="B171" s="29">
        <f t="shared" si="17"/>
        <v>833322058.38715684</v>
      </c>
      <c r="C171" s="4">
        <f>VLOOKUP(A171,  output_exiobase_v3.10.2_EXIO_IOT_2022_pxp_Y_imports_footprint_EU27[], 2, FALSE)</f>
        <v>267959452.02888933</v>
      </c>
      <c r="D171" s="4">
        <f>VLOOKUP(A171, output_exiobase_v3.10.2_EXIO_IOT_2022_pxp_Z_imports_footprint_EU27[], 2, FALSE)</f>
        <v>353752281.90789735</v>
      </c>
      <c r="E171" s="4">
        <f>VLOOKUP(A171, output_exiobase_v3.10.2_EXIO_IOT_2022_pxp_Y_production_footprint_EU27[], 2, FALSE)</f>
        <v>68384107.198709652</v>
      </c>
      <c r="F171" s="4">
        <f>VLOOKUP(A171, output_exiobase_v3.10.2_EXIO_IOT_2022_pxp_Z_production_footprint_EU27[], 2, FALSE)</f>
        <v>143226217.25166059</v>
      </c>
      <c r="G171" s="35">
        <f t="shared" si="14"/>
        <v>0.74606417492424371</v>
      </c>
      <c r="H171" s="1">
        <f t="shared" si="15"/>
        <v>0.25393582507575629</v>
      </c>
    </row>
    <row r="172" spans="1:8" x14ac:dyDescent="0.3">
      <c r="A172" s="9" t="s">
        <v>155</v>
      </c>
      <c r="B172" s="29">
        <f t="shared" si="17"/>
        <v>785582967.22541833</v>
      </c>
      <c r="C172" s="4">
        <f>VLOOKUP(A172,  output_exiobase_v3.10.2_EXIO_IOT_2022_pxp_Y_imports_footprint_EU27[], 2, FALSE)</f>
        <v>12202.175216727665</v>
      </c>
      <c r="D172" s="4">
        <f>VLOOKUP(A172, output_exiobase_v3.10.2_EXIO_IOT_2022_pxp_Z_imports_footprint_EU27[], 2, FALSE)</f>
        <v>3371628.3177130218</v>
      </c>
      <c r="E172" s="4">
        <f>VLOOKUP(A172, output_exiobase_v3.10.2_EXIO_IOT_2022_pxp_Y_production_footprint_EU27[], 2, FALSE)</f>
        <v>6259.5379877468604</v>
      </c>
      <c r="F172" s="4">
        <f>VLOOKUP(A172, output_exiobase_v3.10.2_EXIO_IOT_2022_pxp_Z_production_footprint_EU27[], 2, FALSE)</f>
        <v>782192877.1945008</v>
      </c>
      <c r="G172" s="35">
        <f t="shared" si="14"/>
        <v>4.307413263911538E-3</v>
      </c>
      <c r="H172" s="1">
        <f t="shared" si="15"/>
        <v>0.9956925867360884</v>
      </c>
    </row>
    <row r="173" spans="1:8" x14ac:dyDescent="0.3">
      <c r="A173" s="9" t="s">
        <v>110</v>
      </c>
      <c r="B173" s="29">
        <f t="shared" si="17"/>
        <v>744263530.43755722</v>
      </c>
      <c r="C173" s="4">
        <f>VLOOKUP(A173,  output_exiobase_v3.10.2_EXIO_IOT_2022_pxp_Y_imports_footprint_EU27[], 2, FALSE)</f>
        <v>3140.3607527872714</v>
      </c>
      <c r="D173" s="4">
        <f>VLOOKUP(A173, output_exiobase_v3.10.2_EXIO_IOT_2022_pxp_Z_imports_footprint_EU27[], 2, FALSE)</f>
        <v>16668.774142426751</v>
      </c>
      <c r="E173" s="4">
        <f>VLOOKUP(A173, output_exiobase_v3.10.2_EXIO_IOT_2022_pxp_Y_production_footprint_EU27[], 2, FALSE)</f>
        <v>18042411.622499365</v>
      </c>
      <c r="F173" s="4">
        <f>VLOOKUP(A173, output_exiobase_v3.10.2_EXIO_IOT_2022_pxp_Z_production_footprint_EU27[], 2, FALSE)</f>
        <v>726201309.68016267</v>
      </c>
      <c r="G173" s="35">
        <f t="shared" si="14"/>
        <v>2.6615753809095156E-5</v>
      </c>
      <c r="H173" s="1">
        <f t="shared" si="15"/>
        <v>0.99997338424619087</v>
      </c>
    </row>
    <row r="174" spans="1:8" x14ac:dyDescent="0.3">
      <c r="A174" s="9" t="s">
        <v>179</v>
      </c>
      <c r="B174" s="29">
        <f t="shared" si="17"/>
        <v>674150288.24679446</v>
      </c>
      <c r="C174" s="4">
        <f>VLOOKUP(A174,  output_exiobase_v3.10.2_EXIO_IOT_2022_pxp_Y_imports_footprint_EU27[], 2, FALSE)</f>
        <v>51382893.537803836</v>
      </c>
      <c r="D174" s="4">
        <f>VLOOKUP(A174, output_exiobase_v3.10.2_EXIO_IOT_2022_pxp_Z_imports_footprint_EU27[], 2, FALSE)</f>
        <v>168314543.30358914</v>
      </c>
      <c r="E174" s="4">
        <f>VLOOKUP(A174, output_exiobase_v3.10.2_EXIO_IOT_2022_pxp_Y_production_footprint_EU27[], 2, FALSE)</f>
        <v>70075.486317783769</v>
      </c>
      <c r="F174" s="4">
        <f>VLOOKUP(A174, output_exiobase_v3.10.2_EXIO_IOT_2022_pxp_Z_production_footprint_EU27[], 2, FALSE)</f>
        <v>454382775.91908377</v>
      </c>
      <c r="G174" s="35">
        <f t="shared" si="14"/>
        <v>0.32588792242860487</v>
      </c>
      <c r="H174" s="1">
        <f t="shared" si="15"/>
        <v>0.67411207757139524</v>
      </c>
    </row>
    <row r="175" spans="1:8" x14ac:dyDescent="0.3">
      <c r="A175" s="9" t="s">
        <v>130</v>
      </c>
      <c r="B175" s="29">
        <f t="shared" si="17"/>
        <v>629500691.32655191</v>
      </c>
      <c r="C175" s="4">
        <f>VLOOKUP(A175,  output_exiobase_v3.10.2_EXIO_IOT_2022_pxp_Y_imports_footprint_EU27[], 2, FALSE)</f>
        <v>58805909.110304721</v>
      </c>
      <c r="D175" s="4">
        <f>VLOOKUP(A175, output_exiobase_v3.10.2_EXIO_IOT_2022_pxp_Z_imports_footprint_EU27[], 2, FALSE)</f>
        <v>221885835.88422292</v>
      </c>
      <c r="E175" s="4">
        <f>VLOOKUP(A175, output_exiobase_v3.10.2_EXIO_IOT_2022_pxp_Y_production_footprint_EU27[], 2, FALSE)</f>
        <v>24025410.02943803</v>
      </c>
      <c r="F175" s="4">
        <f>VLOOKUP(A175, output_exiobase_v3.10.2_EXIO_IOT_2022_pxp_Z_production_footprint_EU27[], 2, FALSE)</f>
        <v>324783536.30258626</v>
      </c>
      <c r="G175" s="35">
        <f t="shared" si="14"/>
        <v>0.44589584866542981</v>
      </c>
      <c r="H175" s="1">
        <f t="shared" si="15"/>
        <v>0.55410415133457014</v>
      </c>
    </row>
    <row r="176" spans="1:8" x14ac:dyDescent="0.3">
      <c r="A176" s="9" t="s">
        <v>109</v>
      </c>
      <c r="B176" s="29">
        <f t="shared" si="17"/>
        <v>482772508.99553293</v>
      </c>
      <c r="C176" s="4">
        <f>VLOOKUP(A176,  output_exiobase_v3.10.2_EXIO_IOT_2022_pxp_Y_imports_footprint_EU27[], 2, FALSE)</f>
        <v>356716.62160557159</v>
      </c>
      <c r="D176" s="4">
        <f>VLOOKUP(A176, output_exiobase_v3.10.2_EXIO_IOT_2022_pxp_Z_imports_footprint_EU27[], 2, FALSE)</f>
        <v>18321.837035771045</v>
      </c>
      <c r="E176" s="4">
        <f>VLOOKUP(A176, output_exiobase_v3.10.2_EXIO_IOT_2022_pxp_Y_production_footprint_EU27[], 2, FALSE)</f>
        <v>519685.46943521732</v>
      </c>
      <c r="F176" s="4">
        <f>VLOOKUP(A176, output_exiobase_v3.10.2_EXIO_IOT_2022_pxp_Z_production_footprint_EU27[], 2, FALSE)</f>
        <v>481877785.06745636</v>
      </c>
      <c r="G176" s="35">
        <f t="shared" si="14"/>
        <v>7.7684302990171472E-4</v>
      </c>
      <c r="H176" s="1">
        <f t="shared" si="15"/>
        <v>0.99922315697009823</v>
      </c>
    </row>
    <row r="177" spans="1:8" x14ac:dyDescent="0.3">
      <c r="A177" s="9" t="s">
        <v>4</v>
      </c>
      <c r="B177" s="29">
        <f t="shared" si="17"/>
        <v>392513046.07634234</v>
      </c>
      <c r="C177" s="4">
        <f>VLOOKUP(A177,  output_exiobase_v3.10.2_EXIO_IOT_2022_pxp_Y_imports_footprint_EU27[], 2, FALSE)</f>
        <v>489081.0231258432</v>
      </c>
      <c r="D177" s="4">
        <f>VLOOKUP(A177, output_exiobase_v3.10.2_EXIO_IOT_2022_pxp_Z_imports_footprint_EU27[], 2, FALSE)</f>
        <v>13715861.532633236</v>
      </c>
      <c r="E177" s="4">
        <f>VLOOKUP(A177, output_exiobase_v3.10.2_EXIO_IOT_2022_pxp_Y_production_footprint_EU27[], 2, FALSE)</f>
        <v>1267618.300995806</v>
      </c>
      <c r="F177" s="4">
        <f>VLOOKUP(A177, output_exiobase_v3.10.2_EXIO_IOT_2022_pxp_Z_production_footprint_EU27[], 2, FALSE)</f>
        <v>377040485.21958745</v>
      </c>
      <c r="G177" s="35">
        <f t="shared" si="14"/>
        <v>3.6189733558553545E-2</v>
      </c>
      <c r="H177" s="1">
        <f t="shared" si="15"/>
        <v>0.96381026644144652</v>
      </c>
    </row>
    <row r="178" spans="1:8" x14ac:dyDescent="0.3">
      <c r="A178" s="9" t="s">
        <v>28</v>
      </c>
      <c r="B178" s="29">
        <f t="shared" si="17"/>
        <v>367680299.17337233</v>
      </c>
      <c r="C178" s="4">
        <f>VLOOKUP(A178,  output_exiobase_v3.10.2_EXIO_IOT_2022_pxp_Y_imports_footprint_EU27[], 2, FALSE)</f>
        <v>372179.77676563489</v>
      </c>
      <c r="D178" s="4">
        <f>VLOOKUP(A178, output_exiobase_v3.10.2_EXIO_IOT_2022_pxp_Z_imports_footprint_EU27[], 2, FALSE)</f>
        <v>468618.20938714576</v>
      </c>
      <c r="E178" s="4">
        <f>VLOOKUP(A178, output_exiobase_v3.10.2_EXIO_IOT_2022_pxp_Y_production_footprint_EU27[], 2, FALSE)</f>
        <v>56592190.775346451</v>
      </c>
      <c r="F178" s="4">
        <f>VLOOKUP(A178, output_exiobase_v3.10.2_EXIO_IOT_2022_pxp_Z_production_footprint_EU27[], 2, FALSE)</f>
        <v>310247310.4118731</v>
      </c>
    </row>
    <row r="179" spans="1:8" x14ac:dyDescent="0.3">
      <c r="A179" s="9" t="s">
        <v>125</v>
      </c>
      <c r="B179" s="29">
        <f t="shared" si="17"/>
        <v>350436223.621912</v>
      </c>
      <c r="C179" s="4">
        <f>VLOOKUP(A179,  output_exiobase_v3.10.2_EXIO_IOT_2022_pxp_Y_imports_footprint_EU27[], 2, FALSE)</f>
        <v>3.3151452046595282</v>
      </c>
      <c r="D179" s="4">
        <f>VLOOKUP(A179, output_exiobase_v3.10.2_EXIO_IOT_2022_pxp_Z_imports_footprint_EU27[], 2, FALSE)</f>
        <v>989.42083366026725</v>
      </c>
      <c r="E179" s="4">
        <f>VLOOKUP(A179, output_exiobase_v3.10.2_EXIO_IOT_2022_pxp_Y_production_footprint_EU27[], 2, FALSE)</f>
        <v>33122346.686814278</v>
      </c>
      <c r="F179" s="4">
        <f>VLOOKUP(A179, output_exiobase_v3.10.2_EXIO_IOT_2022_pxp_Z_production_footprint_EU27[], 2, FALSE)</f>
        <v>317312884.19911885</v>
      </c>
      <c r="G179" s="35">
        <f>(C179+D179)/B179</f>
        <v>2.8328577696807858E-6</v>
      </c>
      <c r="H179" s="1">
        <f>(E179+F179)/B179</f>
        <v>0.99999716714223041</v>
      </c>
    </row>
    <row r="180" spans="1:8" x14ac:dyDescent="0.3">
      <c r="A180" s="9" t="s">
        <v>69</v>
      </c>
      <c r="B180" s="29">
        <f t="shared" si="17"/>
        <v>299471151.48728657</v>
      </c>
      <c r="C180" s="4">
        <f>VLOOKUP(A180,  output_exiobase_v3.10.2_EXIO_IOT_2022_pxp_Y_imports_footprint_EU27[], 2, FALSE)</f>
        <v>76067.807299475899</v>
      </c>
      <c r="D180" s="4">
        <f>VLOOKUP(A180, output_exiobase_v3.10.2_EXIO_IOT_2022_pxp_Z_imports_footprint_EU27[], 2, FALSE)</f>
        <v>84942.910210867209</v>
      </c>
      <c r="E180" s="4">
        <f>VLOOKUP(A180, output_exiobase_v3.10.2_EXIO_IOT_2022_pxp_Y_production_footprint_EU27[], 2, FALSE)</f>
        <v>601242.10451574507</v>
      </c>
      <c r="F180" s="4">
        <f>VLOOKUP(A180, output_exiobase_v3.10.2_EXIO_IOT_2022_pxp_Z_production_footprint_EU27[], 2, FALSE)</f>
        <v>298708898.66526049</v>
      </c>
    </row>
    <row r="181" spans="1:8" x14ac:dyDescent="0.3">
      <c r="A181" s="9" t="s">
        <v>50</v>
      </c>
      <c r="B181" s="29">
        <f t="shared" si="17"/>
        <v>270851117.22797388</v>
      </c>
      <c r="C181" s="4">
        <f>VLOOKUP(A181,  output_exiobase_v3.10.2_EXIO_IOT_2022_pxp_Y_imports_footprint_EU27[], 2, FALSE)</f>
        <v>5427.3696385416106</v>
      </c>
      <c r="D181" s="4">
        <f>VLOOKUP(A181, output_exiobase_v3.10.2_EXIO_IOT_2022_pxp_Z_imports_footprint_EU27[], 2, FALSE)</f>
        <v>133175.66957162271</v>
      </c>
      <c r="E181" s="4">
        <f>VLOOKUP(A181, output_exiobase_v3.10.2_EXIO_IOT_2022_pxp_Y_production_footprint_EU27[], 2, FALSE)</f>
        <v>15117698.444151361</v>
      </c>
      <c r="F181" s="4">
        <f>VLOOKUP(A181, output_exiobase_v3.10.2_EXIO_IOT_2022_pxp_Z_production_footprint_EU27[], 2, FALSE)</f>
        <v>255594815.74461234</v>
      </c>
      <c r="G181" s="35">
        <f t="shared" ref="G181:G209" si="18">(C181+D181)/B181</f>
        <v>5.1173146571702308E-4</v>
      </c>
      <c r="H181" s="1">
        <f t="shared" ref="H181:H209" si="19">(E181+F181)/B181</f>
        <v>0.99948826853428285</v>
      </c>
    </row>
    <row r="182" spans="1:8" x14ac:dyDescent="0.3">
      <c r="A182" s="9" t="s">
        <v>54</v>
      </c>
      <c r="B182" s="29">
        <f t="shared" si="17"/>
        <v>245135388.87225762</v>
      </c>
      <c r="C182" s="4">
        <f>VLOOKUP(A182,  output_exiobase_v3.10.2_EXIO_IOT_2022_pxp_Y_imports_footprint_EU27[], 2, FALSE)</f>
        <v>52968059.392184898</v>
      </c>
      <c r="D182" s="4">
        <f>VLOOKUP(A182, output_exiobase_v3.10.2_EXIO_IOT_2022_pxp_Z_imports_footprint_EU27[], 2, FALSE)</f>
        <v>190543139.15583262</v>
      </c>
      <c r="E182" s="4">
        <f>VLOOKUP(A182, output_exiobase_v3.10.2_EXIO_IOT_2022_pxp_Y_production_footprint_EU27[], 2, FALSE)</f>
        <v>247594.3487237583</v>
      </c>
      <c r="F182" s="4">
        <f>VLOOKUP(A182, output_exiobase_v3.10.2_EXIO_IOT_2022_pxp_Z_production_footprint_EU27[], 2, FALSE)</f>
        <v>1376595.9755163374</v>
      </c>
      <c r="G182" s="35">
        <f t="shared" si="18"/>
        <v>0.9933743131429853</v>
      </c>
      <c r="H182" s="1">
        <f t="shared" si="19"/>
        <v>6.6256868570146628E-3</v>
      </c>
    </row>
    <row r="183" spans="1:8" x14ac:dyDescent="0.3">
      <c r="A183" s="9" t="s">
        <v>42</v>
      </c>
      <c r="B183" s="29">
        <f t="shared" si="17"/>
        <v>235048660.8549906</v>
      </c>
      <c r="C183" s="4">
        <f>VLOOKUP(A183,  output_exiobase_v3.10.2_EXIO_IOT_2022_pxp_Y_imports_footprint_EU27[], 2, FALSE)</f>
        <v>3205514.4491789397</v>
      </c>
      <c r="D183" s="4">
        <f>VLOOKUP(A183, output_exiobase_v3.10.2_EXIO_IOT_2022_pxp_Z_imports_footprint_EU27[], 2, FALSE)</f>
        <v>15960403.602476943</v>
      </c>
      <c r="E183" s="4">
        <f>VLOOKUP(A183, output_exiobase_v3.10.2_EXIO_IOT_2022_pxp_Y_production_footprint_EU27[], 2, FALSE)</f>
        <v>30721493.409331687</v>
      </c>
      <c r="F183" s="4">
        <f>VLOOKUP(A183, output_exiobase_v3.10.2_EXIO_IOT_2022_pxp_Z_production_footprint_EU27[], 2, FALSE)</f>
        <v>185161249.39400303</v>
      </c>
      <c r="G183" s="35">
        <f t="shared" si="18"/>
        <v>8.154021376654419E-2</v>
      </c>
      <c r="H183" s="1">
        <f t="shared" si="19"/>
        <v>0.91845978623345581</v>
      </c>
    </row>
    <row r="184" spans="1:8" x14ac:dyDescent="0.3">
      <c r="A184" s="9" t="s">
        <v>53</v>
      </c>
      <c r="B184" s="29">
        <f t="shared" si="17"/>
        <v>108842359.68928659</v>
      </c>
      <c r="C184" s="4">
        <f>VLOOKUP(A184,  output_exiobase_v3.10.2_EXIO_IOT_2022_pxp_Y_imports_footprint_EU27[], 2, FALSE)</f>
        <v>213450.17698320682</v>
      </c>
      <c r="D184" s="4">
        <f>VLOOKUP(A184, output_exiobase_v3.10.2_EXIO_IOT_2022_pxp_Z_imports_footprint_EU27[], 2, FALSE)</f>
        <v>402611.55634559138</v>
      </c>
      <c r="E184" s="4">
        <f>VLOOKUP(A184, output_exiobase_v3.10.2_EXIO_IOT_2022_pxp_Y_production_footprint_EU27[], 2, FALSE)</f>
        <v>17233365.421886072</v>
      </c>
      <c r="F184" s="4">
        <f>VLOOKUP(A184, output_exiobase_v3.10.2_EXIO_IOT_2022_pxp_Z_production_footprint_EU27[], 2, FALSE)</f>
        <v>90992932.534071729</v>
      </c>
      <c r="G184" s="35">
        <f t="shared" si="18"/>
        <v>5.6601284195553648E-3</v>
      </c>
      <c r="H184" s="1">
        <f t="shared" si="19"/>
        <v>0.99433987158044468</v>
      </c>
    </row>
    <row r="185" spans="1:8" x14ac:dyDescent="0.3">
      <c r="A185" s="9" t="s">
        <v>129</v>
      </c>
      <c r="B185" s="29">
        <f t="shared" si="17"/>
        <v>97709205.707332462</v>
      </c>
      <c r="C185" s="4">
        <f>VLOOKUP(A185,  output_exiobase_v3.10.2_EXIO_IOT_2022_pxp_Y_imports_footprint_EU27[], 2, FALSE)</f>
        <v>20777815.065933894</v>
      </c>
      <c r="D185" s="4">
        <f>VLOOKUP(A185, output_exiobase_v3.10.2_EXIO_IOT_2022_pxp_Z_imports_footprint_EU27[], 2, FALSE)</f>
        <v>10182650.921971455</v>
      </c>
      <c r="E185" s="4">
        <f>VLOOKUP(A185, output_exiobase_v3.10.2_EXIO_IOT_2022_pxp_Y_production_footprint_EU27[], 2, FALSE)</f>
        <v>10865874.533105569</v>
      </c>
      <c r="F185" s="4">
        <f>VLOOKUP(A185, output_exiobase_v3.10.2_EXIO_IOT_2022_pxp_Z_production_footprint_EU27[], 2, FALSE)</f>
        <v>55882865.186321542</v>
      </c>
      <c r="G185" s="35">
        <f t="shared" si="18"/>
        <v>0.31686334735583632</v>
      </c>
      <c r="H185" s="1">
        <f t="shared" si="19"/>
        <v>0.68313665264416368</v>
      </c>
    </row>
    <row r="186" spans="1:8" x14ac:dyDescent="0.3">
      <c r="A186" s="9" t="s">
        <v>189</v>
      </c>
      <c r="B186" s="29">
        <f t="shared" si="17"/>
        <v>97390490.08861509</v>
      </c>
      <c r="C186" s="4">
        <f>VLOOKUP(A186,  output_exiobase_v3.10.2_EXIO_IOT_2022_pxp_Y_imports_footprint_EU27[], 2, FALSE)</f>
        <v>0</v>
      </c>
      <c r="D186" s="4">
        <f>VLOOKUP(A186, output_exiobase_v3.10.2_EXIO_IOT_2022_pxp_Z_imports_footprint_EU27[], 2, FALSE)</f>
        <v>0</v>
      </c>
      <c r="E186" s="4">
        <f>VLOOKUP(A186, output_exiobase_v3.10.2_EXIO_IOT_2022_pxp_Y_production_footprint_EU27[], 2, FALSE)</f>
        <v>4311492.775115802</v>
      </c>
      <c r="F186" s="4">
        <f>VLOOKUP(A186, output_exiobase_v3.10.2_EXIO_IOT_2022_pxp_Z_production_footprint_EU27[], 2, FALSE)</f>
        <v>93078997.313499287</v>
      </c>
      <c r="G186" s="35">
        <f t="shared" si="18"/>
        <v>0</v>
      </c>
      <c r="H186" s="1">
        <f t="shared" si="19"/>
        <v>1</v>
      </c>
    </row>
    <row r="187" spans="1:8" x14ac:dyDescent="0.3">
      <c r="A187" s="9" t="s">
        <v>8</v>
      </c>
      <c r="B187" s="29">
        <f t="shared" si="17"/>
        <v>65590215.354090735</v>
      </c>
      <c r="C187" s="4">
        <f>VLOOKUP(A187,  output_exiobase_v3.10.2_EXIO_IOT_2022_pxp_Y_imports_footprint_EU27[], 2, FALSE)</f>
        <v>16671.667287496319</v>
      </c>
      <c r="D187" s="4">
        <f>VLOOKUP(A187, output_exiobase_v3.10.2_EXIO_IOT_2022_pxp_Z_imports_footprint_EU27[], 2, FALSE)</f>
        <v>4871766.1071954416</v>
      </c>
      <c r="E187" s="4">
        <f>VLOOKUP(A187, output_exiobase_v3.10.2_EXIO_IOT_2022_pxp_Y_production_footprint_EU27[], 2, FALSE)</f>
        <v>8164601.9730901876</v>
      </c>
      <c r="F187" s="4">
        <f>VLOOKUP(A187, output_exiobase_v3.10.2_EXIO_IOT_2022_pxp_Z_production_footprint_EU27[], 2, FALSE)</f>
        <v>52537175.606517605</v>
      </c>
      <c r="G187" s="35">
        <f t="shared" si="18"/>
        <v>7.452998512190516E-2</v>
      </c>
      <c r="H187" s="1">
        <f t="shared" si="19"/>
        <v>0.92547001487809477</v>
      </c>
    </row>
    <row r="188" spans="1:8" x14ac:dyDescent="0.3">
      <c r="A188" s="9" t="s">
        <v>123</v>
      </c>
      <c r="B188" s="29">
        <f t="shared" si="17"/>
        <v>49831428.54755301</v>
      </c>
      <c r="C188" s="4">
        <f>VLOOKUP(A188,  output_exiobase_v3.10.2_EXIO_IOT_2022_pxp_Y_imports_footprint_EU27[], 2, FALSE)</f>
        <v>0</v>
      </c>
      <c r="D188" s="4">
        <f>VLOOKUP(A188, output_exiobase_v3.10.2_EXIO_IOT_2022_pxp_Z_imports_footprint_EU27[], 2, FALSE)</f>
        <v>0</v>
      </c>
      <c r="E188" s="4">
        <f>VLOOKUP(A188, output_exiobase_v3.10.2_EXIO_IOT_2022_pxp_Y_production_footprint_EU27[], 2, FALSE)</f>
        <v>8420178.3639653977</v>
      </c>
      <c r="F188" s="4">
        <f>VLOOKUP(A188, output_exiobase_v3.10.2_EXIO_IOT_2022_pxp_Z_production_footprint_EU27[], 2, FALSE)</f>
        <v>41411250.183587611</v>
      </c>
      <c r="G188" s="35">
        <f t="shared" si="18"/>
        <v>0</v>
      </c>
      <c r="H188" s="1">
        <f t="shared" si="19"/>
        <v>1</v>
      </c>
    </row>
    <row r="189" spans="1:8" x14ac:dyDescent="0.3">
      <c r="A189" s="9" t="s">
        <v>128</v>
      </c>
      <c r="B189" s="29">
        <f t="shared" si="17"/>
        <v>24824074.194041304</v>
      </c>
      <c r="C189" s="4">
        <f>VLOOKUP(A189,  output_exiobase_v3.10.2_EXIO_IOT_2022_pxp_Y_imports_footprint_EU27[], 2, FALSE)</f>
        <v>11384826.905338453</v>
      </c>
      <c r="D189" s="4">
        <f>VLOOKUP(A189, output_exiobase_v3.10.2_EXIO_IOT_2022_pxp_Z_imports_footprint_EU27[], 2, FALSE)</f>
        <v>5637511.8708849512</v>
      </c>
      <c r="E189" s="4">
        <f>VLOOKUP(A189, output_exiobase_v3.10.2_EXIO_IOT_2022_pxp_Y_production_footprint_EU27[], 2, FALSE)</f>
        <v>8.9961507288059419</v>
      </c>
      <c r="F189" s="4">
        <f>VLOOKUP(A189, output_exiobase_v3.10.2_EXIO_IOT_2022_pxp_Z_production_footprint_EU27[], 2, FALSE)</f>
        <v>7801726.4216671716</v>
      </c>
      <c r="G189" s="35">
        <f t="shared" si="18"/>
        <v>0.68571897760075973</v>
      </c>
      <c r="H189" s="1">
        <f t="shared" si="19"/>
        <v>0.31428102239924038</v>
      </c>
    </row>
    <row r="190" spans="1:8" x14ac:dyDescent="0.3">
      <c r="A190" s="9" t="s">
        <v>119</v>
      </c>
      <c r="B190" s="29">
        <f t="shared" si="17"/>
        <v>7367811.6680229902</v>
      </c>
      <c r="C190" s="4">
        <f>VLOOKUP(A190,  output_exiobase_v3.10.2_EXIO_IOT_2022_pxp_Y_imports_footprint_EU27[], 2, FALSE)</f>
        <v>24890.546903384708</v>
      </c>
      <c r="D190" s="4">
        <f>VLOOKUP(A190, output_exiobase_v3.10.2_EXIO_IOT_2022_pxp_Z_imports_footprint_EU27[], 2, FALSE)</f>
        <v>2060.5024101826234</v>
      </c>
      <c r="E190" s="4">
        <f>VLOOKUP(A190, output_exiobase_v3.10.2_EXIO_IOT_2022_pxp_Y_production_footprint_EU27[], 2, FALSE)</f>
        <v>190416.76846410858</v>
      </c>
      <c r="F190" s="4">
        <f>VLOOKUP(A190, output_exiobase_v3.10.2_EXIO_IOT_2022_pxp_Z_production_footprint_EU27[], 2, FALSE)</f>
        <v>7150443.8502453147</v>
      </c>
      <c r="G190" s="35">
        <f t="shared" si="18"/>
        <v>3.657944926922803E-3</v>
      </c>
      <c r="H190" s="1">
        <f t="shared" si="19"/>
        <v>0.99634205507307727</v>
      </c>
    </row>
    <row r="191" spans="1:8" x14ac:dyDescent="0.3">
      <c r="A191" s="9" t="s">
        <v>51</v>
      </c>
      <c r="B191" s="29">
        <f t="shared" si="17"/>
        <v>6293757.47630875</v>
      </c>
      <c r="C191" s="4">
        <f>VLOOKUP(A191,  output_exiobase_v3.10.2_EXIO_IOT_2022_pxp_Y_imports_footprint_EU27[], 2, FALSE)</f>
        <v>14122.521514213695</v>
      </c>
      <c r="D191" s="4">
        <f>VLOOKUP(A191, output_exiobase_v3.10.2_EXIO_IOT_2022_pxp_Z_imports_footprint_EU27[], 2, FALSE)</f>
        <v>22107.671885149524</v>
      </c>
      <c r="E191" s="4">
        <f>VLOOKUP(A191, output_exiobase_v3.10.2_EXIO_IOT_2022_pxp_Y_production_footprint_EU27[], 2, FALSE)</f>
        <v>1333668.9754657145</v>
      </c>
      <c r="F191" s="4">
        <f>VLOOKUP(A191, output_exiobase_v3.10.2_EXIO_IOT_2022_pxp_Z_production_footprint_EU27[], 2, FALSE)</f>
        <v>4923858.3074436728</v>
      </c>
      <c r="G191" s="35">
        <f t="shared" si="18"/>
        <v>5.7565283593691962E-3</v>
      </c>
      <c r="H191" s="1">
        <f t="shared" si="19"/>
        <v>0.99424347164063098</v>
      </c>
    </row>
    <row r="192" spans="1:8" x14ac:dyDescent="0.3">
      <c r="A192" s="9" t="s">
        <v>17</v>
      </c>
      <c r="B192" s="29">
        <f t="shared" si="17"/>
        <v>0</v>
      </c>
      <c r="C192" s="4">
        <f>VLOOKUP(A192,  output_exiobase_v3.10.2_EXIO_IOT_2022_pxp_Y_imports_footprint_EU27[], 2, FALSE)</f>
        <v>0</v>
      </c>
      <c r="D192" s="4">
        <f>VLOOKUP(A192, output_exiobase_v3.10.2_EXIO_IOT_2022_pxp_Z_imports_footprint_EU27[], 2, FALSE)</f>
        <v>0</v>
      </c>
      <c r="E192" s="4">
        <f>VLOOKUP(A192, output_exiobase_v3.10.2_EXIO_IOT_2022_pxp_Y_production_footprint_EU27[], 2, FALSE)</f>
        <v>0</v>
      </c>
      <c r="F192" s="4">
        <f>VLOOKUP(A192, output_exiobase_v3.10.2_EXIO_IOT_2022_pxp_Z_production_footprint_EU27[], 2, FALSE)</f>
        <v>0</v>
      </c>
      <c r="G192" s="35" t="e">
        <f t="shared" si="18"/>
        <v>#DIV/0!</v>
      </c>
      <c r="H192" s="1" t="e">
        <f t="shared" si="19"/>
        <v>#DIV/0!</v>
      </c>
    </row>
    <row r="193" spans="1:8" x14ac:dyDescent="0.3">
      <c r="A193" s="9" t="s">
        <v>165</v>
      </c>
      <c r="B193" s="29">
        <f t="shared" si="17"/>
        <v>0</v>
      </c>
      <c r="C193" s="4">
        <f>VLOOKUP(A193,  output_exiobase_v3.10.2_EXIO_IOT_2022_pxp_Y_imports_footprint_EU27[], 2, FALSE)</f>
        <v>0</v>
      </c>
      <c r="D193" s="4">
        <f>VLOOKUP(A193, output_exiobase_v3.10.2_EXIO_IOT_2022_pxp_Z_imports_footprint_EU27[], 2, FALSE)</f>
        <v>0</v>
      </c>
      <c r="E193" s="4">
        <f>VLOOKUP(A193, output_exiobase_v3.10.2_EXIO_IOT_2022_pxp_Y_production_footprint_EU27[], 2, FALSE)</f>
        <v>0</v>
      </c>
      <c r="F193" s="4">
        <f>VLOOKUP(A193, output_exiobase_v3.10.2_EXIO_IOT_2022_pxp_Z_production_footprint_EU27[], 2, FALSE)</f>
        <v>0</v>
      </c>
      <c r="G193" s="35" t="e">
        <f t="shared" si="18"/>
        <v>#DIV/0!</v>
      </c>
      <c r="H193" s="1" t="e">
        <f t="shared" si="19"/>
        <v>#DIV/0!</v>
      </c>
    </row>
    <row r="194" spans="1:8" x14ac:dyDescent="0.3">
      <c r="A194" s="9" t="s">
        <v>7</v>
      </c>
      <c r="B194" s="29">
        <f t="shared" si="17"/>
        <v>0</v>
      </c>
      <c r="C194" s="4">
        <f>VLOOKUP(A194,  output_exiobase_v3.10.2_EXIO_IOT_2022_pxp_Y_imports_footprint_EU27[], 2, FALSE)</f>
        <v>0</v>
      </c>
      <c r="D194" s="4">
        <f>VLOOKUP(A194, output_exiobase_v3.10.2_EXIO_IOT_2022_pxp_Z_imports_footprint_EU27[], 2, FALSE)</f>
        <v>0</v>
      </c>
      <c r="E194" s="4">
        <f>VLOOKUP(A194, output_exiobase_v3.10.2_EXIO_IOT_2022_pxp_Y_production_footprint_EU27[], 2, FALSE)</f>
        <v>0</v>
      </c>
      <c r="F194" s="4">
        <f>VLOOKUP(A194, output_exiobase_v3.10.2_EXIO_IOT_2022_pxp_Z_production_footprint_EU27[], 2, FALSE)</f>
        <v>0</v>
      </c>
      <c r="G194" s="35" t="e">
        <f t="shared" si="18"/>
        <v>#DIV/0!</v>
      </c>
      <c r="H194" s="1" t="e">
        <f t="shared" si="19"/>
        <v>#DIV/0!</v>
      </c>
    </row>
    <row r="195" spans="1:8" x14ac:dyDescent="0.3">
      <c r="A195" s="9" t="s">
        <v>167</v>
      </c>
      <c r="B195" s="29">
        <f t="shared" si="17"/>
        <v>0</v>
      </c>
      <c r="C195" s="4">
        <f>VLOOKUP(A195,  output_exiobase_v3.10.2_EXIO_IOT_2022_pxp_Y_imports_footprint_EU27[], 2, FALSE)</f>
        <v>0</v>
      </c>
      <c r="D195" s="4">
        <f>VLOOKUP(A195, output_exiobase_v3.10.2_EXIO_IOT_2022_pxp_Z_imports_footprint_EU27[], 2, FALSE)</f>
        <v>0</v>
      </c>
      <c r="E195" s="4">
        <f>VLOOKUP(A195, output_exiobase_v3.10.2_EXIO_IOT_2022_pxp_Y_production_footprint_EU27[], 2, FALSE)</f>
        <v>0</v>
      </c>
      <c r="F195" s="4">
        <f>VLOOKUP(A195, output_exiobase_v3.10.2_EXIO_IOT_2022_pxp_Z_production_footprint_EU27[], 2, FALSE)</f>
        <v>0</v>
      </c>
      <c r="G195" s="35" t="e">
        <f t="shared" si="18"/>
        <v>#DIV/0!</v>
      </c>
      <c r="H195" s="1" t="e">
        <f t="shared" si="19"/>
        <v>#DIV/0!</v>
      </c>
    </row>
    <row r="196" spans="1:8" x14ac:dyDescent="0.3">
      <c r="A196" s="9" t="s">
        <v>174</v>
      </c>
      <c r="B196" s="29">
        <f t="shared" si="17"/>
        <v>0</v>
      </c>
      <c r="C196" s="4">
        <f>VLOOKUP(A196,  output_exiobase_v3.10.2_EXIO_IOT_2022_pxp_Y_imports_footprint_EU27[], 2, FALSE)</f>
        <v>0</v>
      </c>
      <c r="D196" s="4">
        <f>VLOOKUP(A196, output_exiobase_v3.10.2_EXIO_IOT_2022_pxp_Z_imports_footprint_EU27[], 2, FALSE)</f>
        <v>0</v>
      </c>
      <c r="E196" s="4">
        <f>VLOOKUP(A196, output_exiobase_v3.10.2_EXIO_IOT_2022_pxp_Y_production_footprint_EU27[], 2, FALSE)</f>
        <v>0</v>
      </c>
      <c r="F196" s="4">
        <f>VLOOKUP(A196, output_exiobase_v3.10.2_EXIO_IOT_2022_pxp_Z_production_footprint_EU27[], 2, FALSE)</f>
        <v>0</v>
      </c>
      <c r="G196" s="35" t="e">
        <f t="shared" si="18"/>
        <v>#DIV/0!</v>
      </c>
      <c r="H196" s="1" t="e">
        <f t="shared" si="19"/>
        <v>#DIV/0!</v>
      </c>
    </row>
    <row r="197" spans="1:8" x14ac:dyDescent="0.3">
      <c r="A197" s="9" t="s">
        <v>164</v>
      </c>
      <c r="B197" s="29">
        <f t="shared" si="17"/>
        <v>0</v>
      </c>
      <c r="C197" s="4">
        <f>VLOOKUP(A197,  output_exiobase_v3.10.2_EXIO_IOT_2022_pxp_Y_imports_footprint_EU27[], 2, FALSE)</f>
        <v>0</v>
      </c>
      <c r="D197" s="4">
        <f>VLOOKUP(A197, output_exiobase_v3.10.2_EXIO_IOT_2022_pxp_Z_imports_footprint_EU27[], 2, FALSE)</f>
        <v>0</v>
      </c>
      <c r="E197" s="4">
        <f>VLOOKUP(A197, output_exiobase_v3.10.2_EXIO_IOT_2022_pxp_Y_production_footprint_EU27[], 2, FALSE)</f>
        <v>0</v>
      </c>
      <c r="F197" s="4">
        <f>VLOOKUP(A197, output_exiobase_v3.10.2_EXIO_IOT_2022_pxp_Z_production_footprint_EU27[], 2, FALSE)</f>
        <v>0</v>
      </c>
      <c r="G197" s="35" t="e">
        <f t="shared" si="18"/>
        <v>#DIV/0!</v>
      </c>
      <c r="H197" s="1" t="e">
        <f t="shared" si="19"/>
        <v>#DIV/0!</v>
      </c>
    </row>
    <row r="198" spans="1:8" x14ac:dyDescent="0.3">
      <c r="A198" s="9" t="s">
        <v>169</v>
      </c>
      <c r="B198" s="29">
        <f t="shared" si="17"/>
        <v>0</v>
      </c>
      <c r="C198" s="4">
        <f>VLOOKUP(A198,  output_exiobase_v3.10.2_EXIO_IOT_2022_pxp_Y_imports_footprint_EU27[], 2, FALSE)</f>
        <v>0</v>
      </c>
      <c r="D198" s="4">
        <f>VLOOKUP(A198, output_exiobase_v3.10.2_EXIO_IOT_2022_pxp_Z_imports_footprint_EU27[], 2, FALSE)</f>
        <v>0</v>
      </c>
      <c r="E198" s="4">
        <f>VLOOKUP(A198, output_exiobase_v3.10.2_EXIO_IOT_2022_pxp_Y_production_footprint_EU27[], 2, FALSE)</f>
        <v>0</v>
      </c>
      <c r="F198" s="4">
        <f>VLOOKUP(A198, output_exiobase_v3.10.2_EXIO_IOT_2022_pxp_Z_production_footprint_EU27[], 2, FALSE)</f>
        <v>0</v>
      </c>
      <c r="G198" s="35" t="e">
        <f t="shared" si="18"/>
        <v>#DIV/0!</v>
      </c>
      <c r="H198" s="1" t="e">
        <f t="shared" si="19"/>
        <v>#DIV/0!</v>
      </c>
    </row>
    <row r="199" spans="1:8" x14ac:dyDescent="0.3">
      <c r="A199" s="9" t="s">
        <v>168</v>
      </c>
      <c r="B199" s="29">
        <f t="shared" si="17"/>
        <v>0</v>
      </c>
      <c r="C199" s="4">
        <f>VLOOKUP(A199,  output_exiobase_v3.10.2_EXIO_IOT_2022_pxp_Y_imports_footprint_EU27[], 2, FALSE)</f>
        <v>0</v>
      </c>
      <c r="D199" s="4">
        <f>VLOOKUP(A199, output_exiobase_v3.10.2_EXIO_IOT_2022_pxp_Z_imports_footprint_EU27[], 2, FALSE)</f>
        <v>0</v>
      </c>
      <c r="E199" s="4">
        <f>VLOOKUP(A199, output_exiobase_v3.10.2_EXIO_IOT_2022_pxp_Y_production_footprint_EU27[], 2, FALSE)</f>
        <v>0</v>
      </c>
      <c r="F199" s="4">
        <f>VLOOKUP(A199, output_exiobase_v3.10.2_EXIO_IOT_2022_pxp_Z_production_footprint_EU27[], 2, FALSE)</f>
        <v>0</v>
      </c>
      <c r="G199" s="35" t="e">
        <f t="shared" si="18"/>
        <v>#DIV/0!</v>
      </c>
      <c r="H199" s="1" t="e">
        <f t="shared" si="19"/>
        <v>#DIV/0!</v>
      </c>
    </row>
    <row r="200" spans="1:8" x14ac:dyDescent="0.3">
      <c r="A200" s="9" t="s">
        <v>166</v>
      </c>
      <c r="B200" s="29">
        <f t="shared" si="17"/>
        <v>0</v>
      </c>
      <c r="C200" s="4">
        <f>VLOOKUP(A200,  output_exiobase_v3.10.2_EXIO_IOT_2022_pxp_Y_imports_footprint_EU27[], 2, FALSE)</f>
        <v>0</v>
      </c>
      <c r="D200" s="4">
        <f>VLOOKUP(A200, output_exiobase_v3.10.2_EXIO_IOT_2022_pxp_Z_imports_footprint_EU27[], 2, FALSE)</f>
        <v>0</v>
      </c>
      <c r="E200" s="4">
        <f>VLOOKUP(A200, output_exiobase_v3.10.2_EXIO_IOT_2022_pxp_Y_production_footprint_EU27[], 2, FALSE)</f>
        <v>0</v>
      </c>
      <c r="F200" s="4">
        <f>VLOOKUP(A200, output_exiobase_v3.10.2_EXIO_IOT_2022_pxp_Z_production_footprint_EU27[], 2, FALSE)</f>
        <v>0</v>
      </c>
      <c r="G200" s="35" t="e">
        <f t="shared" si="18"/>
        <v>#DIV/0!</v>
      </c>
      <c r="H200" s="1" t="e">
        <f t="shared" si="19"/>
        <v>#DIV/0!</v>
      </c>
    </row>
    <row r="201" spans="1:8" x14ac:dyDescent="0.3">
      <c r="A201" s="9" t="s">
        <v>172</v>
      </c>
      <c r="B201" s="29">
        <f t="shared" si="17"/>
        <v>0</v>
      </c>
      <c r="C201" s="4">
        <f>VLOOKUP(A201,  output_exiobase_v3.10.2_EXIO_IOT_2022_pxp_Y_imports_footprint_EU27[], 2, FALSE)</f>
        <v>0</v>
      </c>
      <c r="D201" s="4">
        <f>VLOOKUP(A201, output_exiobase_v3.10.2_EXIO_IOT_2022_pxp_Z_imports_footprint_EU27[], 2, FALSE)</f>
        <v>0</v>
      </c>
      <c r="E201" s="4">
        <f>VLOOKUP(A201, output_exiobase_v3.10.2_EXIO_IOT_2022_pxp_Y_production_footprint_EU27[], 2, FALSE)</f>
        <v>0</v>
      </c>
      <c r="F201" s="4">
        <f>VLOOKUP(A201, output_exiobase_v3.10.2_EXIO_IOT_2022_pxp_Z_production_footprint_EU27[], 2, FALSE)</f>
        <v>0</v>
      </c>
      <c r="G201" s="35" t="e">
        <f t="shared" si="18"/>
        <v>#DIV/0!</v>
      </c>
      <c r="H201" s="1" t="e">
        <f t="shared" si="19"/>
        <v>#DIV/0!</v>
      </c>
    </row>
    <row r="202" spans="1:8" x14ac:dyDescent="0.3">
      <c r="A202" s="9" t="s">
        <v>196</v>
      </c>
      <c r="B202" s="29">
        <f t="shared" ref="B202:B209" si="20">SUM(C202:F202)</f>
        <v>0</v>
      </c>
      <c r="C202" s="4">
        <f>VLOOKUP(A202,  output_exiobase_v3.10.2_EXIO_IOT_2022_pxp_Y_imports_footprint_EU27[], 2, FALSE)</f>
        <v>0</v>
      </c>
      <c r="D202" s="4">
        <f>VLOOKUP(A202, output_exiobase_v3.10.2_EXIO_IOT_2022_pxp_Z_imports_footprint_EU27[], 2, FALSE)</f>
        <v>0</v>
      </c>
      <c r="E202" s="4">
        <f>VLOOKUP(A202, output_exiobase_v3.10.2_EXIO_IOT_2022_pxp_Y_production_footprint_EU27[], 2, FALSE)</f>
        <v>0</v>
      </c>
      <c r="F202" s="4">
        <f>VLOOKUP(A202, output_exiobase_v3.10.2_EXIO_IOT_2022_pxp_Z_production_footprint_EU27[], 2, FALSE)</f>
        <v>0</v>
      </c>
      <c r="G202" s="35" t="e">
        <f t="shared" si="18"/>
        <v>#DIV/0!</v>
      </c>
      <c r="H202" s="1" t="e">
        <f t="shared" si="19"/>
        <v>#DIV/0!</v>
      </c>
    </row>
    <row r="203" spans="1:8" x14ac:dyDescent="0.3">
      <c r="A203" s="9" t="s">
        <v>171</v>
      </c>
      <c r="B203" s="29">
        <f t="shared" si="20"/>
        <v>0</v>
      </c>
      <c r="C203" s="4">
        <f>VLOOKUP(A203,  output_exiobase_v3.10.2_EXIO_IOT_2022_pxp_Y_imports_footprint_EU27[], 2, FALSE)</f>
        <v>0</v>
      </c>
      <c r="D203" s="4">
        <f>VLOOKUP(A203, output_exiobase_v3.10.2_EXIO_IOT_2022_pxp_Z_imports_footprint_EU27[], 2, FALSE)</f>
        <v>0</v>
      </c>
      <c r="E203" s="4">
        <f>VLOOKUP(A203, output_exiobase_v3.10.2_EXIO_IOT_2022_pxp_Y_production_footprint_EU27[], 2, FALSE)</f>
        <v>0</v>
      </c>
      <c r="F203" s="4">
        <f>VLOOKUP(A203, output_exiobase_v3.10.2_EXIO_IOT_2022_pxp_Z_production_footprint_EU27[], 2, FALSE)</f>
        <v>0</v>
      </c>
      <c r="G203" s="35" t="e">
        <f t="shared" si="18"/>
        <v>#DIV/0!</v>
      </c>
      <c r="H203" s="1" t="e">
        <f t="shared" si="19"/>
        <v>#DIV/0!</v>
      </c>
    </row>
    <row r="204" spans="1:8" x14ac:dyDescent="0.3">
      <c r="A204" s="9" t="s">
        <v>170</v>
      </c>
      <c r="B204" s="29">
        <f t="shared" si="20"/>
        <v>0</v>
      </c>
      <c r="C204" s="4">
        <f>VLOOKUP(A204,  output_exiobase_v3.10.2_EXIO_IOT_2022_pxp_Y_imports_footprint_EU27[], 2, FALSE)</f>
        <v>0</v>
      </c>
      <c r="D204" s="4">
        <f>VLOOKUP(A204, output_exiobase_v3.10.2_EXIO_IOT_2022_pxp_Z_imports_footprint_EU27[], 2, FALSE)</f>
        <v>0</v>
      </c>
      <c r="E204" s="4">
        <f>VLOOKUP(A204, output_exiobase_v3.10.2_EXIO_IOT_2022_pxp_Y_production_footprint_EU27[], 2, FALSE)</f>
        <v>0</v>
      </c>
      <c r="F204" s="4">
        <f>VLOOKUP(A204, output_exiobase_v3.10.2_EXIO_IOT_2022_pxp_Z_production_footprint_EU27[], 2, FALSE)</f>
        <v>0</v>
      </c>
      <c r="G204" s="35" t="e">
        <f t="shared" si="18"/>
        <v>#DIV/0!</v>
      </c>
      <c r="H204" s="1" t="e">
        <f t="shared" si="19"/>
        <v>#DIV/0!</v>
      </c>
    </row>
    <row r="205" spans="1:8" x14ac:dyDescent="0.3">
      <c r="A205" s="9" t="s">
        <v>71</v>
      </c>
      <c r="B205" s="29">
        <f t="shared" si="20"/>
        <v>0</v>
      </c>
      <c r="C205" s="4">
        <f>VLOOKUP(A205,  output_exiobase_v3.10.2_EXIO_IOT_2022_pxp_Y_imports_footprint_EU27[], 2, FALSE)</f>
        <v>0</v>
      </c>
      <c r="D205" s="4">
        <f>VLOOKUP(A205, output_exiobase_v3.10.2_EXIO_IOT_2022_pxp_Z_imports_footprint_EU27[], 2, FALSE)</f>
        <v>0</v>
      </c>
      <c r="E205" s="4">
        <f>VLOOKUP(A205, output_exiobase_v3.10.2_EXIO_IOT_2022_pxp_Y_production_footprint_EU27[], 2, FALSE)</f>
        <v>0</v>
      </c>
      <c r="F205" s="4">
        <f>VLOOKUP(A205, output_exiobase_v3.10.2_EXIO_IOT_2022_pxp_Z_production_footprint_EU27[], 2, FALSE)</f>
        <v>0</v>
      </c>
      <c r="G205" s="35" t="e">
        <f t="shared" si="18"/>
        <v>#DIV/0!</v>
      </c>
      <c r="H205" s="1" t="e">
        <f t="shared" si="19"/>
        <v>#DIV/0!</v>
      </c>
    </row>
    <row r="206" spans="1:8" x14ac:dyDescent="0.3">
      <c r="A206" s="9" t="s">
        <v>68</v>
      </c>
      <c r="B206" s="29">
        <f t="shared" si="20"/>
        <v>0</v>
      </c>
      <c r="C206" s="4">
        <f>VLOOKUP(A206,  output_exiobase_v3.10.2_EXIO_IOT_2022_pxp_Y_imports_footprint_EU27[], 2, FALSE)</f>
        <v>0</v>
      </c>
      <c r="D206" s="4">
        <f>VLOOKUP(A206, output_exiobase_v3.10.2_EXIO_IOT_2022_pxp_Z_imports_footprint_EU27[], 2, FALSE)</f>
        <v>0</v>
      </c>
      <c r="E206" s="4">
        <f>VLOOKUP(A206, output_exiobase_v3.10.2_EXIO_IOT_2022_pxp_Y_production_footprint_EU27[], 2, FALSE)</f>
        <v>0</v>
      </c>
      <c r="F206" s="4">
        <f>VLOOKUP(A206, output_exiobase_v3.10.2_EXIO_IOT_2022_pxp_Z_production_footprint_EU27[], 2, FALSE)</f>
        <v>0</v>
      </c>
      <c r="G206" s="35" t="e">
        <f t="shared" si="18"/>
        <v>#DIV/0!</v>
      </c>
      <c r="H206" s="1" t="e">
        <f t="shared" si="19"/>
        <v>#DIV/0!</v>
      </c>
    </row>
    <row r="207" spans="1:8" x14ac:dyDescent="0.3">
      <c r="A207" s="9" t="s">
        <v>90</v>
      </c>
      <c r="B207" s="29">
        <f t="shared" si="20"/>
        <v>0</v>
      </c>
      <c r="C207" s="4">
        <f>VLOOKUP(A207,  output_exiobase_v3.10.2_EXIO_IOT_2022_pxp_Y_imports_footprint_EU27[], 2, FALSE)</f>
        <v>0</v>
      </c>
      <c r="D207" s="4">
        <f>VLOOKUP(A207, output_exiobase_v3.10.2_EXIO_IOT_2022_pxp_Z_imports_footprint_EU27[], 2, FALSE)</f>
        <v>0</v>
      </c>
      <c r="E207" s="4">
        <f>VLOOKUP(A207, output_exiobase_v3.10.2_EXIO_IOT_2022_pxp_Y_production_footprint_EU27[], 2, FALSE)</f>
        <v>0</v>
      </c>
      <c r="F207" s="4">
        <f>VLOOKUP(A207, output_exiobase_v3.10.2_EXIO_IOT_2022_pxp_Z_production_footprint_EU27[], 2, FALSE)</f>
        <v>0</v>
      </c>
      <c r="G207" s="35" t="e">
        <f t="shared" si="18"/>
        <v>#DIV/0!</v>
      </c>
      <c r="H207" s="1" t="e">
        <f t="shared" si="19"/>
        <v>#DIV/0!</v>
      </c>
    </row>
    <row r="208" spans="1:8" x14ac:dyDescent="0.3">
      <c r="A208" s="9" t="s">
        <v>91</v>
      </c>
      <c r="B208" s="29">
        <f t="shared" si="20"/>
        <v>0</v>
      </c>
      <c r="C208" s="4">
        <f>VLOOKUP(A208,  output_exiobase_v3.10.2_EXIO_IOT_2022_pxp_Y_imports_footprint_EU27[], 2, FALSE)</f>
        <v>0</v>
      </c>
      <c r="D208" s="4">
        <f>VLOOKUP(A208, output_exiobase_v3.10.2_EXIO_IOT_2022_pxp_Z_imports_footprint_EU27[], 2, FALSE)</f>
        <v>0</v>
      </c>
      <c r="E208" s="4">
        <f>VLOOKUP(A208, output_exiobase_v3.10.2_EXIO_IOT_2022_pxp_Y_production_footprint_EU27[], 2, FALSE)</f>
        <v>0</v>
      </c>
      <c r="F208" s="4">
        <f>VLOOKUP(A208, output_exiobase_v3.10.2_EXIO_IOT_2022_pxp_Z_production_footprint_EU27[], 2, FALSE)</f>
        <v>0</v>
      </c>
      <c r="G208" s="35" t="e">
        <f t="shared" si="18"/>
        <v>#DIV/0!</v>
      </c>
      <c r="H208" s="1" t="e">
        <f t="shared" si="19"/>
        <v>#DIV/0!</v>
      </c>
    </row>
    <row r="209" spans="1:8" x14ac:dyDescent="0.3">
      <c r="A209" s="9" t="s">
        <v>55</v>
      </c>
      <c r="B209" s="29">
        <f t="shared" si="20"/>
        <v>0</v>
      </c>
      <c r="C209" s="4">
        <f>VLOOKUP(A209,  output_exiobase_v3.10.2_EXIO_IOT_2022_pxp_Y_imports_footprint_EU27[], 2, FALSE)</f>
        <v>0</v>
      </c>
      <c r="D209" s="4">
        <f>VLOOKUP(A209, output_exiobase_v3.10.2_EXIO_IOT_2022_pxp_Z_imports_footprint_EU27[], 2, FALSE)</f>
        <v>0</v>
      </c>
      <c r="E209" s="4">
        <f>VLOOKUP(A209, output_exiobase_v3.10.2_EXIO_IOT_2022_pxp_Y_production_footprint_EU27[], 2, FALSE)</f>
        <v>0</v>
      </c>
      <c r="F209" s="4">
        <f>VLOOKUP(A209, output_exiobase_v3.10.2_EXIO_IOT_2022_pxp_Z_production_footprint_EU27[], 2, FALSE)</f>
        <v>0</v>
      </c>
      <c r="G209" s="35" t="e">
        <f t="shared" si="18"/>
        <v>#DIV/0!</v>
      </c>
      <c r="H209" s="1" t="e">
        <f t="shared" si="19"/>
        <v>#DIV/0!</v>
      </c>
    </row>
  </sheetData>
  <autoFilter ref="A9:H209" xr:uid="{D128262F-2692-4D3F-9EA9-5C378385CE66}">
    <sortState xmlns:xlrd2="http://schemas.microsoft.com/office/spreadsheetml/2017/richdata2" ref="A10:H209">
      <sortCondition descending="1" ref="B9:B209"/>
    </sortState>
  </autoFilter>
  <conditionalFormatting sqref="B10:B209">
    <cfRule type="dataBar" priority="2">
      <dataBar>
        <cfvo type="min"/>
        <cfvo type="max"/>
        <color theme="2" tint="-9.9978637043366805E-2"/>
      </dataBar>
      <extLst>
        <ext xmlns:x14="http://schemas.microsoft.com/office/spreadsheetml/2009/9/main" uri="{B025F937-C7B1-47D3-B67F-A62EFF666E3E}">
          <x14:id>{F8B58D95-C81B-4D49-B91C-6F4C1C890C63}</x14:id>
        </ext>
      </extLst>
    </cfRule>
    <cfRule type="cellIs" dxfId="0" priority="3" operator="equal">
      <formula>0</formula>
    </cfRule>
  </conditionalFormatting>
  <conditionalFormatting sqref="G10:H209">
    <cfRule type="dataBar" priority="1">
      <dataBar>
        <cfvo type="min"/>
        <cfvo type="max"/>
        <color theme="2" tint="-9.9978637043366805E-2"/>
      </dataBar>
      <extLst>
        <ext xmlns:x14="http://schemas.microsoft.com/office/spreadsheetml/2009/9/main" uri="{B025F937-C7B1-47D3-B67F-A62EFF666E3E}">
          <x14:id>{EB930FBD-1F20-432A-96EA-0038A788A9E2}</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F8B58D95-C81B-4D49-B91C-6F4C1C890C63}">
            <x14:dataBar minLength="0" maxLength="100" gradient="0">
              <x14:cfvo type="autoMin"/>
              <x14:cfvo type="autoMax"/>
              <x14:negativeFillColor rgb="FFFF0000"/>
              <x14:axisColor rgb="FF000000"/>
            </x14:dataBar>
          </x14:cfRule>
          <xm:sqref>B10:B209</xm:sqref>
        </x14:conditionalFormatting>
        <x14:conditionalFormatting xmlns:xm="http://schemas.microsoft.com/office/excel/2006/main">
          <x14:cfRule type="dataBar" id="{EB930FBD-1F20-432A-96EA-0038A788A9E2}">
            <x14:dataBar minLength="0" maxLength="100" gradient="0">
              <x14:cfvo type="autoMin"/>
              <x14:cfvo type="autoMax"/>
              <x14:negativeFillColor rgb="FFFF0000"/>
              <x14:axisColor rgb="FF000000"/>
            </x14:dataBar>
          </x14:cfRule>
          <xm:sqref>G10:H209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89e107a-002f-47cb-94f0-e5bf57bc2a72" xsi:nil="true"/>
    <lcf76f155ced4ddcb4097134ff3c332f xmlns="e3526620-295c-4e7a-bc15-71d5d129bc8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AF39AFB91D254FB182AF94C5DC49BB" ma:contentTypeVersion="11" ma:contentTypeDescription="Crée un document." ma:contentTypeScope="" ma:versionID="dbf3a68182155b17bdc3666382daf776">
  <xsd:schema xmlns:xsd="http://www.w3.org/2001/XMLSchema" xmlns:xs="http://www.w3.org/2001/XMLSchema" xmlns:p="http://schemas.microsoft.com/office/2006/metadata/properties" xmlns:ns2="e3526620-295c-4e7a-bc15-71d5d129bc8a" xmlns:ns3="f89e107a-002f-47cb-94f0-e5bf57bc2a72" targetNamespace="http://schemas.microsoft.com/office/2006/metadata/properties" ma:root="true" ma:fieldsID="ccb4e8835da535e86e7998c3a5e457f2" ns2:_="" ns3:_="">
    <xsd:import namespace="e3526620-295c-4e7a-bc15-71d5d129bc8a"/>
    <xsd:import namespace="f89e107a-002f-47cb-94f0-e5bf57bc2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526620-295c-4e7a-bc15-71d5d129bc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89d98ed-d87d-4b5f-8cfd-2c453ac98cb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89e107a-002f-47cb-94f0-e5bf57bc2a7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9249a1-d208-40d2-81eb-01a4abb22e02}" ma:internalName="TaxCatchAll" ma:showField="CatchAllData" ma:web="f89e107a-002f-47cb-94f0-e5bf57bc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AD53D59-4C41-4758-8A68-5848D17536C2}">
  <ds:schemaRef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http://schemas.openxmlformats.org/package/2006/metadata/core-properties"/>
    <ds:schemaRef ds:uri="f89e107a-002f-47cb-94f0-e5bf57bc2a72"/>
    <ds:schemaRef ds:uri="e3526620-295c-4e7a-bc15-71d5d129bc8a"/>
    <ds:schemaRef ds:uri="http://purl.org/dc/dcmitype/"/>
  </ds:schemaRefs>
</ds:datastoreItem>
</file>

<file path=customXml/itemProps2.xml><?xml version="1.0" encoding="utf-8"?>
<ds:datastoreItem xmlns:ds="http://schemas.openxmlformats.org/officeDocument/2006/customXml" ds:itemID="{DB02F86D-BD7D-405E-8C81-472464D2E728}">
  <ds:schemaRefs>
    <ds:schemaRef ds:uri="http://schemas.microsoft.com/sharepoint/v3/contenttype/forms"/>
  </ds:schemaRefs>
</ds:datastoreItem>
</file>

<file path=customXml/itemProps3.xml><?xml version="1.0" encoding="utf-8"?>
<ds:datastoreItem xmlns:ds="http://schemas.openxmlformats.org/officeDocument/2006/customXml" ds:itemID="{63847B96-7F61-4FBB-8A45-3BB6BD0AA8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526620-295c-4e7a-bc15-71d5d129bc8a"/>
    <ds:schemaRef ds:uri="f89e107a-002f-47cb-94f0-e5bf57bc2a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E4A83CD-7EA7-41A1-AF84-CDC7D71725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README</vt:lpstr>
      <vt:lpstr>1.1 Y_FR_imports_2019</vt:lpstr>
      <vt:lpstr>1.2 Z_FR_imports_2019</vt:lpstr>
      <vt:lpstr>2.1 Y_FR_production_2019</vt:lpstr>
      <vt:lpstr>2.2 Z_FR_production_2019</vt:lpstr>
      <vt:lpstr>Summary_FR_2019</vt:lpstr>
      <vt:lpstr>1.1 Y_FR_imports_2022</vt:lpstr>
      <vt:lpstr>1.2 Z_FR_imports_2022</vt:lpstr>
      <vt:lpstr>2.1 Y_FR_production_2022</vt:lpstr>
      <vt:lpstr>2.2 Z_FR_production_2022</vt:lpstr>
      <vt:lpstr>Summary_FR_2022</vt:lpstr>
      <vt:lpstr>1.1 Y_EU27_imports_2019</vt:lpstr>
      <vt:lpstr>1.2 Z_EU27_imports_2019</vt:lpstr>
      <vt:lpstr>2.1 Y_EU27_production_2019</vt:lpstr>
      <vt:lpstr>2.2 Z_EU27_production_2019</vt:lpstr>
      <vt:lpstr>Summary_EU27_2019</vt:lpstr>
      <vt:lpstr>1.1 Y_EU27_imports_2022</vt:lpstr>
      <vt:lpstr>1.2 Z_EU27_imports_2022</vt:lpstr>
      <vt:lpstr>2.1 Y_EU27_production_2022</vt:lpstr>
      <vt:lpstr>2.2 Z_EU27_production_2022</vt:lpstr>
      <vt:lpstr>Summary_EU27_2022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Lienart</dc:creator>
  <cp:keywords/>
  <dc:description/>
  <cp:lastModifiedBy>Nicolas Lienart</cp:lastModifiedBy>
  <cp:revision/>
  <dcterms:created xsi:type="dcterms:W3CDTF">2025-09-02T12:57:53Z</dcterms:created>
  <dcterms:modified xsi:type="dcterms:W3CDTF">2026-08-22T17:02:29Z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0x010100E4AF39AFB91D254FB182AF94C5DC49BB</vt:lpwstr>
  </property>
  <property fmtid="{D5CDD505-2E9C-101B-9397-08002B2CF9AE}" pid="3" name="MediaServiceImageTags">
    <vt:lpwstr/>
  </property>
</Properties>
</file>