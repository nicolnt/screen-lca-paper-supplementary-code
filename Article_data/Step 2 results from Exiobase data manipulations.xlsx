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6F2E7081-9136-4A39-B352-023CF31F5000}" xr6:coauthVersionLast="47" xr6:coauthVersionMax="47" xr10:uidLastSave="{00000000-0000-0000-0000-000000000000}"/>
  <bookViews>
    <workbookView xWindow="-28935" yWindow="-45" windowWidth="29070" windowHeight="15750" xr2:uid="{E8C36369-1168-414C-8171-B068121F2D07}"/>
  </bookViews>
  <sheets>
    <sheet name="README" sheetId="8" r:id="rId1"/>
    <sheet name="1.1 Y_FR_imports" sheetId="2" r:id="rId2"/>
    <sheet name="1.2 Z_FR_imports" sheetId="3" r:id="rId3"/>
    <sheet name="2.1 Y_FR_production" sheetId="5" r:id="rId4"/>
    <sheet name="2.2 Z_FR_production" sheetId="4" r:id="rId5"/>
    <sheet name="Summary" sheetId="6" r:id="rId6"/>
  </sheets>
  <definedNames>
    <definedName name="_xlnm._FilterDatabase" localSheetId="5" hidden="1">Summary!$A$3:$H$3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33" i="8" l="1"/>
  <c r="C32" i="8"/>
  <c r="C31" i="8"/>
  <c r="C30" i="8"/>
  <c r="C29" i="8"/>
  <c r="F5"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H73" i="6" s="1"/>
  <c r="E74" i="6"/>
  <c r="H74" i="6" s="1"/>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H114" i="6" s="1"/>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4" i="6"/>
  <c r="C5" i="6"/>
  <c r="G5" i="6" s="1"/>
  <c r="C6" i="6"/>
  <c r="B6" i="6" s="1"/>
  <c r="C7" i="6"/>
  <c r="B7" i="6" s="1"/>
  <c r="C8" i="6"/>
  <c r="B8" i="6" s="1"/>
  <c r="C9" i="6"/>
  <c r="B9" i="6" s="1"/>
  <c r="C10" i="6"/>
  <c r="G10" i="6" s="1"/>
  <c r="C11" i="6"/>
  <c r="B11" i="6" s="1"/>
  <c r="C12" i="6"/>
  <c r="G12" i="6" s="1"/>
  <c r="C13" i="6"/>
  <c r="B13" i="6" s="1"/>
  <c r="C14" i="6"/>
  <c r="G14" i="6" s="1"/>
  <c r="C15" i="6"/>
  <c r="B15" i="6" s="1"/>
  <c r="C16" i="6"/>
  <c r="B16" i="6" s="1"/>
  <c r="C17" i="6"/>
  <c r="G17" i="6" s="1"/>
  <c r="C18" i="6"/>
  <c r="G18" i="6" s="1"/>
  <c r="C19" i="6"/>
  <c r="B19" i="6" s="1"/>
  <c r="C20" i="6"/>
  <c r="H20" i="6" s="1"/>
  <c r="C21" i="6"/>
  <c r="H21" i="6" s="1"/>
  <c r="C22" i="6"/>
  <c r="B22" i="6" s="1"/>
  <c r="C23" i="6"/>
  <c r="B23" i="6" s="1"/>
  <c r="C24" i="6"/>
  <c r="B24" i="6" s="1"/>
  <c r="C25" i="6"/>
  <c r="G25" i="6" s="1"/>
  <c r="C26" i="6"/>
  <c r="B26" i="6" s="1"/>
  <c r="C27" i="6"/>
  <c r="B27" i="6" s="1"/>
  <c r="C28" i="6"/>
  <c r="B28" i="6" s="1"/>
  <c r="C29" i="6"/>
  <c r="B29" i="6" s="1"/>
  <c r="C30" i="6"/>
  <c r="B30" i="6" s="1"/>
  <c r="C31" i="6"/>
  <c r="B31" i="6" s="1"/>
  <c r="C32" i="6"/>
  <c r="B32" i="6" s="1"/>
  <c r="C33" i="6"/>
  <c r="B33" i="6" s="1"/>
  <c r="C34" i="6"/>
  <c r="G34" i="6" s="1"/>
  <c r="C35" i="6"/>
  <c r="B35" i="6" s="1"/>
  <c r="C36" i="6"/>
  <c r="B36" i="6" s="1"/>
  <c r="C37" i="6"/>
  <c r="G37" i="6" s="1"/>
  <c r="C38" i="6"/>
  <c r="G38" i="6" s="1"/>
  <c r="C39" i="6"/>
  <c r="B39" i="6" s="1"/>
  <c r="C40" i="6"/>
  <c r="H40" i="6" s="1"/>
  <c r="C41" i="6"/>
  <c r="H41" i="6" s="1"/>
  <c r="C42" i="6"/>
  <c r="B42" i="6" s="1"/>
  <c r="C43" i="6"/>
  <c r="B43" i="6" s="1"/>
  <c r="C44" i="6"/>
  <c r="B44" i="6" s="1"/>
  <c r="C45" i="6"/>
  <c r="G45" i="6" s="1"/>
  <c r="C46" i="6"/>
  <c r="B46" i="6" s="1"/>
  <c r="C47" i="6"/>
  <c r="G47" i="6" s="1"/>
  <c r="C48" i="6"/>
  <c r="B48" i="6" s="1"/>
  <c r="C49" i="6"/>
  <c r="B49" i="6" s="1"/>
  <c r="C50" i="6"/>
  <c r="B50" i="6" s="1"/>
  <c r="C51" i="6"/>
  <c r="B51" i="6" s="1"/>
  <c r="C52" i="6"/>
  <c r="B52" i="6" s="1"/>
  <c r="C53" i="6"/>
  <c r="B53" i="6" s="1"/>
  <c r="C54" i="6"/>
  <c r="G54" i="6" s="1"/>
  <c r="C55" i="6"/>
  <c r="B55" i="6" s="1"/>
  <c r="C56" i="6"/>
  <c r="B56" i="6" s="1"/>
  <c r="C57" i="6"/>
  <c r="G57" i="6" s="1"/>
  <c r="C58" i="6"/>
  <c r="G58" i="6" s="1"/>
  <c r="C59" i="6"/>
  <c r="B59" i="6" s="1"/>
  <c r="C60" i="6"/>
  <c r="H60" i="6" s="1"/>
  <c r="C61" i="6"/>
  <c r="H61" i="6" s="1"/>
  <c r="C62" i="6"/>
  <c r="B62" i="6" s="1"/>
  <c r="C63" i="6"/>
  <c r="B63" i="6" s="1"/>
  <c r="C64" i="6"/>
  <c r="B64" i="6" s="1"/>
  <c r="C65" i="6"/>
  <c r="G65" i="6" s="1"/>
  <c r="C66" i="6"/>
  <c r="B66" i="6" s="1"/>
  <c r="C67" i="6"/>
  <c r="G67" i="6" s="1"/>
  <c r="C68" i="6"/>
  <c r="B68" i="6" s="1"/>
  <c r="C69" i="6"/>
  <c r="B69" i="6" s="1"/>
  <c r="C70" i="6"/>
  <c r="B70" i="6" s="1"/>
  <c r="C71" i="6"/>
  <c r="H71" i="6" s="1"/>
  <c r="C72" i="6"/>
  <c r="B72" i="6" s="1"/>
  <c r="C73" i="6"/>
  <c r="B73" i="6" s="1"/>
  <c r="C74" i="6"/>
  <c r="G74" i="6" s="1"/>
  <c r="C75" i="6"/>
  <c r="B75" i="6" s="1"/>
  <c r="C76" i="6"/>
  <c r="B76" i="6" s="1"/>
  <c r="C77" i="6"/>
  <c r="G77" i="6" s="1"/>
  <c r="C78" i="6"/>
  <c r="G78" i="6" s="1"/>
  <c r="C79" i="6"/>
  <c r="C80" i="6"/>
  <c r="H80" i="6" s="1"/>
  <c r="C81" i="6"/>
  <c r="H81" i="6" s="1"/>
  <c r="C82" i="6"/>
  <c r="B82" i="6" s="1"/>
  <c r="C83" i="6"/>
  <c r="B83" i="6" s="1"/>
  <c r="C84" i="6"/>
  <c r="B84" i="6" s="1"/>
  <c r="C85" i="6"/>
  <c r="G85" i="6" s="1"/>
  <c r="C86" i="6"/>
  <c r="B86" i="6" s="1"/>
  <c r="C87" i="6"/>
  <c r="G87" i="6" s="1"/>
  <c r="C88" i="6"/>
  <c r="B88" i="6" s="1"/>
  <c r="C89" i="6"/>
  <c r="B89" i="6" s="1"/>
  <c r="C90" i="6"/>
  <c r="B90" i="6" s="1"/>
  <c r="C91" i="6"/>
  <c r="B91" i="6" s="1"/>
  <c r="C92" i="6"/>
  <c r="B92" i="6" s="1"/>
  <c r="C93" i="6"/>
  <c r="B93" i="6" s="1"/>
  <c r="C94" i="6"/>
  <c r="G94" i="6" s="1"/>
  <c r="C95" i="6"/>
  <c r="B95" i="6" s="1"/>
  <c r="C96" i="6"/>
  <c r="B96" i="6" s="1"/>
  <c r="C97" i="6"/>
  <c r="G97" i="6" s="1"/>
  <c r="C98" i="6"/>
  <c r="G98" i="6" s="1"/>
  <c r="C99" i="6"/>
  <c r="B99" i="6" s="1"/>
  <c r="C100" i="6"/>
  <c r="H100" i="6" s="1"/>
  <c r="C101" i="6"/>
  <c r="H101" i="6" s="1"/>
  <c r="C102" i="6"/>
  <c r="B102" i="6" s="1"/>
  <c r="C103" i="6"/>
  <c r="B103" i="6" s="1"/>
  <c r="C104" i="6"/>
  <c r="B104" i="6" s="1"/>
  <c r="C105" i="6"/>
  <c r="G105" i="6" s="1"/>
  <c r="C106" i="6"/>
  <c r="B106" i="6" s="1"/>
  <c r="C107" i="6"/>
  <c r="G107" i="6" s="1"/>
  <c r="C108" i="6"/>
  <c r="G108" i="6" s="1"/>
  <c r="C109" i="6"/>
  <c r="G109" i="6" s="1"/>
  <c r="C110" i="6"/>
  <c r="B110" i="6" s="1"/>
  <c r="C111" i="6"/>
  <c r="B111" i="6" s="1"/>
  <c r="C112" i="6"/>
  <c r="B112" i="6" s="1"/>
  <c r="C113" i="6"/>
  <c r="B113" i="6" s="1"/>
  <c r="C114" i="6"/>
  <c r="C115" i="6"/>
  <c r="B115" i="6" s="1"/>
  <c r="C116" i="6"/>
  <c r="B116" i="6" s="1"/>
  <c r="C117" i="6"/>
  <c r="G117" i="6" s="1"/>
  <c r="C118" i="6"/>
  <c r="G118" i="6" s="1"/>
  <c r="C119" i="6"/>
  <c r="B119" i="6" s="1"/>
  <c r="C120" i="6"/>
  <c r="H120" i="6" s="1"/>
  <c r="C121" i="6"/>
  <c r="H121" i="6" s="1"/>
  <c r="C122" i="6"/>
  <c r="B122" i="6" s="1"/>
  <c r="C123" i="6"/>
  <c r="B123" i="6" s="1"/>
  <c r="C124" i="6"/>
  <c r="B124" i="6" s="1"/>
  <c r="C125" i="6"/>
  <c r="B125" i="6" s="1"/>
  <c r="C126" i="6"/>
  <c r="B126" i="6" s="1"/>
  <c r="C127" i="6"/>
  <c r="G127" i="6" s="1"/>
  <c r="C128" i="6"/>
  <c r="H128" i="6" s="1"/>
  <c r="C129" i="6"/>
  <c r="B129" i="6" s="1"/>
  <c r="C130" i="6"/>
  <c r="B130" i="6" s="1"/>
  <c r="C131" i="6"/>
  <c r="B131" i="6" s="1"/>
  <c r="C132" i="6"/>
  <c r="B132" i="6" s="1"/>
  <c r="C133" i="6"/>
  <c r="B133" i="6" s="1"/>
  <c r="C134" i="6"/>
  <c r="G134" i="6" s="1"/>
  <c r="C135" i="6"/>
  <c r="B135" i="6" s="1"/>
  <c r="C136" i="6"/>
  <c r="B136" i="6" s="1"/>
  <c r="C137" i="6"/>
  <c r="G137" i="6" s="1"/>
  <c r="C138" i="6"/>
  <c r="G138" i="6" s="1"/>
  <c r="C139" i="6"/>
  <c r="B139" i="6" s="1"/>
  <c r="C140" i="6"/>
  <c r="H140" i="6" s="1"/>
  <c r="C141" i="6"/>
  <c r="C142" i="6"/>
  <c r="B142" i="6" s="1"/>
  <c r="C143" i="6"/>
  <c r="B143" i="6" s="1"/>
  <c r="C144" i="6"/>
  <c r="B144" i="6" s="1"/>
  <c r="C145" i="6"/>
  <c r="B145" i="6" s="1"/>
  <c r="C146" i="6"/>
  <c r="B146" i="6" s="1"/>
  <c r="C147" i="6"/>
  <c r="G147" i="6" s="1"/>
  <c r="C148" i="6"/>
  <c r="B148" i="6" s="1"/>
  <c r="C149" i="6"/>
  <c r="B149" i="6" s="1"/>
  <c r="C150" i="6"/>
  <c r="B150" i="6" s="1"/>
  <c r="C151" i="6"/>
  <c r="B151" i="6" s="1"/>
  <c r="C152" i="6"/>
  <c r="B152" i="6" s="1"/>
  <c r="C153" i="6"/>
  <c r="B153" i="6" s="1"/>
  <c r="C154" i="6"/>
  <c r="G154" i="6" s="1"/>
  <c r="C155" i="6"/>
  <c r="B155" i="6" s="1"/>
  <c r="C156" i="6"/>
  <c r="B156" i="6" s="1"/>
  <c r="C157" i="6"/>
  <c r="G157" i="6" s="1"/>
  <c r="C158" i="6"/>
  <c r="G158" i="6" s="1"/>
  <c r="C159" i="6"/>
  <c r="B159" i="6" s="1"/>
  <c r="C160" i="6"/>
  <c r="H160" i="6" s="1"/>
  <c r="C161" i="6"/>
  <c r="H161" i="6" s="1"/>
  <c r="C162" i="6"/>
  <c r="B162" i="6" s="1"/>
  <c r="C163" i="6"/>
  <c r="B163" i="6" s="1"/>
  <c r="C164" i="6"/>
  <c r="B164" i="6" s="1"/>
  <c r="C165" i="6"/>
  <c r="B165" i="6" s="1"/>
  <c r="C166" i="6"/>
  <c r="B166" i="6" s="1"/>
  <c r="C167" i="6"/>
  <c r="G167" i="6" s="1"/>
  <c r="C168" i="6"/>
  <c r="B168" i="6" s="1"/>
  <c r="C169" i="6"/>
  <c r="B169" i="6" s="1"/>
  <c r="C170" i="6"/>
  <c r="B170" i="6" s="1"/>
  <c r="C171" i="6"/>
  <c r="B171" i="6" s="1"/>
  <c r="C172" i="6"/>
  <c r="B172" i="6" s="1"/>
  <c r="C173" i="6"/>
  <c r="B173" i="6" s="1"/>
  <c r="C174" i="6"/>
  <c r="G174" i="6" s="1"/>
  <c r="C175" i="6"/>
  <c r="B175" i="6" s="1"/>
  <c r="C176" i="6"/>
  <c r="B176" i="6" s="1"/>
  <c r="C177" i="6"/>
  <c r="C178" i="6"/>
  <c r="G178" i="6" s="1"/>
  <c r="C179" i="6"/>
  <c r="B179" i="6" s="1"/>
  <c r="C180" i="6"/>
  <c r="H180" i="6" s="1"/>
  <c r="C181" i="6"/>
  <c r="H181" i="6" s="1"/>
  <c r="C182" i="6"/>
  <c r="B182" i="6" s="1"/>
  <c r="C183" i="6"/>
  <c r="B183" i="6" s="1"/>
  <c r="C184" i="6"/>
  <c r="B184" i="6" s="1"/>
  <c r="C185" i="6"/>
  <c r="B185" i="6" s="1"/>
  <c r="C186" i="6"/>
  <c r="B186" i="6" s="1"/>
  <c r="C187" i="6"/>
  <c r="G187" i="6" s="1"/>
  <c r="C188" i="6"/>
  <c r="B188" i="6" s="1"/>
  <c r="C189" i="6"/>
  <c r="B189" i="6" s="1"/>
  <c r="C190" i="6"/>
  <c r="B190" i="6" s="1"/>
  <c r="C191" i="6"/>
  <c r="B191" i="6" s="1"/>
  <c r="C192" i="6"/>
  <c r="B192" i="6" s="1"/>
  <c r="C193" i="6"/>
  <c r="B193" i="6" s="1"/>
  <c r="C194" i="6"/>
  <c r="G194" i="6" s="1"/>
  <c r="C195" i="6"/>
  <c r="B195" i="6" s="1"/>
  <c r="C196" i="6"/>
  <c r="B196" i="6" s="1"/>
  <c r="C197" i="6"/>
  <c r="G197" i="6" s="1"/>
  <c r="C198" i="6"/>
  <c r="G198" i="6" s="1"/>
  <c r="C199" i="6"/>
  <c r="B199" i="6" s="1"/>
  <c r="C200" i="6"/>
  <c r="H200" i="6" s="1"/>
  <c r="C201" i="6"/>
  <c r="G201" i="6" s="1"/>
  <c r="C202" i="6"/>
  <c r="B202" i="6" s="1"/>
  <c r="C203" i="6"/>
  <c r="B203" i="6" s="1"/>
  <c r="C4" i="6"/>
  <c r="B4" i="6" s="1"/>
  <c r="H6" i="6"/>
  <c r="H7" i="6"/>
  <c r="H8" i="6"/>
  <c r="H11" i="6"/>
  <c r="H13" i="6"/>
  <c r="H15" i="6"/>
  <c r="H16" i="6"/>
  <c r="H17" i="6"/>
  <c r="H26" i="6"/>
  <c r="H27" i="6"/>
  <c r="H46" i="6"/>
  <c r="H47" i="6"/>
  <c r="H48" i="6"/>
  <c r="H53" i="6"/>
  <c r="H66" i="6"/>
  <c r="H86" i="6"/>
  <c r="H87" i="6"/>
  <c r="H106" i="6"/>
  <c r="H107" i="6"/>
  <c r="H113" i="6"/>
  <c r="H115" i="6"/>
  <c r="H126" i="6"/>
  <c r="H127" i="6"/>
  <c r="H146" i="6"/>
  <c r="H153" i="6"/>
  <c r="H166" i="6"/>
  <c r="H186" i="6"/>
  <c r="H187" i="6"/>
  <c r="H188" i="6"/>
  <c r="G188" i="6"/>
  <c r="G186" i="6"/>
  <c r="G168" i="6"/>
  <c r="G166" i="6"/>
  <c r="G150" i="6"/>
  <c r="G149" i="6"/>
  <c r="G148" i="6"/>
  <c r="G146" i="6"/>
  <c r="G133" i="6"/>
  <c r="G130" i="6"/>
  <c r="G126" i="6"/>
  <c r="G106" i="6"/>
  <c r="G93" i="6"/>
  <c r="G91" i="6"/>
  <c r="G86" i="6"/>
  <c r="G69" i="6"/>
  <c r="G66" i="6"/>
  <c r="G48" i="6"/>
  <c r="G46" i="6"/>
  <c r="G28" i="6"/>
  <c r="G27" i="6"/>
  <c r="G26" i="6"/>
  <c r="G13" i="6"/>
  <c r="G8" i="6"/>
  <c r="G7" i="6"/>
  <c r="G6" i="6"/>
  <c r="H77" i="6" l="1"/>
  <c r="H76" i="6"/>
  <c r="H75" i="6"/>
  <c r="H18" i="6"/>
  <c r="G32" i="6"/>
  <c r="H49" i="6"/>
  <c r="H14" i="6"/>
  <c r="G152" i="6"/>
  <c r="G177" i="6"/>
  <c r="G52" i="6"/>
  <c r="G173" i="6"/>
  <c r="H68" i="6"/>
  <c r="B141" i="6"/>
  <c r="B79" i="6"/>
  <c r="G114" i="6"/>
  <c r="H12" i="6"/>
  <c r="G169" i="6"/>
  <c r="G53" i="6"/>
  <c r="H67" i="6"/>
  <c r="G55" i="6"/>
  <c r="G159" i="6"/>
  <c r="B38" i="6"/>
  <c r="H97" i="6"/>
  <c r="B57" i="6"/>
  <c r="G76" i="6"/>
  <c r="H175" i="6"/>
  <c r="G155" i="6"/>
  <c r="G115" i="6"/>
  <c r="H95" i="6"/>
  <c r="G75" i="6"/>
  <c r="H55" i="6"/>
  <c r="G35" i="6"/>
  <c r="G175" i="6"/>
  <c r="H155" i="6"/>
  <c r="G135" i="6"/>
  <c r="G15" i="6"/>
  <c r="H195" i="6"/>
  <c r="G95" i="6"/>
  <c r="B201" i="6"/>
  <c r="B40" i="6"/>
  <c r="H199" i="6"/>
  <c r="H99" i="6"/>
  <c r="H119" i="6"/>
  <c r="H178" i="6"/>
  <c r="H137" i="6"/>
  <c r="H57" i="6"/>
  <c r="H197" i="6"/>
  <c r="H117" i="6"/>
  <c r="B77" i="6"/>
  <c r="G176" i="6"/>
  <c r="H156" i="6"/>
  <c r="H116" i="6"/>
  <c r="G96" i="6"/>
  <c r="G195" i="6"/>
  <c r="H174" i="6"/>
  <c r="H134" i="6"/>
  <c r="H94" i="6"/>
  <c r="H34" i="6"/>
  <c r="H154" i="6"/>
  <c r="H194" i="6"/>
  <c r="H54" i="6"/>
  <c r="B194" i="6"/>
  <c r="B174" i="6"/>
  <c r="B154" i="6"/>
  <c r="B134" i="6"/>
  <c r="B114" i="6"/>
  <c r="B94" i="6"/>
  <c r="B74" i="6"/>
  <c r="B54" i="6"/>
  <c r="B34" i="6"/>
  <c r="B14" i="6"/>
  <c r="G70" i="6"/>
  <c r="G193" i="6"/>
  <c r="H173" i="6"/>
  <c r="G153" i="6"/>
  <c r="H133" i="6"/>
  <c r="G113" i="6"/>
  <c r="H93" i="6"/>
  <c r="G73" i="6"/>
  <c r="H33" i="6"/>
  <c r="H193" i="6"/>
  <c r="G39" i="6"/>
  <c r="H58" i="6"/>
  <c r="B118" i="6"/>
  <c r="H177" i="6"/>
  <c r="G156" i="6"/>
  <c r="H196" i="6"/>
  <c r="H191" i="6"/>
  <c r="G171" i="6"/>
  <c r="H111" i="6"/>
  <c r="G51" i="6"/>
  <c r="B71" i="6"/>
  <c r="B200" i="6"/>
  <c r="B180" i="6"/>
  <c r="B140" i="6"/>
  <c r="B100" i="6"/>
  <c r="B60" i="6"/>
  <c r="H139" i="6"/>
  <c r="G19" i="6"/>
  <c r="H98" i="6"/>
  <c r="H78" i="6"/>
  <c r="B198" i="6"/>
  <c r="B178" i="6"/>
  <c r="B158" i="6"/>
  <c r="B138" i="6"/>
  <c r="B98" i="6"/>
  <c r="B18" i="6"/>
  <c r="H37" i="6"/>
  <c r="H157" i="6"/>
  <c r="B197" i="6"/>
  <c r="B37" i="6"/>
  <c r="G116" i="6"/>
  <c r="H56" i="6"/>
  <c r="G92" i="6"/>
  <c r="G89" i="6"/>
  <c r="G29" i="6"/>
  <c r="G49" i="6"/>
  <c r="H168" i="6"/>
  <c r="H148" i="6"/>
  <c r="H108" i="6"/>
  <c r="G88" i="6"/>
  <c r="G68" i="6"/>
  <c r="H28" i="6"/>
  <c r="G128" i="6"/>
  <c r="H88" i="6"/>
  <c r="B128" i="6"/>
  <c r="B108" i="6"/>
  <c r="B41" i="6"/>
  <c r="B80" i="6"/>
  <c r="H179" i="6"/>
  <c r="G59" i="6"/>
  <c r="B78" i="6"/>
  <c r="B117" i="6"/>
  <c r="H176" i="6"/>
  <c r="H96" i="6"/>
  <c r="G16" i="6"/>
  <c r="H32" i="6"/>
  <c r="G30" i="6"/>
  <c r="G170" i="6"/>
  <c r="G129" i="6"/>
  <c r="B181" i="6"/>
  <c r="B161" i="6"/>
  <c r="B121" i="6"/>
  <c r="B101" i="6"/>
  <c r="B81" i="6"/>
  <c r="B21" i="6"/>
  <c r="B120" i="6"/>
  <c r="G119" i="6"/>
  <c r="H19" i="6"/>
  <c r="H158" i="6"/>
  <c r="B177" i="6"/>
  <c r="B157" i="6"/>
  <c r="B137" i="6"/>
  <c r="B97" i="6"/>
  <c r="B17" i="6"/>
  <c r="H136" i="6"/>
  <c r="G36" i="6"/>
  <c r="B12" i="6"/>
  <c r="G190" i="6"/>
  <c r="G110" i="6"/>
  <c r="G189" i="6"/>
  <c r="H9" i="6"/>
  <c r="B109" i="6"/>
  <c r="H167" i="6"/>
  <c r="H147" i="6"/>
  <c r="B187" i="6"/>
  <c r="B167" i="6"/>
  <c r="B147" i="6"/>
  <c r="B127" i="6"/>
  <c r="B107" i="6"/>
  <c r="B87" i="6"/>
  <c r="B67" i="6"/>
  <c r="B47" i="6"/>
  <c r="B61" i="6"/>
  <c r="B160" i="6"/>
  <c r="B20" i="6"/>
  <c r="G79" i="6"/>
  <c r="H159" i="6"/>
  <c r="H198" i="6"/>
  <c r="H138" i="6"/>
  <c r="H38" i="6"/>
  <c r="H118" i="6"/>
  <c r="B58" i="6"/>
  <c r="G196" i="6"/>
  <c r="G136" i="6"/>
  <c r="G56" i="6"/>
  <c r="G72" i="6"/>
  <c r="G90" i="6"/>
  <c r="G50" i="6"/>
  <c r="B10" i="6"/>
  <c r="B105" i="6"/>
  <c r="B85" i="6"/>
  <c r="B65" i="6"/>
  <c r="B45" i="6"/>
  <c r="B25" i="6"/>
  <c r="B5" i="6"/>
  <c r="H79" i="6"/>
  <c r="G9" i="6"/>
  <c r="H190" i="6"/>
  <c r="H170" i="6"/>
  <c r="H150" i="6"/>
  <c r="H130" i="6"/>
  <c r="H110" i="6"/>
  <c r="H90" i="6"/>
  <c r="H70" i="6"/>
  <c r="H50" i="6"/>
  <c r="H30" i="6"/>
  <c r="H10" i="6"/>
  <c r="G191" i="6"/>
  <c r="H171" i="6"/>
  <c r="G151" i="6"/>
  <c r="H131" i="6"/>
  <c r="H31" i="6"/>
  <c r="G11" i="6"/>
  <c r="G192" i="6"/>
  <c r="G172" i="6"/>
  <c r="G132" i="6"/>
  <c r="G112" i="6"/>
  <c r="H189" i="6"/>
  <c r="H169" i="6"/>
  <c r="H149" i="6"/>
  <c r="H129" i="6"/>
  <c r="H109" i="6"/>
  <c r="H89" i="6"/>
  <c r="H69" i="6"/>
  <c r="H29" i="6"/>
  <c r="H151" i="6"/>
  <c r="G131" i="6"/>
  <c r="H91" i="6"/>
  <c r="G71" i="6"/>
  <c r="H51" i="6"/>
  <c r="G31" i="6"/>
  <c r="G111" i="6"/>
  <c r="H202" i="6"/>
  <c r="H182" i="6"/>
  <c r="H162" i="6"/>
  <c r="H142" i="6"/>
  <c r="H122" i="6"/>
  <c r="H102" i="6"/>
  <c r="H82" i="6"/>
  <c r="H62" i="6"/>
  <c r="H42" i="6"/>
  <c r="H22" i="6"/>
  <c r="G63" i="6"/>
  <c r="G43" i="6"/>
  <c r="H23" i="6"/>
  <c r="H4" i="6"/>
  <c r="H192" i="6"/>
  <c r="H172" i="6"/>
  <c r="H152" i="6"/>
  <c r="H132" i="6"/>
  <c r="H112" i="6"/>
  <c r="H92" i="6"/>
  <c r="H72" i="6"/>
  <c r="H52" i="6"/>
  <c r="H135" i="6"/>
  <c r="G203" i="6"/>
  <c r="H183" i="6"/>
  <c r="G163" i="6"/>
  <c r="G143" i="6"/>
  <c r="H123" i="6"/>
  <c r="G103" i="6"/>
  <c r="H83" i="6"/>
  <c r="H63" i="6"/>
  <c r="H43" i="6"/>
  <c r="G23" i="6"/>
  <c r="G179" i="6"/>
  <c r="H39" i="6"/>
  <c r="H35" i="6"/>
  <c r="G33" i="6"/>
  <c r="H59" i="6"/>
  <c r="G139" i="6"/>
  <c r="G99" i="6"/>
  <c r="H36" i="6"/>
  <c r="H141" i="6"/>
  <c r="G199" i="6"/>
  <c r="G185" i="6"/>
  <c r="G165" i="6"/>
  <c r="G145" i="6"/>
  <c r="G125" i="6"/>
  <c r="G184" i="6"/>
  <c r="G164" i="6"/>
  <c r="G144" i="6"/>
  <c r="H124" i="6"/>
  <c r="H104" i="6"/>
  <c r="G84" i="6"/>
  <c r="H64" i="6"/>
  <c r="H44" i="6"/>
  <c r="H24" i="6"/>
  <c r="G22" i="6"/>
  <c r="G42" i="6"/>
  <c r="G62" i="6"/>
  <c r="G82" i="6"/>
  <c r="G102" i="6"/>
  <c r="G122" i="6"/>
  <c r="G142" i="6"/>
  <c r="G162" i="6"/>
  <c r="G182" i="6"/>
  <c r="G202" i="6"/>
  <c r="H185" i="6"/>
  <c r="H165" i="6"/>
  <c r="H145" i="6"/>
  <c r="H125" i="6"/>
  <c r="H105" i="6"/>
  <c r="H85" i="6"/>
  <c r="H65" i="6"/>
  <c r="H45" i="6"/>
  <c r="H25" i="6"/>
  <c r="G20" i="6"/>
  <c r="G60" i="6"/>
  <c r="G80" i="6"/>
  <c r="G120" i="6"/>
  <c r="G180" i="6"/>
  <c r="G41" i="6"/>
  <c r="G101" i="6"/>
  <c r="G161" i="6"/>
  <c r="G83" i="6"/>
  <c r="G123" i="6"/>
  <c r="G183" i="6"/>
  <c r="H184" i="6"/>
  <c r="H144" i="6"/>
  <c r="H84" i="6"/>
  <c r="G24" i="6"/>
  <c r="G44" i="6"/>
  <c r="G64" i="6"/>
  <c r="G104" i="6"/>
  <c r="G124" i="6"/>
  <c r="H203" i="6"/>
  <c r="H163" i="6"/>
  <c r="H143" i="6"/>
  <c r="H103" i="6"/>
  <c r="G40" i="6"/>
  <c r="G100" i="6"/>
  <c r="G160" i="6"/>
  <c r="G200" i="6"/>
  <c r="G61" i="6"/>
  <c r="G121" i="6"/>
  <c r="G181" i="6"/>
  <c r="H164" i="6"/>
  <c r="H201" i="6"/>
  <c r="G140" i="6"/>
  <c r="G21" i="6"/>
  <c r="G81" i="6"/>
  <c r="G141" i="6"/>
  <c r="H5" i="6"/>
  <c r="G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E12" authorId="0" shapeId="0" xr:uid="{DE83850A-1911-4708-A10D-1D62964EB619}">
      <text>
        <r>
          <rPr>
            <b/>
            <sz val="9"/>
            <color indexed="81"/>
            <rFont val="Tahoma"/>
            <family val="2"/>
          </rPr>
          <t>Nicolas Lienart:</t>
        </r>
        <r>
          <rPr>
            <sz val="9"/>
            <color indexed="81"/>
            <rFont val="Tahoma"/>
            <family val="2"/>
          </rPr>
          <t xml:space="preserve">
DE, FR, GB…
Mostly stock formation + consumption by government</t>
        </r>
      </text>
    </comment>
  </commentList>
</comments>
</file>

<file path=xl/sharedStrings.xml><?xml version="1.0" encoding="utf-8"?>
<sst xmlns="http://schemas.openxmlformats.org/spreadsheetml/2006/main" count="1084" uniqueCount="259">
  <si>
    <t>sector</t>
  </si>
  <si>
    <t>value (kg CO2 eq.)</t>
  </si>
  <si>
    <t>Additives/Blending Components</t>
  </si>
  <si>
    <t>Air transport services (62)</t>
  </si>
  <si>
    <t>Aluminium and aluminium products</t>
  </si>
  <si>
    <t>Aluminium ores and concentrates</t>
  </si>
  <si>
    <t>Animal products nec</t>
  </si>
  <si>
    <t>Anthracite</t>
  </si>
  <si>
    <t>Ash for treatment, Re-processing of ash into clinker</t>
  </si>
  <si>
    <t>Aviation Gasoline</t>
  </si>
  <si>
    <t>BKB/Peat Briquettes</t>
  </si>
  <si>
    <t>Basic iron and steel and of ferro-alloys and first products thereof</t>
  </si>
  <si>
    <t>Beverages</t>
  </si>
  <si>
    <t>Biodiesels</t>
  </si>
  <si>
    <t>Biogas</t>
  </si>
  <si>
    <t>Biogasoline</t>
  </si>
  <si>
    <t>Bitumen</t>
  </si>
  <si>
    <t>Blast Furnace Gas</t>
  </si>
  <si>
    <t>Bottles for treatment, Recycling of bottles by direct reuse</t>
  </si>
  <si>
    <t>Bricks, tiles and construction products, in baked clay</t>
  </si>
  <si>
    <t>Cattle</t>
  </si>
  <si>
    <t>Cement, lime and plaster</t>
  </si>
  <si>
    <t>Ceramic goods</t>
  </si>
  <si>
    <t>Cereal grains nec</t>
  </si>
  <si>
    <t>Charcoal</t>
  </si>
  <si>
    <t>Chemical and fertilizer minerals, salt and other mining and quarrying products n.e.c.</t>
  </si>
  <si>
    <t>Chemicals nec</t>
  </si>
  <si>
    <t>Coal Tar</t>
  </si>
  <si>
    <t>Coke Oven Coke</t>
  </si>
  <si>
    <t>Coke oven gas</t>
  </si>
  <si>
    <t>Coking Coal</t>
  </si>
  <si>
    <t>Collected and purified water, distribution services of water (41)</t>
  </si>
  <si>
    <t>Computer and related services (72)</t>
  </si>
  <si>
    <t>Construction work (45)</t>
  </si>
  <si>
    <t>Copper ores and concentrates</t>
  </si>
  <si>
    <t>Copper products</t>
  </si>
  <si>
    <t>Crops nec</t>
  </si>
  <si>
    <t>Crude petroleum and services related to crude oil extraction, excluding surveying</t>
  </si>
  <si>
    <t>Dairy products</t>
  </si>
  <si>
    <t>Distribution and trade services of electricity</t>
  </si>
  <si>
    <t>Distribution services of gaseous fuels through mains</t>
  </si>
  <si>
    <t>Education services (80)</t>
  </si>
  <si>
    <t>Electrical machinery and apparatus n.e.c. (31)</t>
  </si>
  <si>
    <t>Electricity by Geothermal</t>
  </si>
  <si>
    <t>Electricity by biomass and waste</t>
  </si>
  <si>
    <t>Electricity by coal</t>
  </si>
  <si>
    <t>Electricity by gas</t>
  </si>
  <si>
    <t>Electricity by hydro</t>
  </si>
  <si>
    <t>Electricity by nuclear</t>
  </si>
  <si>
    <t>Electricity by petroleum and other oil derivatives</t>
  </si>
  <si>
    <t>Electricity by solar photovoltaic</t>
  </si>
  <si>
    <t>Electricity by solar thermal</t>
  </si>
  <si>
    <t>Electricity by tide, wave, ocean</t>
  </si>
  <si>
    <t>Electricity by wind</t>
  </si>
  <si>
    <t>Electricity nec</t>
  </si>
  <si>
    <t>Ethane</t>
  </si>
  <si>
    <t>Extra-territorial organizations and bodies</t>
  </si>
  <si>
    <t>Fabricated metal products, except machinery and equipment (28)</t>
  </si>
  <si>
    <t>Financial intermediation services, except insurance and pension funding services (65)</t>
  </si>
  <si>
    <t>Fish and other fishing products; services incidental of fishing (05)</t>
  </si>
  <si>
    <t>Fish products</t>
  </si>
  <si>
    <t>Food products nec</t>
  </si>
  <si>
    <t>Food waste for treatment: biogasification and land application</t>
  </si>
  <si>
    <t>Food waste for treatment: composting and land application</t>
  </si>
  <si>
    <t>Food waste for treatment: incineration</t>
  </si>
  <si>
    <t>Food waste for treatment: landfill</t>
  </si>
  <si>
    <t>Food waste for treatment: waste water treatment</t>
  </si>
  <si>
    <t>Foundry work services</t>
  </si>
  <si>
    <t>Furniture; other manufactured goods n.e.c. (36)</t>
  </si>
  <si>
    <t>Gas Coke</t>
  </si>
  <si>
    <t>Gas Works Gas</t>
  </si>
  <si>
    <t>Gas/Diesel Oil</t>
  </si>
  <si>
    <t>Gasoline Type Jet Fuel</t>
  </si>
  <si>
    <t>Glass and glass products</t>
  </si>
  <si>
    <t>Health and social work services (85)</t>
  </si>
  <si>
    <t>Heavy Fuel Oil</t>
  </si>
  <si>
    <t>Hotel and restaurant services (55)</t>
  </si>
  <si>
    <t>Inert/metal/hazardous waste for treatment: landfill</t>
  </si>
  <si>
    <t>Inland water transportation services</t>
  </si>
  <si>
    <t>Insurance and pension funding services, except compulsory social security services (66)</t>
  </si>
  <si>
    <t>Intert/metal waste for treatment: incineration</t>
  </si>
  <si>
    <t>Iron ores</t>
  </si>
  <si>
    <t>Kerosene</t>
  </si>
  <si>
    <t>Kerosene Type Jet Fuel</t>
  </si>
  <si>
    <t>Lead, zinc and tin and products thereof</t>
  </si>
  <si>
    <t>Lead, zinc and tin ores and concentrates</t>
  </si>
  <si>
    <t>Leather and leather products (19)</t>
  </si>
  <si>
    <t>Lignite/Brown Coal</t>
  </si>
  <si>
    <t>Liquefied Petroleum Gases (LPG)</t>
  </si>
  <si>
    <t>Lubricants</t>
  </si>
  <si>
    <t>Machinery and equipment n.e.c. (29)</t>
  </si>
  <si>
    <t>Manure (biogas treatment)</t>
  </si>
  <si>
    <t>Manure (conventional treatment)</t>
  </si>
  <si>
    <t>Meat animals nec</t>
  </si>
  <si>
    <t>Meat products nec</t>
  </si>
  <si>
    <t>Medical, precision and optical instruments, watches and clocks (33)</t>
  </si>
  <si>
    <t>Membership organisation services n.e.c. (91)</t>
  </si>
  <si>
    <t>Motor Gasoline</t>
  </si>
  <si>
    <t>Motor vehicles, trailers and semi-trailers (34)</t>
  </si>
  <si>
    <t>N-fertiliser</t>
  </si>
  <si>
    <t>Naphtha</t>
  </si>
  <si>
    <t>Natural Gas Liquids</t>
  </si>
  <si>
    <t>Natural gas and services related to natural gas extraction, excluding surveying</t>
  </si>
  <si>
    <t>Nickel ores and concentrates</t>
  </si>
  <si>
    <t>Non-specified Petroleum Products</t>
  </si>
  <si>
    <t>Nuclear fuel</t>
  </si>
  <si>
    <t>Office machinery and computers (30)</t>
  </si>
  <si>
    <t>Oil seeds</t>
  </si>
  <si>
    <t>Oil/hazardous waste for treatment: incineration</t>
  </si>
  <si>
    <t>Other Bituminous Coal</t>
  </si>
  <si>
    <t>Other Hydrocarbons</t>
  </si>
  <si>
    <t>Other Liquid Biofuels</t>
  </si>
  <si>
    <t>Other business services (74)</t>
  </si>
  <si>
    <t>Other land transportation services</t>
  </si>
  <si>
    <t>Other non-ferrous metal ores and concentrates</t>
  </si>
  <si>
    <t>Other non-ferrous metal products</t>
  </si>
  <si>
    <t>Other non-metallic mineral products</t>
  </si>
  <si>
    <t>Other services (93)</t>
  </si>
  <si>
    <t>Other transport equipment (35)</t>
  </si>
  <si>
    <t>Other waste for treatment: waste water treatment</t>
  </si>
  <si>
    <t>Oxygen Steel Furnace Gas</t>
  </si>
  <si>
    <t>P- and other fertiliser</t>
  </si>
  <si>
    <t>Paddy rice</t>
  </si>
  <si>
    <t>Paper and paper products</t>
  </si>
  <si>
    <t>Paper and wood waste for treatment: composting and land application</t>
  </si>
  <si>
    <t>Paper for treatment: landfill</t>
  </si>
  <si>
    <t>Paper waste for treatment: biogasification and land application</t>
  </si>
  <si>
    <t>Paper waste for treatment: incineration</t>
  </si>
  <si>
    <t>Paraffin Waxes</t>
  </si>
  <si>
    <t>Patent Fuel</t>
  </si>
  <si>
    <t>Peat</t>
  </si>
  <si>
    <t>Petroleum Coke</t>
  </si>
  <si>
    <t>Pigs</t>
  </si>
  <si>
    <t>Plant-based fibers</t>
  </si>
  <si>
    <t>Plastic waste for treatment: incineration</t>
  </si>
  <si>
    <t>Plastic waste for treatment: landfill</t>
  </si>
  <si>
    <t>Plastics, basic</t>
  </si>
  <si>
    <t>Post and telecommunication services (64)</t>
  </si>
  <si>
    <t>Poultry</t>
  </si>
  <si>
    <t>Precious metal ores and concentrates</t>
  </si>
  <si>
    <t>Precious metals</t>
  </si>
  <si>
    <t>Printed matter and recorded media (22)</t>
  </si>
  <si>
    <t>Private households with employed persons (95)</t>
  </si>
  <si>
    <t>Processed rice</t>
  </si>
  <si>
    <t>Products of forestry, logging and related services (02)</t>
  </si>
  <si>
    <t>Products of meat cattle</t>
  </si>
  <si>
    <t>Products of meat pigs</t>
  </si>
  <si>
    <t>Products of meat poultry</t>
  </si>
  <si>
    <t>Public administration and defence services; compulsory social security services (75)</t>
  </si>
  <si>
    <t>Pulp</t>
  </si>
  <si>
    <t>Radio, television and communication equipment and apparatus (32)</t>
  </si>
  <si>
    <t>Railway transportation services</t>
  </si>
  <si>
    <t>Raw milk</t>
  </si>
  <si>
    <t>Real estate services (70)</t>
  </si>
  <si>
    <t>Recreational, cultural and sporting services (92)</t>
  </si>
  <si>
    <t>Refinery Feedstocks</t>
  </si>
  <si>
    <t>Refinery Gas</t>
  </si>
  <si>
    <t>Renting services of machinery and equipment without operator and of personal and household goods (71)</t>
  </si>
  <si>
    <t>Research and development services (73)</t>
  </si>
  <si>
    <t>Retail  trade services, except of motor vehicles and motorcycles; repair services of personal and household goods (52)</t>
  </si>
  <si>
    <t>Retail trade services of motor fuel</t>
  </si>
  <si>
    <t>Rubber and plastic products (25)</t>
  </si>
  <si>
    <t>Sale, maintenance, repair of motor vehicles, motor vehicles parts, motorcycles, motor cycles parts and accessoiries</t>
  </si>
  <si>
    <t>Sand and clay</t>
  </si>
  <si>
    <t>Sea and coastal water transportation services</t>
  </si>
  <si>
    <t>Secondary aluminium for treatment, Re-processing of secondary aluminium into new aluminium</t>
  </si>
  <si>
    <t>Secondary construction material for treatment, Re-processing of secondary construction material into aggregates</t>
  </si>
  <si>
    <t>Secondary copper for treatment, Re-processing of secondary copper into new copper</t>
  </si>
  <si>
    <t>Secondary glass for treatment, Re-processing of secondary glass into new glass</t>
  </si>
  <si>
    <t>Secondary lead for treatment, Re-processing of secondary lead into new lead</t>
  </si>
  <si>
    <t>Secondary other non-ferrous metals for treatment, Re-processing of secondary other non-ferrous metals into new other non-ferrous metals</t>
  </si>
  <si>
    <t>Secondary paper for treatment, Re-processing of secondary paper into new pulp</t>
  </si>
  <si>
    <t>Secondary plastic for treatment, Re-processing of secondary plastic into new plastic</t>
  </si>
  <si>
    <t>Secondary preciuos metals for treatment, Re-processing of secondary preciuos metals into new preciuos metals</t>
  </si>
  <si>
    <t>Secondary raw materials</t>
  </si>
  <si>
    <t>Secondary steel for treatment, Re-processing of secondary steel into new steel</t>
  </si>
  <si>
    <t>Services auxiliary to financial intermediation (67)</t>
  </si>
  <si>
    <t>Sewage sludge for treatment: biogasification and land application</t>
  </si>
  <si>
    <t>Steam and hot water supply services</t>
  </si>
  <si>
    <t>Stone</t>
  </si>
  <si>
    <t>Sub-Bituminous Coal</t>
  </si>
  <si>
    <t>Sugar</t>
  </si>
  <si>
    <t>Sugar cane, sugar beet</t>
  </si>
  <si>
    <t>Supporting and auxiliary transport services; travel agency services (63)</t>
  </si>
  <si>
    <t>Textiles (17)</t>
  </si>
  <si>
    <t>Textiles waste for treatment: incineration</t>
  </si>
  <si>
    <t>Textiles waste for treatment: landfill</t>
  </si>
  <si>
    <t>Tobacco products (16)</t>
  </si>
  <si>
    <t>Transmission services of electricity</t>
  </si>
  <si>
    <t>Transportation services via pipelines</t>
  </si>
  <si>
    <t>Uranium and thorium ores (12)</t>
  </si>
  <si>
    <t>Vegetables, fruit, nuts</t>
  </si>
  <si>
    <t>Wearing apparel; furs (18)</t>
  </si>
  <si>
    <t>Wheat</t>
  </si>
  <si>
    <t>White Spirit &amp; SBP</t>
  </si>
  <si>
    <t>Wholesale trade and commission trade services, except of motor vehicles and motorcycles (51)</t>
  </si>
  <si>
    <t>Wood and products of wood and cork (except furniture); articles of straw and plaiting materials (20)</t>
  </si>
  <si>
    <t>Wood material for treatment, Re-processing of secondary wood material into new wood material</t>
  </si>
  <si>
    <t>Wood waste for treatment: incineration</t>
  </si>
  <si>
    <t>Wood waste for treatment: landfill</t>
  </si>
  <si>
    <t>Wool, silk-worm cocoons</t>
  </si>
  <si>
    <t>products of Vegetable oils and fats</t>
  </si>
  <si>
    <t>Imports</t>
  </si>
  <si>
    <t>Production</t>
  </si>
  <si>
    <t>Product</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</si>
  <si>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</si>
  <si>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</si>
  <si>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</si>
  <si>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</si>
  <si>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</si>
  <si>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</si>
  <si>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</si>
  <si>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</si>
  <si>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(Lorie Hamelin)</t>
  </si>
  <si>
    <t>lorie.hamelin@insa-toulouse.fr</t>
  </si>
  <si>
    <t>Description</t>
  </si>
  <si>
    <t>Note</t>
  </si>
  <si>
    <t>This file is part of a set of supplementary materials. Please refer to the main manuscript and the accompanying document to find other materials and for a description of their usage.</t>
  </si>
  <si>
    <t>Sheet structure</t>
  </si>
  <si>
    <t>Sheet name</t>
  </si>
  <si>
    <t>README</t>
  </si>
  <si>
    <t>This sheet. Contains meta information about this Excel file and its structure.</t>
  </si>
  <si>
    <t>Cell color nomenclature</t>
  </si>
  <si>
    <t>Style name</t>
  </si>
  <si>
    <t>Color</t>
  </si>
  <si>
    <t>Example 1</t>
  </si>
  <si>
    <t>Example 2</t>
  </si>
  <si>
    <t>Example 3</t>
  </si>
  <si>
    <t>Formula</t>
  </si>
  <si>
    <t>Cell performing calculations using other cells</t>
  </si>
  <si>
    <t>blue</t>
  </si>
  <si>
    <t>Data Linked Cell</t>
  </si>
  <si>
    <t>Cell refering to another, without transformation</t>
  </si>
  <si>
    <t>brown, italics</t>
  </si>
  <si>
    <t>Summary</t>
  </si>
  <si>
    <t>Imported data from the Prodcom Python notebook: Imported final demand footprint in France per product</t>
  </si>
  <si>
    <t>Imported data from the Prodcom Python notebook: Imported intermediate demand footprint in France per product</t>
  </si>
  <si>
    <t>Updates</t>
  </si>
  <si>
    <t>Date</t>
  </si>
  <si>
    <t>Ready for submission</t>
  </si>
  <si>
    <t>This file is used to compute the estimation of France sectors GHG footprint with respect to what is imported and locally produced based on Exiobase data and the code available in the git repository. Sectors (or products in Exiobase terms) are not cumulative as they depend on each other.</t>
  </si>
  <si>
    <t>Git repository (Forge INRAE)</t>
  </si>
  <si>
    <t>Git repository (GitHub)</t>
  </si>
  <si>
    <t>https://github.com/nicolnt/screen-lca-paper-supplementary-code</t>
  </si>
  <si>
    <t>https://forge.inrae.fr/nicolas.lienart/screen-lca-paper-supplementary-code</t>
  </si>
  <si>
    <t>Contact (Thibaut Lecompte)</t>
  </si>
  <si>
    <t>thibaut.lecompte@univ-ubs.fr</t>
  </si>
  <si>
    <t>1.1 Y_FR_imports</t>
  </si>
  <si>
    <t>1.2 Z_FR_imports</t>
  </si>
  <si>
    <t>2.1 Y_FR_production</t>
  </si>
  <si>
    <t>2.2 Z_FR_production</t>
  </si>
  <si>
    <t>Imported data from the Prodcom Python notebook: Production footprint in France per product, for intermediate demand (France and exports)</t>
  </si>
  <si>
    <t>Imported data from the Prodcom Python notebook: Production footprint in France per product, for final demand (France and exports)</t>
  </si>
  <si>
    <t>Sheet description:</t>
  </si>
  <si>
    <t>Combines and summarizes the data of tge four sheets listed above.</t>
  </si>
  <si>
    <t>Indicator</t>
  </si>
  <si>
    <t>GHG emissions AR6 (GWP100) - see EXIOBASE calculation notebook in the SI. The link is in the README sheet.</t>
  </si>
  <si>
    <t>Total (kg CO2 eq.)</t>
  </si>
  <si>
    <t>Updated sheet names for consistency with the Python notebook. Clarified each sheet and table content. Corrected small typos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</si>
</sst>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15" x14ac:knownFonts="1">
    <font>
      <sz val="11"/>
      <color theme="1"/>
      <name val="Calibri"/>
      <family val="2"/>
      <scheme val="minor"/>
    </font>
    <font>
      <b/>
      <sz val="11"/>
      <color theme="0"/>
      <name val="Calibri"/>
      <family val="2"/>
      <scheme val="minor"/>
    </font>
    <font>
      <sz val="11"/>
      <color theme="0"/>
      <name val="Calibri"/>
      <family val="2"/>
      <scheme val="minor"/>
    </font>
    <font>
      <b/>
      <sz val="9"/>
      <color indexed="81"/>
      <name val="Tahoma"/>
      <family val="2"/>
    </font>
    <font>
      <sz val="9"/>
      <color indexed="81"/>
      <name val="Tahoma"/>
      <family val="2"/>
    </font>
    <font>
      <b/>
      <sz val="15"/>
      <color theme="3"/>
      <name val="Calibri"/>
      <family val="2"/>
      <scheme val="minor"/>
    </font>
    <font>
      <b/>
      <sz val="13"/>
      <color theme="3"/>
      <name val="Calibri"/>
      <family val="2"/>
      <scheme val="minor"/>
    </font>
    <font>
      <u/>
      <sz val="11"/>
      <color theme="10"/>
      <name val="Calibri"/>
      <family val="2"/>
      <scheme val="minor"/>
    </font>
    <font>
      <sz val="10"/>
      <name val="Arial"/>
      <family val="2"/>
    </font>
    <font>
      <sz val="10"/>
      <color theme="4"/>
      <name val="Arial"/>
      <family val="2"/>
    </font>
    <font>
      <i/>
      <sz val="10"/>
      <color rgb="FFCC6600"/>
      <name val="Arial"/>
      <family val="2"/>
    </font>
    <font>
      <sz val="10"/>
      <color theme="1"/>
      <name val="Arial"/>
      <family val="2"/>
    </font>
    <font>
      <i/>
      <sz val="9"/>
      <color theme="1" tint="0.499984740745262"/>
      <name val="Arial"/>
      <family val="2"/>
    </font>
    <font>
      <sz val="9"/>
      <color theme="1"/>
      <name val="Arial"/>
      <family val="2"/>
    </font>
    <font>
      <sz val="9"/>
      <color theme="4" tint="0.39997558519241921"/>
      <name val="Arial"/>
      <family val="2"/>
    </font>
  </fonts>
  <fills count="6">
    <fill>
      <patternFill patternType="none"/>
    </fill>
    <fill>
      <patternFill patternType="gray125"/>
    </fill>
    <fill>
      <patternFill patternType="solid">
        <fgColor theme="2"/>
        <bgColor indexed="64"/>
      </patternFill>
    </fill>
    <fill>
      <patternFill patternType="solid">
        <fgColor theme="4"/>
      </patternFill>
    </fill>
    <fill>
      <patternFill patternType="solid">
        <fgColor rgb="FFFFE1E1"/>
        <bgColor indexed="64"/>
      </patternFill>
    </fill>
    <fill>
      <patternFill patternType="solid">
        <fgColor rgb="FF00B0F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s>
  <cellStyleXfs count="14">
    <xf numFmtId="0" fontId="0" fillId="0" borderId="0"/>
    <xf numFmtId="0" fontId="2" fillId="3"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7" fillId="0" borderId="0" applyNumberFormat="0" applyFill="0" applyBorder="0" applyAlignment="0" applyProtection="0"/>
    <xf numFmtId="0" fontId="8" fillId="4" borderId="0" applyNumberFormat="0" applyBorder="0" applyAlignment="0" applyProtection="0"/>
    <xf numFmtId="0" fontId="8" fillId="5" borderId="0" applyNumberFormat="0" applyBorder="0" applyAlignment="0" applyProtection="0"/>
    <xf numFmtId="0" fontId="8" fillId="2" borderId="0" applyNumberFormat="0" applyBorder="0" applyAlignment="0" applyProtection="0"/>
    <xf numFmtId="0" fontId="9" fillId="0" borderId="0" applyNumberFormat="0" applyBorder="0" applyAlignment="0" applyProtection="0"/>
    <xf numFmtId="0" fontId="10" fillId="0" borderId="0" applyNumberFormat="0" applyBorder="0" applyAlignment="0" applyProtection="0"/>
    <xf numFmtId="0" fontId="11" fillId="0" borderId="0" applyNumberFormat="0" applyBorder="0" applyAlignment="0" applyProtection="0"/>
    <xf numFmtId="0" fontId="12" fillId="0" borderId="0" applyNumberFormat="0" applyBorder="0" applyAlignment="0" applyProtection="0"/>
    <xf numFmtId="0" fontId="13" fillId="0" borderId="0" applyNumberFormat="0" applyBorder="0" applyAlignment="0" applyProtection="0">
      <alignment horizontal="left"/>
    </xf>
    <xf numFmtId="0" fontId="14" fillId="0" borderId="0" applyNumberFormat="0" applyBorder="0" applyAlignment="0" applyProtection="0">
      <alignment vertical="top"/>
    </xf>
  </cellStyleXfs>
  <cellXfs count="35">
    <xf numFmtId="0" fontId="0" fillId="0" borderId="0" xfId="0"/>
    <xf numFmtId="9" fontId="9" fillId="0" borderId="0" xfId="8" applyNumberFormat="1"/>
    <xf numFmtId="0" fontId="7" fillId="0" borderId="0" xfId="4" applyAlignment="1">
      <alignment wrapText="1"/>
    </xf>
    <xf numFmtId="14" fontId="0" fillId="0" borderId="7" xfId="0" applyNumberFormat="1" applyBorder="1" applyAlignment="1">
      <alignment horizontal="center"/>
    </xf>
    <xf numFmtId="48" fontId="10" fillId="0" borderId="0" xfId="9" applyNumberFormat="1"/>
    <xf numFmtId="11" fontId="0" fillId="0" borderId="0" xfId="0" applyNumberFormat="1"/>
    <xf numFmtId="48" fontId="0" fillId="0" borderId="0" xfId="0" applyNumberFormat="1"/>
    <xf numFmtId="1" fontId="0" fillId="0" borderId="0" xfId="0" applyNumberFormat="1"/>
    <xf numFmtId="164" fontId="0" fillId="0" borderId="0" xfId="0" applyNumberFormat="1"/>
    <xf numFmtId="0" fontId="1" fillId="3" borderId="0" xfId="1" applyFont="1" applyAlignment="1">
      <alignment horizontal="center" vertical="center"/>
    </xf>
    <xf numFmtId="0" fontId="0" fillId="0" borderId="0" xfId="0" applyAlignment="1">
      <alignment horizontal="right"/>
    </xf>
    <xf numFmtId="0" fontId="5" fillId="0" borderId="1" xfId="2"/>
    <xf numFmtId="0" fontId="6" fillId="0" borderId="2" xfId="3"/>
    <xf numFmtId="0" fontId="7" fillId="0" borderId="0" xfId="4"/>
    <xf numFmtId="0" fontId="0" fillId="0" borderId="0" xfId="0" applyAlignment="1">
      <alignment wrapText="1"/>
    </xf>
    <xf numFmtId="0" fontId="1" fillId="3" borderId="3" xfId="1" applyFont="1" applyBorder="1" applyAlignment="1">
      <alignment horizontal="center"/>
    </xf>
    <xf numFmtId="0" fontId="1" fillId="3" borderId="4" xfId="1" applyFont="1" applyBorder="1" applyAlignment="1">
      <alignment horizontal="left"/>
    </xf>
    <xf numFmtId="0" fontId="0" fillId="0" borderId="5" xfId="0"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 fillId="3" borderId="9" xfId="1" applyFont="1" applyBorder="1" applyAlignment="1">
      <alignment horizontal="center"/>
    </xf>
    <xf numFmtId="0" fontId="1" fillId="3" borderId="4" xfId="1" applyFont="1" applyBorder="1" applyAlignment="1">
      <alignment horizontal="center"/>
    </xf>
    <xf numFmtId="0" fontId="9" fillId="0" borderId="0" xfId="8" applyBorder="1"/>
    <xf numFmtId="165" fontId="9" fillId="0" borderId="0" xfId="8" applyNumberFormat="1" applyBorder="1"/>
    <xf numFmtId="11" fontId="9" fillId="0" borderId="6" xfId="8" applyNumberFormat="1" applyBorder="1"/>
    <xf numFmtId="0" fontId="0" fillId="0" borderId="10" xfId="0" applyBorder="1"/>
    <xf numFmtId="14" fontId="0" fillId="0" borderId="5" xfId="0" applyNumberFormat="1" applyBorder="1" applyAlignment="1">
      <alignment horizontal="center"/>
    </xf>
    <xf numFmtId="0" fontId="10" fillId="0" borderId="6" xfId="9" applyBorder="1"/>
    <xf numFmtId="0" fontId="10" fillId="0" borderId="8" xfId="9" applyBorder="1"/>
    <xf numFmtId="48" fontId="9" fillId="0" borderId="0" xfId="8" applyNumberFormat="1" applyFont="1"/>
    <xf numFmtId="0" fontId="10" fillId="0" borderId="10" xfId="9" applyBorder="1"/>
    <xf numFmtId="11" fontId="10" fillId="0" borderId="8" xfId="9" applyNumberFormat="1" applyBorder="1"/>
    <xf numFmtId="0" fontId="7" fillId="0" borderId="5" xfId="4" applyBorder="1" applyAlignment="1">
      <alignment horizontal="center"/>
    </xf>
    <xf numFmtId="0" fontId="7" fillId="0" borderId="7" xfId="4" applyBorder="1" applyAlignment="1">
      <alignment horizontal="center"/>
    </xf>
  </cellXfs>
  <cellStyles count="14">
    <cellStyle name="Accent1" xfId="1" builtinId="29"/>
    <cellStyle name="Data Assumption" xfId="5" xr:uid="{B6E415B8-22D8-4F62-A107-0C8141C0FDC0}"/>
    <cellStyle name="Data Linked Cell" xfId="9" xr:uid="{FCC71CE0-C8FA-466F-ADFE-6E5DADA77F12}"/>
    <cellStyle name="Data Reference" xfId="7" xr:uid="{7CB771E5-DE4C-48D6-B912-93B591F51953}"/>
    <cellStyle name="Formula" xfId="8" xr:uid="{982741D6-AD38-49A1-88CA-000BEE4D671C}"/>
    <cellStyle name="Heading 1" xfId="2" builtinId="16"/>
    <cellStyle name="Heading 2" xfId="3" builtinId="17"/>
    <cellStyle name="Hyperlink" xfId="4" builtinId="8"/>
    <cellStyle name="Normal" xfId="0" builtinId="0"/>
    <cellStyle name="Required User Input" xfId="6" xr:uid="{49D41EB4-16E3-4DB0-A96C-6026370D55A1}"/>
    <cellStyle name="Text Formula" xfId="13" xr:uid="{2BE4069D-CA4B-455D-B508-59308324C83E}"/>
    <cellStyle name="Text Note" xfId="10" xr:uid="{C4249F02-2AB3-40A3-9811-F2E83944B735}"/>
    <cellStyle name="Text Reference" xfId="11" xr:uid="{DBBB2E88-062C-4340-B1FA-0A4340D7C292}"/>
    <cellStyle name="Text Unit" xfId="12" xr:uid="{DA45470A-4D2D-425C-B1EE-D8D76E467959}"/>
  </cellStyles>
  <dxfs count="7">
    <dxf>
      <fill>
        <patternFill>
          <bgColor rgb="FFFF0000"/>
        </patternFill>
      </fill>
    </dxf>
    <dxf>
      <numFmt numFmtId="15" formatCode="0.00E+00"/>
    </dxf>
    <dxf>
      <numFmt numFmtId="15" formatCode="0.00E+00"/>
    </dxf>
    <dxf>
      <numFmt numFmtId="15" formatCode="0.00E+00"/>
    </dxf>
    <dxf>
      <border outline="0">
        <top style="thin">
          <color theme="4" tint="0.39997558519241921"/>
        </top>
      </border>
    </dxf>
    <dxf>
      <border outline="0">
        <bottom style="thin">
          <color theme="4" tint="0.39997558519241921"/>
        </bottom>
      </border>
    </dxf>
    <dxf>
      <numFmt numFmtId="15" formatCode="0.00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E14962-6ECB-4F3B-9E61-62551072D975}" name="Table1" displayName="Table1" ref="A3:B203" totalsRowShown="0">
  <autoFilter ref="A3:B203" xr:uid="{2AE14962-6ECB-4F3B-9E61-62551072D975}"/>
  <tableColumns count="2">
    <tableColumn id="1" xr3:uid="{D6A4F832-3565-4147-9929-C879C4EAFE98}" name="sector"/>
    <tableColumn id="2" xr3:uid="{C025C665-0A50-49D3-B67E-CCDD2E821841}" name="value (kg CO2 eq.)"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58F3E43-74C3-4B11-B2D7-3B6199150CC9}" name="Table3" displayName="Table3" ref="A3:B203" totalsRowShown="0" headerRowBorderDxfId="5" tableBorderDxfId="4">
  <autoFilter ref="A3:B203" xr:uid="{358F3E43-74C3-4B11-B2D7-3B6199150CC9}"/>
  <tableColumns count="2">
    <tableColumn id="1" xr3:uid="{62DD3F91-FB85-4155-8DB8-89FCCEDCF9BA}" name="sector"/>
    <tableColumn id="2" xr3:uid="{C1350CA9-5764-4088-8FAF-24FC5DFCC7A9}" name="value (kg CO2 eq.)" dataDxfId="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008DE-356F-490E-AF3D-9EA4EFB6536B}" name="Table5" displayName="Table5" ref="A3:B203" totalsRowShown="0">
  <autoFilter ref="A3:B203" xr:uid="{269008DE-356F-490E-AF3D-9EA4EFB6536B}"/>
  <tableColumns count="2">
    <tableColumn id="1" xr3:uid="{B25E21CC-3AC0-4332-B3B0-C8B565AACFE4}" name="sector"/>
    <tableColumn id="2" xr3:uid="{D01824B3-722F-44A7-A6EE-A73D2C0A1E0B}" name="value (kg CO2 eq.)" dataDxfId="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415A7D-11D1-486C-9551-DB62E270AB0E}" name="Table4" displayName="Table4" ref="A3:B203" totalsRowShown="0">
  <autoFilter ref="A3:B203" xr:uid="{4C415A7D-11D1-486C-9551-DB62E270AB0E}"/>
  <tableColumns count="2">
    <tableColumn id="1" xr3:uid="{E7C14BC2-99A1-48DB-ADCD-A4C42F86EE3C}" name="sector"/>
    <tableColumn id="2" xr3:uid="{7EFB5E10-5918-41E7-A6E9-1EF922531F34}" name="value (kg CO2 eq.)"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4CA13-5438-493C-B830-DB134E164CB9}">
  <sheetPr codeName="Sheet6"/>
  <dimension ref="B2:G40"/>
  <sheetViews>
    <sheetView tabSelected="1" topLeftCell="A13" zoomScaleNormal="100" workbookViewId="0">
      <selection activeCell="E25" sqref="E25"/>
    </sheetView>
  </sheetViews>
  <sheetFormatPr defaultRowHeight="14.4" x14ac:dyDescent="0.3"/>
  <cols>
    <col min="1" max="1" width="8.21875" customWidth="1"/>
    <col min="2" max="2" width="35.77734375" customWidth="1"/>
    <col min="3" max="3" width="72.5546875" customWidth="1"/>
    <col min="4" max="4" width="14.5546875" customWidth="1"/>
    <col min="5" max="7" width="15" customWidth="1"/>
  </cols>
  <sheetData>
    <row r="2" spans="2:3" ht="20.399999999999999" thickBot="1" x14ac:dyDescent="0.45">
      <c r="B2" s="11" t="s">
        <v>205</v>
      </c>
    </row>
    <row r="3" spans="2:3" ht="15" thickTop="1" x14ac:dyDescent="0.3"/>
    <row r="5" spans="2:3" ht="18" thickBot="1" x14ac:dyDescent="0.4">
      <c r="B5" s="12" t="s">
        <v>206</v>
      </c>
    </row>
    <row r="6" spans="2:3" ht="15" thickTop="1" x14ac:dyDescent="0.3"/>
    <row r="7" spans="2:3" x14ac:dyDescent="0.3">
      <c r="B7" t="s">
        <v>207</v>
      </c>
      <c r="C7" t="s">
        <v>208</v>
      </c>
    </row>
    <row r="8" spans="2:3" x14ac:dyDescent="0.3">
      <c r="B8" t="s">
        <v>209</v>
      </c>
      <c r="C8" t="s">
        <v>210</v>
      </c>
    </row>
    <row r="9" spans="2:3" x14ac:dyDescent="0.3">
      <c r="B9" t="s">
        <v>211</v>
      </c>
      <c r="C9" s="13" t="s">
        <v>212</v>
      </c>
    </row>
    <row r="10" spans="2:3" x14ac:dyDescent="0.3">
      <c r="B10" t="s">
        <v>245</v>
      </c>
      <c r="C10" s="13" t="s">
        <v>246</v>
      </c>
    </row>
    <row r="11" spans="2:3" x14ac:dyDescent="0.3">
      <c r="B11" t="s">
        <v>213</v>
      </c>
      <c r="C11" s="13" t="s">
        <v>214</v>
      </c>
    </row>
    <row r="12" spans="2:3" ht="57.6" x14ac:dyDescent="0.3">
      <c r="B12" t="s">
        <v>215</v>
      </c>
      <c r="C12" s="14" t="s">
        <v>240</v>
      </c>
    </row>
    <row r="13" spans="2:3" ht="43.2" x14ac:dyDescent="0.3">
      <c r="B13" t="s">
        <v>216</v>
      </c>
      <c r="C13" s="14" t="s">
        <v>217</v>
      </c>
    </row>
    <row r="14" spans="2:3" x14ac:dyDescent="0.3">
      <c r="B14" t="s">
        <v>241</v>
      </c>
      <c r="C14" s="2" t="s">
        <v>244</v>
      </c>
    </row>
    <row r="15" spans="2:3" x14ac:dyDescent="0.3">
      <c r="B15" t="s">
        <v>242</v>
      </c>
      <c r="C15" s="2" t="s">
        <v>243</v>
      </c>
    </row>
    <row r="18" spans="2:3" ht="18" thickBot="1" x14ac:dyDescent="0.4">
      <c r="B18" s="12" t="s">
        <v>237</v>
      </c>
    </row>
    <row r="19" spans="2:3" ht="15.6" thickTop="1" thickBot="1" x14ac:dyDescent="0.35"/>
    <row r="20" spans="2:3" x14ac:dyDescent="0.3">
      <c r="B20" s="15" t="s">
        <v>238</v>
      </c>
      <c r="C20" s="16" t="s">
        <v>216</v>
      </c>
    </row>
    <row r="21" spans="2:3" x14ac:dyDescent="0.3">
      <c r="B21" s="27">
        <v>46146</v>
      </c>
      <c r="C21" s="18" t="s">
        <v>239</v>
      </c>
    </row>
    <row r="22" spans="2:3" ht="15" thickBot="1" x14ac:dyDescent="0.35">
      <c r="B22" s="3">
        <v>46240</v>
      </c>
      <c r="C22" s="20" t="s">
        <v>258</v>
      </c>
    </row>
    <row r="25" spans="2:3" ht="18" thickBot="1" x14ac:dyDescent="0.4">
      <c r="B25" s="12" t="s">
        <v>218</v>
      </c>
    </row>
    <row r="26" spans="2:3" ht="15.6" thickTop="1" thickBot="1" x14ac:dyDescent="0.35"/>
    <row r="27" spans="2:3" x14ac:dyDescent="0.3">
      <c r="B27" s="15" t="s">
        <v>219</v>
      </c>
      <c r="C27" s="16" t="s">
        <v>215</v>
      </c>
    </row>
    <row r="28" spans="2:3" x14ac:dyDescent="0.3">
      <c r="B28" s="17" t="s">
        <v>220</v>
      </c>
      <c r="C28" s="18" t="s">
        <v>221</v>
      </c>
    </row>
    <row r="29" spans="2:3" x14ac:dyDescent="0.3">
      <c r="B29" s="33" t="s">
        <v>247</v>
      </c>
      <c r="C29" s="28" t="str">
        <f>'1.1 Y_FR_imports'!$B$1</f>
        <v>Imported data from the Prodcom Python notebook: Imported final demand footprint in France per product</v>
      </c>
    </row>
    <row r="30" spans="2:3" x14ac:dyDescent="0.3">
      <c r="B30" s="33" t="s">
        <v>248</v>
      </c>
      <c r="C30" s="28" t="str">
        <f>'1.2 Z_FR_imports'!$B$1</f>
        <v>Imported data from the Prodcom Python notebook: Imported intermediate demand footprint in France per product</v>
      </c>
    </row>
    <row r="31" spans="2:3" x14ac:dyDescent="0.3">
      <c r="B31" s="33" t="s">
        <v>249</v>
      </c>
      <c r="C31" s="28" t="str">
        <f>'2.1 Y_FR_production'!$B$1</f>
        <v>Imported data from the Prodcom Python notebook: Production footprint in France per product, for final demand (France and exports)</v>
      </c>
    </row>
    <row r="32" spans="2:3" x14ac:dyDescent="0.3">
      <c r="B32" s="33" t="s">
        <v>250</v>
      </c>
      <c r="C32" s="28" t="str">
        <f>'2.2 Z_FR_production'!$B$1</f>
        <v>Imported data from the Prodcom Python notebook: Production footprint in France per product, for intermediate demand (France and exports)</v>
      </c>
    </row>
    <row r="33" spans="2:7" ht="15" thickBot="1" x14ac:dyDescent="0.35">
      <c r="B33" s="34" t="s">
        <v>234</v>
      </c>
      <c r="C33" s="29" t="str">
        <f>Summary!$B$1</f>
        <v>Combines and summarizes the data of tge four sheets listed above.</v>
      </c>
    </row>
    <row r="36" spans="2:7" ht="18" thickBot="1" x14ac:dyDescent="0.4">
      <c r="B36" s="12" t="s">
        <v>222</v>
      </c>
    </row>
    <row r="37" spans="2:7" ht="15.6" thickTop="1" thickBot="1" x14ac:dyDescent="0.35"/>
    <row r="38" spans="2:7" x14ac:dyDescent="0.3">
      <c r="B38" s="15" t="s">
        <v>223</v>
      </c>
      <c r="C38" s="21" t="s">
        <v>215</v>
      </c>
      <c r="D38" s="21" t="s">
        <v>224</v>
      </c>
      <c r="E38" s="21" t="s">
        <v>225</v>
      </c>
      <c r="F38" s="21" t="s">
        <v>226</v>
      </c>
      <c r="G38" s="22" t="s">
        <v>227</v>
      </c>
    </row>
    <row r="39" spans="2:7" x14ac:dyDescent="0.3">
      <c r="B39" s="17" t="s">
        <v>228</v>
      </c>
      <c r="C39" t="s">
        <v>229</v>
      </c>
      <c r="D39" s="23" t="s">
        <v>230</v>
      </c>
      <c r="E39" s="23">
        <v>15</v>
      </c>
      <c r="F39" s="24">
        <v>4.1154000000000003E-2</v>
      </c>
      <c r="G39" s="25">
        <v>5.5855E-5</v>
      </c>
    </row>
    <row r="40" spans="2:7" ht="15" thickBot="1" x14ac:dyDescent="0.35">
      <c r="B40" s="19" t="s">
        <v>231</v>
      </c>
      <c r="C40" s="26" t="s">
        <v>232</v>
      </c>
      <c r="D40" s="31" t="s">
        <v>233</v>
      </c>
      <c r="E40" s="31">
        <v>15</v>
      </c>
      <c r="F40" s="31">
        <v>4.1154000000000003E-2</v>
      </c>
      <c r="G40" s="32">
        <v>5.5855E-5</v>
      </c>
    </row>
  </sheetData>
  <hyperlinks>
    <hyperlink ref="C9" r:id="rId1" xr:uid="{A28FC6BE-BB8F-4C3F-A3E7-19E4C5F5DAF0}"/>
    <hyperlink ref="C11" r:id="rId2" xr:uid="{8B270C82-A9EB-4C62-AA37-674A2231F622}"/>
    <hyperlink ref="C15" r:id="rId3" xr:uid="{17CDCCB3-406F-452A-9AD9-31BBC2AE5E97}"/>
    <hyperlink ref="C14" r:id="rId4" xr:uid="{95FD54BB-F035-450A-BE4B-5BB9143549BD}"/>
    <hyperlink ref="B29" location="'1.1 Y_FR_imports'!A1" display="'1.1 Y_FR_imports'!A1" xr:uid="{811C017F-104C-43F9-B93B-EECB8E7C1320}"/>
    <hyperlink ref="B30" location="'1.2 Z_FR_imports'!A1" display="'1.2 Z_FR_imports'!A1" xr:uid="{7D298B1D-7DAB-4E3B-8E70-9BD825D7260A}"/>
    <hyperlink ref="B31" location="'2.1 Y_FR_production'!A1" display="'2.1 Y_FR_production'!A1" xr:uid="{B515518D-F58F-4044-BC41-125E34D10968}"/>
    <hyperlink ref="B32" location="'2.2 Z_FR_production'!A1" display="'2.2 Z_FR_production'!A1" xr:uid="{10AB1670-4E85-4A65-886F-6DADDF269DCD}"/>
    <hyperlink ref="B33" location="'Summary'!A1" display="'Summary'!A1" xr:uid="{0C12F709-ADEF-48B0-8BBB-3D47E7CFDA5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85227-E70C-45D9-9739-695095AB9655}">
  <sheetPr codeName="Sheet1"/>
  <dimension ref="A1:B203"/>
  <sheetViews>
    <sheetView workbookViewId="0"/>
  </sheetViews>
  <sheetFormatPr defaultRowHeight="14.4" x14ac:dyDescent="0.3"/>
  <cols>
    <col min="1" max="1" width="124.5546875" bestFit="1" customWidth="1"/>
    <col min="2" max="2" width="24" customWidth="1"/>
  </cols>
  <sheetData>
    <row r="1" spans="1:2" x14ac:dyDescent="0.3">
      <c r="A1" t="s">
        <v>253</v>
      </c>
      <c r="B1" t="s">
        <v>235</v>
      </c>
    </row>
    <row r="2" spans="1:2" x14ac:dyDescent="0.3">
      <c r="A2" t="s">
        <v>255</v>
      </c>
      <c r="B2" t="s">
        <v>256</v>
      </c>
    </row>
    <row r="3" spans="1:2" x14ac:dyDescent="0.3">
      <c r="A3" t="s">
        <v>0</v>
      </c>
      <c r="B3" t="s">
        <v>1</v>
      </c>
    </row>
    <row r="4" spans="1:2" x14ac:dyDescent="0.3">
      <c r="A4" t="s">
        <v>2</v>
      </c>
      <c r="B4" s="5">
        <v>4.4154800608575901E-4</v>
      </c>
    </row>
    <row r="5" spans="1:2" x14ac:dyDescent="0.3">
      <c r="A5" t="s">
        <v>3</v>
      </c>
      <c r="B5" s="5">
        <v>18114085352.452599</v>
      </c>
    </row>
    <row r="6" spans="1:2" x14ac:dyDescent="0.3">
      <c r="A6" t="s">
        <v>4</v>
      </c>
      <c r="B6" s="5">
        <v>18770429.4970074</v>
      </c>
    </row>
    <row r="7" spans="1:2" x14ac:dyDescent="0.3">
      <c r="A7" t="s">
        <v>5</v>
      </c>
      <c r="B7" s="5">
        <v>69265.907041712402</v>
      </c>
    </row>
    <row r="8" spans="1:2" x14ac:dyDescent="0.3">
      <c r="A8" t="s">
        <v>6</v>
      </c>
      <c r="B8" s="5">
        <v>249457688.18088701</v>
      </c>
    </row>
    <row r="9" spans="1:2" x14ac:dyDescent="0.3">
      <c r="A9" t="s">
        <v>7</v>
      </c>
      <c r="B9" s="5">
        <v>5613.6233781739702</v>
      </c>
    </row>
    <row r="10" spans="1:2" x14ac:dyDescent="0.3">
      <c r="A10" t="s">
        <v>8</v>
      </c>
      <c r="B10" s="5">
        <v>0</v>
      </c>
    </row>
    <row r="11" spans="1:2" x14ac:dyDescent="0.3">
      <c r="A11" t="s">
        <v>9</v>
      </c>
      <c r="B11" s="5">
        <v>7.0866341464102096E-4</v>
      </c>
    </row>
    <row r="12" spans="1:2" x14ac:dyDescent="0.3">
      <c r="A12" t="s">
        <v>10</v>
      </c>
      <c r="B12" s="5">
        <v>1.5820359191801099E-3</v>
      </c>
    </row>
    <row r="13" spans="1:2" x14ac:dyDescent="0.3">
      <c r="A13" t="s">
        <v>11</v>
      </c>
      <c r="B13" s="5">
        <v>84380141.880586997</v>
      </c>
    </row>
    <row r="14" spans="1:2" x14ac:dyDescent="0.3">
      <c r="A14" t="s">
        <v>12</v>
      </c>
      <c r="B14" s="5">
        <v>1236712448.02845</v>
      </c>
    </row>
    <row r="15" spans="1:2" x14ac:dyDescent="0.3">
      <c r="A15" t="s">
        <v>13</v>
      </c>
      <c r="B15" s="5">
        <v>2682387.7772107399</v>
      </c>
    </row>
    <row r="16" spans="1:2" x14ac:dyDescent="0.3">
      <c r="A16" t="s">
        <v>14</v>
      </c>
      <c r="B16" s="5">
        <v>0</v>
      </c>
    </row>
    <row r="17" spans="1:2" x14ac:dyDescent="0.3">
      <c r="A17" t="s">
        <v>15</v>
      </c>
      <c r="B17" s="5">
        <v>2466540.3124040002</v>
      </c>
    </row>
    <row r="18" spans="1:2" x14ac:dyDescent="0.3">
      <c r="A18" t="s">
        <v>16</v>
      </c>
      <c r="B18" s="5">
        <v>8.2118041146668204E-4</v>
      </c>
    </row>
    <row r="19" spans="1:2" x14ac:dyDescent="0.3">
      <c r="A19" t="s">
        <v>17</v>
      </c>
      <c r="B19" s="5">
        <v>0</v>
      </c>
    </row>
    <row r="20" spans="1:2" x14ac:dyDescent="0.3">
      <c r="A20" t="s">
        <v>18</v>
      </c>
      <c r="B20" s="5">
        <v>0</v>
      </c>
    </row>
    <row r="21" spans="1:2" x14ac:dyDescent="0.3">
      <c r="A21" t="s">
        <v>19</v>
      </c>
      <c r="B21" s="5">
        <v>240548.09313306201</v>
      </c>
    </row>
    <row r="22" spans="1:2" x14ac:dyDescent="0.3">
      <c r="A22" t="s">
        <v>20</v>
      </c>
      <c r="B22" s="5">
        <v>4.31019719780012E-3</v>
      </c>
    </row>
    <row r="23" spans="1:2" x14ac:dyDescent="0.3">
      <c r="A23" t="s">
        <v>21</v>
      </c>
      <c r="B23" s="5">
        <v>1258772.2571036599</v>
      </c>
    </row>
    <row r="24" spans="1:2" x14ac:dyDescent="0.3">
      <c r="A24" t="s">
        <v>22</v>
      </c>
      <c r="B24" s="5">
        <v>264483440.12762699</v>
      </c>
    </row>
    <row r="25" spans="1:2" x14ac:dyDescent="0.3">
      <c r="A25" t="s">
        <v>23</v>
      </c>
      <c r="B25" s="5">
        <v>1592082.2169271801</v>
      </c>
    </row>
    <row r="26" spans="1:2" x14ac:dyDescent="0.3">
      <c r="A26" t="s">
        <v>24</v>
      </c>
      <c r="B26" s="5">
        <v>4.4349460544755902E-3</v>
      </c>
    </row>
    <row r="27" spans="1:2" x14ac:dyDescent="0.3">
      <c r="A27" t="s">
        <v>25</v>
      </c>
      <c r="B27" s="5">
        <v>12229717.048686501</v>
      </c>
    </row>
    <row r="28" spans="1:2" x14ac:dyDescent="0.3">
      <c r="A28" t="s">
        <v>26</v>
      </c>
      <c r="B28" s="5">
        <v>2310629402.52247</v>
      </c>
    </row>
    <row r="29" spans="1:2" x14ac:dyDescent="0.3">
      <c r="A29" t="s">
        <v>27</v>
      </c>
      <c r="B29" s="5">
        <v>0</v>
      </c>
    </row>
    <row r="30" spans="1:2" x14ac:dyDescent="0.3">
      <c r="A30" t="s">
        <v>28</v>
      </c>
      <c r="B30" s="5">
        <v>15662228.394270699</v>
      </c>
    </row>
    <row r="31" spans="1:2" x14ac:dyDescent="0.3">
      <c r="A31" t="s">
        <v>29</v>
      </c>
      <c r="B31" s="5">
        <v>0</v>
      </c>
    </row>
    <row r="32" spans="1:2" x14ac:dyDescent="0.3">
      <c r="A32" t="s">
        <v>30</v>
      </c>
      <c r="B32" s="5">
        <v>1001865.12013442</v>
      </c>
    </row>
    <row r="33" spans="1:2" x14ac:dyDescent="0.3">
      <c r="A33" t="s">
        <v>31</v>
      </c>
      <c r="B33" s="5">
        <v>0</v>
      </c>
    </row>
    <row r="34" spans="1:2" x14ac:dyDescent="0.3">
      <c r="A34" t="s">
        <v>32</v>
      </c>
      <c r="B34" s="5">
        <v>1600592321.4521999</v>
      </c>
    </row>
    <row r="35" spans="1:2" x14ac:dyDescent="0.3">
      <c r="A35" t="s">
        <v>33</v>
      </c>
      <c r="B35" s="5">
        <v>1106361828.3127301</v>
      </c>
    </row>
    <row r="36" spans="1:2" x14ac:dyDescent="0.3">
      <c r="A36" t="s">
        <v>34</v>
      </c>
      <c r="B36" s="5">
        <v>6.3502413648258205E-2</v>
      </c>
    </row>
    <row r="37" spans="1:2" x14ac:dyDescent="0.3">
      <c r="A37" t="s">
        <v>35</v>
      </c>
      <c r="B37" s="5">
        <v>516107.49430656299</v>
      </c>
    </row>
    <row r="38" spans="1:2" x14ac:dyDescent="0.3">
      <c r="A38" t="s">
        <v>36</v>
      </c>
      <c r="B38" s="5">
        <v>319317963.66828001</v>
      </c>
    </row>
    <row r="39" spans="1:2" x14ac:dyDescent="0.3">
      <c r="A39" t="s">
        <v>37</v>
      </c>
      <c r="B39" s="5">
        <v>3.7084151007204402E-4</v>
      </c>
    </row>
    <row r="40" spans="1:2" x14ac:dyDescent="0.3">
      <c r="A40" t="s">
        <v>38</v>
      </c>
      <c r="B40" s="5">
        <v>4062447105.12041</v>
      </c>
    </row>
    <row r="41" spans="1:2" x14ac:dyDescent="0.3">
      <c r="A41" t="s">
        <v>39</v>
      </c>
      <c r="B41" s="5">
        <v>0</v>
      </c>
    </row>
    <row r="42" spans="1:2" x14ac:dyDescent="0.3">
      <c r="A42" t="s">
        <v>40</v>
      </c>
      <c r="B42" s="5">
        <v>0</v>
      </c>
    </row>
    <row r="43" spans="1:2" x14ac:dyDescent="0.3">
      <c r="A43" t="s">
        <v>41</v>
      </c>
      <c r="B43" s="5">
        <v>32681306.351228502</v>
      </c>
    </row>
    <row r="44" spans="1:2" x14ac:dyDescent="0.3">
      <c r="A44" t="s">
        <v>42</v>
      </c>
      <c r="B44" s="5">
        <v>0</v>
      </c>
    </row>
    <row r="45" spans="1:2" x14ac:dyDescent="0.3">
      <c r="A45" t="s">
        <v>43</v>
      </c>
      <c r="B45" s="5">
        <v>0</v>
      </c>
    </row>
    <row r="46" spans="1:2" x14ac:dyDescent="0.3">
      <c r="A46" t="s">
        <v>44</v>
      </c>
      <c r="B46" s="5">
        <v>0</v>
      </c>
    </row>
    <row r="47" spans="1:2" x14ac:dyDescent="0.3">
      <c r="A47" t="s">
        <v>45</v>
      </c>
      <c r="B47" s="5">
        <v>0</v>
      </c>
    </row>
    <row r="48" spans="1:2" x14ac:dyDescent="0.3">
      <c r="A48" t="s">
        <v>46</v>
      </c>
      <c r="B48" s="5">
        <v>0</v>
      </c>
    </row>
    <row r="49" spans="1:2" x14ac:dyDescent="0.3">
      <c r="A49" t="s">
        <v>47</v>
      </c>
      <c r="B49" s="5">
        <v>0</v>
      </c>
    </row>
    <row r="50" spans="1:2" x14ac:dyDescent="0.3">
      <c r="A50" t="s">
        <v>48</v>
      </c>
      <c r="B50" s="5">
        <v>0</v>
      </c>
    </row>
    <row r="51" spans="1:2" x14ac:dyDescent="0.3">
      <c r="A51" t="s">
        <v>49</v>
      </c>
      <c r="B51" s="5">
        <v>0</v>
      </c>
    </row>
    <row r="52" spans="1:2" x14ac:dyDescent="0.3">
      <c r="A52" t="s">
        <v>50</v>
      </c>
      <c r="B52" s="5">
        <v>0</v>
      </c>
    </row>
    <row r="53" spans="1:2" x14ac:dyDescent="0.3">
      <c r="A53" t="s">
        <v>51</v>
      </c>
      <c r="B53" s="5">
        <v>0</v>
      </c>
    </row>
    <row r="54" spans="1:2" x14ac:dyDescent="0.3">
      <c r="A54" t="s">
        <v>52</v>
      </c>
      <c r="B54" s="5">
        <v>0</v>
      </c>
    </row>
    <row r="55" spans="1:2" x14ac:dyDescent="0.3">
      <c r="A55" t="s">
        <v>53</v>
      </c>
      <c r="B55" s="5">
        <v>0</v>
      </c>
    </row>
    <row r="56" spans="1:2" x14ac:dyDescent="0.3">
      <c r="A56" t="s">
        <v>54</v>
      </c>
      <c r="B56" s="5">
        <v>0</v>
      </c>
    </row>
    <row r="57" spans="1:2" x14ac:dyDescent="0.3">
      <c r="A57" t="s">
        <v>55</v>
      </c>
      <c r="B57" s="5">
        <v>0</v>
      </c>
    </row>
    <row r="58" spans="1:2" x14ac:dyDescent="0.3">
      <c r="A58" t="s">
        <v>56</v>
      </c>
      <c r="B58" s="5">
        <v>0</v>
      </c>
    </row>
    <row r="59" spans="1:2" x14ac:dyDescent="0.3">
      <c r="A59" t="s">
        <v>57</v>
      </c>
      <c r="B59" s="5">
        <v>3437194109.42208</v>
      </c>
    </row>
    <row r="60" spans="1:2" x14ac:dyDescent="0.3">
      <c r="A60" t="s">
        <v>58</v>
      </c>
      <c r="B60" s="5">
        <v>0</v>
      </c>
    </row>
    <row r="61" spans="1:2" x14ac:dyDescent="0.3">
      <c r="A61" t="s">
        <v>59</v>
      </c>
      <c r="B61" s="5">
        <v>490071859.696091</v>
      </c>
    </row>
    <row r="62" spans="1:2" x14ac:dyDescent="0.3">
      <c r="A62" t="s">
        <v>60</v>
      </c>
      <c r="B62" s="5">
        <v>571698866.05673397</v>
      </c>
    </row>
    <row r="63" spans="1:2" x14ac:dyDescent="0.3">
      <c r="A63" t="s">
        <v>61</v>
      </c>
      <c r="B63" s="5">
        <v>10677622802.4825</v>
      </c>
    </row>
    <row r="64" spans="1:2" x14ac:dyDescent="0.3">
      <c r="A64" t="s">
        <v>62</v>
      </c>
      <c r="B64" s="5">
        <v>0</v>
      </c>
    </row>
    <row r="65" spans="1:2" x14ac:dyDescent="0.3">
      <c r="A65" t="s">
        <v>63</v>
      </c>
      <c r="B65" s="5">
        <v>0</v>
      </c>
    </row>
    <row r="66" spans="1:2" x14ac:dyDescent="0.3">
      <c r="A66" t="s">
        <v>64</v>
      </c>
      <c r="B66" s="5">
        <v>0</v>
      </c>
    </row>
    <row r="67" spans="1:2" x14ac:dyDescent="0.3">
      <c r="A67" t="s">
        <v>65</v>
      </c>
      <c r="B67" s="5">
        <v>0</v>
      </c>
    </row>
    <row r="68" spans="1:2" x14ac:dyDescent="0.3">
      <c r="A68" t="s">
        <v>66</v>
      </c>
      <c r="B68" s="5">
        <v>0</v>
      </c>
    </row>
    <row r="69" spans="1:2" x14ac:dyDescent="0.3">
      <c r="A69" t="s">
        <v>67</v>
      </c>
      <c r="B69" s="5">
        <v>0</v>
      </c>
    </row>
    <row r="70" spans="1:2" x14ac:dyDescent="0.3">
      <c r="A70" t="s">
        <v>68</v>
      </c>
      <c r="B70" s="5">
        <v>9967051645.4773102</v>
      </c>
    </row>
    <row r="71" spans="1:2" x14ac:dyDescent="0.3">
      <c r="A71" t="s">
        <v>69</v>
      </c>
      <c r="B71" s="5">
        <v>0</v>
      </c>
    </row>
    <row r="72" spans="1:2" x14ac:dyDescent="0.3">
      <c r="A72" t="s">
        <v>70</v>
      </c>
      <c r="B72" s="5">
        <v>0</v>
      </c>
    </row>
    <row r="73" spans="1:2" x14ac:dyDescent="0.3">
      <c r="A73" t="s">
        <v>71</v>
      </c>
      <c r="B73" s="5">
        <v>1655932156.79807</v>
      </c>
    </row>
    <row r="74" spans="1:2" x14ac:dyDescent="0.3">
      <c r="A74" t="s">
        <v>72</v>
      </c>
      <c r="B74" s="5">
        <v>0</v>
      </c>
    </row>
    <row r="75" spans="1:2" x14ac:dyDescent="0.3">
      <c r="A75" t="s">
        <v>73</v>
      </c>
      <c r="B75" s="5">
        <v>7.5246066611947895E-4</v>
      </c>
    </row>
    <row r="76" spans="1:2" x14ac:dyDescent="0.3">
      <c r="A76" t="s">
        <v>74</v>
      </c>
      <c r="B76" s="5">
        <v>3047621.4885599199</v>
      </c>
    </row>
    <row r="77" spans="1:2" x14ac:dyDescent="0.3">
      <c r="A77" t="s">
        <v>75</v>
      </c>
      <c r="B77" s="5">
        <v>103799243.335862</v>
      </c>
    </row>
    <row r="78" spans="1:2" x14ac:dyDescent="0.3">
      <c r="A78" t="s">
        <v>76</v>
      </c>
      <c r="B78" s="5">
        <v>1969562465.7006099</v>
      </c>
    </row>
    <row r="79" spans="1:2" x14ac:dyDescent="0.3">
      <c r="A79" t="s">
        <v>77</v>
      </c>
      <c r="B79" s="5">
        <v>0</v>
      </c>
    </row>
    <row r="80" spans="1:2" x14ac:dyDescent="0.3">
      <c r="A80" t="s">
        <v>78</v>
      </c>
      <c r="B80" s="5">
        <v>147233821.94192901</v>
      </c>
    </row>
    <row r="81" spans="1:2" x14ac:dyDescent="0.3">
      <c r="A81" t="s">
        <v>79</v>
      </c>
      <c r="B81" s="5">
        <v>119126997.135635</v>
      </c>
    </row>
    <row r="82" spans="1:2" x14ac:dyDescent="0.3">
      <c r="A82" t="s">
        <v>80</v>
      </c>
      <c r="B82" s="5">
        <v>0</v>
      </c>
    </row>
    <row r="83" spans="1:2" x14ac:dyDescent="0.3">
      <c r="A83" t="s">
        <v>81</v>
      </c>
      <c r="B83" s="5">
        <v>0.39024009210747701</v>
      </c>
    </row>
    <row r="84" spans="1:2" x14ac:dyDescent="0.3">
      <c r="A84" t="s">
        <v>82</v>
      </c>
      <c r="B84" s="5">
        <v>64052060.091713801</v>
      </c>
    </row>
    <row r="85" spans="1:2" x14ac:dyDescent="0.3">
      <c r="A85" t="s">
        <v>83</v>
      </c>
      <c r="B85" s="5">
        <v>9.4844666199611204E-4</v>
      </c>
    </row>
    <row r="86" spans="1:2" x14ac:dyDescent="0.3">
      <c r="A86" t="s">
        <v>84</v>
      </c>
      <c r="B86" s="5">
        <v>115052.355217032</v>
      </c>
    </row>
    <row r="87" spans="1:2" x14ac:dyDescent="0.3">
      <c r="A87" t="s">
        <v>85</v>
      </c>
      <c r="B87" s="5">
        <v>939074.43521563499</v>
      </c>
    </row>
    <row r="88" spans="1:2" x14ac:dyDescent="0.3">
      <c r="A88" t="s">
        <v>86</v>
      </c>
      <c r="B88" s="5">
        <v>3896101546.29849</v>
      </c>
    </row>
    <row r="89" spans="1:2" x14ac:dyDescent="0.3">
      <c r="A89" t="s">
        <v>87</v>
      </c>
      <c r="B89" s="5">
        <v>1.60433654656053E-3</v>
      </c>
    </row>
    <row r="90" spans="1:2" x14ac:dyDescent="0.3">
      <c r="A90" t="s">
        <v>88</v>
      </c>
      <c r="B90" s="5">
        <v>388474673.21038699</v>
      </c>
    </row>
    <row r="91" spans="1:2" x14ac:dyDescent="0.3">
      <c r="A91" t="s">
        <v>89</v>
      </c>
      <c r="B91" s="5">
        <v>8.5885885453944701E-4</v>
      </c>
    </row>
    <row r="92" spans="1:2" x14ac:dyDescent="0.3">
      <c r="A92" t="s">
        <v>90</v>
      </c>
      <c r="B92" s="5">
        <v>4328633793.6965504</v>
      </c>
    </row>
    <row r="93" spans="1:2" x14ac:dyDescent="0.3">
      <c r="A93" t="s">
        <v>91</v>
      </c>
      <c r="B93" s="5">
        <v>0</v>
      </c>
    </row>
    <row r="94" spans="1:2" x14ac:dyDescent="0.3">
      <c r="A94" t="s">
        <v>92</v>
      </c>
      <c r="B94" s="5">
        <v>0</v>
      </c>
    </row>
    <row r="95" spans="1:2" x14ac:dyDescent="0.3">
      <c r="A95" t="s">
        <v>93</v>
      </c>
      <c r="B95" s="5">
        <v>377863320.43544298</v>
      </c>
    </row>
    <row r="96" spans="1:2" x14ac:dyDescent="0.3">
      <c r="A96" t="s">
        <v>94</v>
      </c>
      <c r="B96" s="5">
        <v>589013387.61632097</v>
      </c>
    </row>
    <row r="97" spans="1:2" x14ac:dyDescent="0.3">
      <c r="A97" t="s">
        <v>95</v>
      </c>
      <c r="B97" s="5">
        <v>599112768.30000901</v>
      </c>
    </row>
    <row r="98" spans="1:2" x14ac:dyDescent="0.3">
      <c r="A98" t="s">
        <v>96</v>
      </c>
      <c r="B98" s="5">
        <v>100989.718897673</v>
      </c>
    </row>
    <row r="99" spans="1:2" x14ac:dyDescent="0.3">
      <c r="A99" t="s">
        <v>97</v>
      </c>
      <c r="B99" s="5">
        <v>3189146677.39505</v>
      </c>
    </row>
    <row r="100" spans="1:2" x14ac:dyDescent="0.3">
      <c r="A100" t="s">
        <v>98</v>
      </c>
      <c r="B100" s="5">
        <v>17010148903.964899</v>
      </c>
    </row>
    <row r="101" spans="1:2" x14ac:dyDescent="0.3">
      <c r="A101" t="s">
        <v>99</v>
      </c>
      <c r="B101" s="5">
        <v>119655.765435265</v>
      </c>
    </row>
    <row r="102" spans="1:2" x14ac:dyDescent="0.3">
      <c r="A102" t="s">
        <v>100</v>
      </c>
      <c r="B102" s="5">
        <v>5836938.0701382197</v>
      </c>
    </row>
    <row r="103" spans="1:2" x14ac:dyDescent="0.3">
      <c r="A103" t="s">
        <v>101</v>
      </c>
      <c r="B103" s="5">
        <v>0</v>
      </c>
    </row>
    <row r="104" spans="1:2" x14ac:dyDescent="0.3">
      <c r="A104" t="s">
        <v>102</v>
      </c>
      <c r="B104" s="5">
        <v>49820752.378482997</v>
      </c>
    </row>
    <row r="105" spans="1:2" x14ac:dyDescent="0.3">
      <c r="A105" t="s">
        <v>103</v>
      </c>
      <c r="B105" s="5">
        <v>0</v>
      </c>
    </row>
    <row r="106" spans="1:2" x14ac:dyDescent="0.3">
      <c r="A106" t="s">
        <v>104</v>
      </c>
      <c r="B106" s="5">
        <v>208020.416477172</v>
      </c>
    </row>
    <row r="107" spans="1:2" x14ac:dyDescent="0.3">
      <c r="A107" t="s">
        <v>105</v>
      </c>
      <c r="B107" s="5">
        <v>5435456.1028659204</v>
      </c>
    </row>
    <row r="108" spans="1:2" x14ac:dyDescent="0.3">
      <c r="A108" t="s">
        <v>106</v>
      </c>
      <c r="B108" s="5">
        <v>305021089.94917297</v>
      </c>
    </row>
    <row r="109" spans="1:2" x14ac:dyDescent="0.3">
      <c r="A109" t="s">
        <v>107</v>
      </c>
      <c r="B109" s="5">
        <v>59137265.781791203</v>
      </c>
    </row>
    <row r="110" spans="1:2" x14ac:dyDescent="0.3">
      <c r="A110" t="s">
        <v>108</v>
      </c>
      <c r="B110" s="5">
        <v>0</v>
      </c>
    </row>
    <row r="111" spans="1:2" x14ac:dyDescent="0.3">
      <c r="A111" t="s">
        <v>109</v>
      </c>
      <c r="B111" s="5">
        <v>105173.79418728</v>
      </c>
    </row>
    <row r="112" spans="1:2" x14ac:dyDescent="0.3">
      <c r="A112" t="s">
        <v>110</v>
      </c>
      <c r="B112" s="5">
        <v>70324.895655055399</v>
      </c>
    </row>
    <row r="113" spans="1:2" x14ac:dyDescent="0.3">
      <c r="A113" t="s">
        <v>111</v>
      </c>
      <c r="B113" s="5">
        <v>0</v>
      </c>
    </row>
    <row r="114" spans="1:2" x14ac:dyDescent="0.3">
      <c r="A114" t="s">
        <v>112</v>
      </c>
      <c r="B114" s="5">
        <v>1444295279.4829099</v>
      </c>
    </row>
    <row r="115" spans="1:2" x14ac:dyDescent="0.3">
      <c r="A115" t="s">
        <v>113</v>
      </c>
      <c r="B115" s="5">
        <v>630540035.37289906</v>
      </c>
    </row>
    <row r="116" spans="1:2" x14ac:dyDescent="0.3">
      <c r="A116" t="s">
        <v>114</v>
      </c>
      <c r="B116" s="5">
        <v>90.366406603484194</v>
      </c>
    </row>
    <row r="117" spans="1:2" x14ac:dyDescent="0.3">
      <c r="A117" t="s">
        <v>115</v>
      </c>
      <c r="B117" s="5">
        <v>4591015.4635680197</v>
      </c>
    </row>
    <row r="118" spans="1:2" x14ac:dyDescent="0.3">
      <c r="A118" t="s">
        <v>116</v>
      </c>
      <c r="B118" s="5">
        <v>491907242.58534801</v>
      </c>
    </row>
    <row r="119" spans="1:2" x14ac:dyDescent="0.3">
      <c r="A119" t="s">
        <v>117</v>
      </c>
      <c r="B119" s="5">
        <v>71492203.930441901</v>
      </c>
    </row>
    <row r="120" spans="1:2" x14ac:dyDescent="0.3">
      <c r="A120" t="s">
        <v>118</v>
      </c>
      <c r="B120" s="5">
        <v>3816903835.0556502</v>
      </c>
    </row>
    <row r="121" spans="1:2" x14ac:dyDescent="0.3">
      <c r="A121" t="s">
        <v>119</v>
      </c>
      <c r="B121" s="5">
        <v>0</v>
      </c>
    </row>
    <row r="122" spans="1:2" x14ac:dyDescent="0.3">
      <c r="A122" t="s">
        <v>120</v>
      </c>
      <c r="B122" s="5">
        <v>0</v>
      </c>
    </row>
    <row r="123" spans="1:2" x14ac:dyDescent="0.3">
      <c r="A123" t="s">
        <v>121</v>
      </c>
      <c r="B123" s="5">
        <v>5.4848148271099898E-10</v>
      </c>
    </row>
    <row r="124" spans="1:2" x14ac:dyDescent="0.3">
      <c r="A124" t="s">
        <v>122</v>
      </c>
      <c r="B124" s="5">
        <v>0</v>
      </c>
    </row>
    <row r="125" spans="1:2" x14ac:dyDescent="0.3">
      <c r="A125" t="s">
        <v>123</v>
      </c>
      <c r="B125" s="5">
        <v>205652785.53993899</v>
      </c>
    </row>
    <row r="126" spans="1:2" x14ac:dyDescent="0.3">
      <c r="A126" t="s">
        <v>124</v>
      </c>
      <c r="B126" s="5">
        <v>0</v>
      </c>
    </row>
    <row r="127" spans="1:2" x14ac:dyDescent="0.3">
      <c r="A127" t="s">
        <v>125</v>
      </c>
      <c r="B127" s="5">
        <v>0</v>
      </c>
    </row>
    <row r="128" spans="1:2" x14ac:dyDescent="0.3">
      <c r="A128" t="s">
        <v>126</v>
      </c>
      <c r="B128" s="5">
        <v>0</v>
      </c>
    </row>
    <row r="129" spans="1:2" x14ac:dyDescent="0.3">
      <c r="A129" t="s">
        <v>127</v>
      </c>
      <c r="B129" s="5">
        <v>0</v>
      </c>
    </row>
    <row r="130" spans="1:2" x14ac:dyDescent="0.3">
      <c r="A130" t="s">
        <v>128</v>
      </c>
      <c r="B130" s="5">
        <v>2326937.6116799298</v>
      </c>
    </row>
    <row r="131" spans="1:2" x14ac:dyDescent="0.3">
      <c r="A131" t="s">
        <v>129</v>
      </c>
      <c r="B131" s="5">
        <v>9842.39757092933</v>
      </c>
    </row>
    <row r="132" spans="1:2" x14ac:dyDescent="0.3">
      <c r="A132" t="s">
        <v>130</v>
      </c>
      <c r="B132" s="5">
        <v>1.53136166842238E-4</v>
      </c>
    </row>
    <row r="133" spans="1:2" x14ac:dyDescent="0.3">
      <c r="A133" t="s">
        <v>131</v>
      </c>
      <c r="B133" s="5">
        <v>4910708.3387425402</v>
      </c>
    </row>
    <row r="134" spans="1:2" x14ac:dyDescent="0.3">
      <c r="A134" t="s">
        <v>132</v>
      </c>
      <c r="B134" s="5">
        <v>1.3423027844164501E-3</v>
      </c>
    </row>
    <row r="135" spans="1:2" x14ac:dyDescent="0.3">
      <c r="A135" t="s">
        <v>133</v>
      </c>
      <c r="B135" s="5">
        <v>44472048.3113961</v>
      </c>
    </row>
    <row r="136" spans="1:2" x14ac:dyDescent="0.3">
      <c r="A136" t="s">
        <v>134</v>
      </c>
      <c r="B136" s="5">
        <v>0</v>
      </c>
    </row>
    <row r="137" spans="1:2" x14ac:dyDescent="0.3">
      <c r="A137" t="s">
        <v>135</v>
      </c>
      <c r="B137" s="5">
        <v>0</v>
      </c>
    </row>
    <row r="138" spans="1:2" x14ac:dyDescent="0.3">
      <c r="A138" t="s">
        <v>136</v>
      </c>
      <c r="B138" s="5">
        <v>92174561.525324494</v>
      </c>
    </row>
    <row r="139" spans="1:2" x14ac:dyDescent="0.3">
      <c r="A139" t="s">
        <v>137</v>
      </c>
      <c r="B139" s="5">
        <v>339343791.381253</v>
      </c>
    </row>
    <row r="140" spans="1:2" x14ac:dyDescent="0.3">
      <c r="A140" t="s">
        <v>138</v>
      </c>
      <c r="B140" s="5">
        <v>7086341.3272470897</v>
      </c>
    </row>
    <row r="141" spans="1:2" x14ac:dyDescent="0.3">
      <c r="A141" t="s">
        <v>139</v>
      </c>
      <c r="B141" s="5">
        <v>1031.5451251115201</v>
      </c>
    </row>
    <row r="142" spans="1:2" x14ac:dyDescent="0.3">
      <c r="A142" t="s">
        <v>140</v>
      </c>
      <c r="B142" s="5">
        <v>1387663.39216132</v>
      </c>
    </row>
    <row r="143" spans="1:2" x14ac:dyDescent="0.3">
      <c r="A143" t="s">
        <v>141</v>
      </c>
      <c r="B143" s="5">
        <v>329622877.34055102</v>
      </c>
    </row>
    <row r="144" spans="1:2" x14ac:dyDescent="0.3">
      <c r="A144" t="s">
        <v>142</v>
      </c>
      <c r="B144" s="5">
        <v>0.28095038458632099</v>
      </c>
    </row>
    <row r="145" spans="1:2" x14ac:dyDescent="0.3">
      <c r="A145" t="s">
        <v>143</v>
      </c>
      <c r="B145" s="5">
        <v>87680179.095532596</v>
      </c>
    </row>
    <row r="146" spans="1:2" x14ac:dyDescent="0.3">
      <c r="A146" t="s">
        <v>144</v>
      </c>
      <c r="B146" s="5">
        <v>86028436.806775793</v>
      </c>
    </row>
    <row r="147" spans="1:2" x14ac:dyDescent="0.3">
      <c r="A147" t="s">
        <v>145</v>
      </c>
      <c r="B147" s="5">
        <v>1832547950.2392399</v>
      </c>
    </row>
    <row r="148" spans="1:2" x14ac:dyDescent="0.3">
      <c r="A148" t="s">
        <v>146</v>
      </c>
      <c r="B148" s="5">
        <v>300669329.82463598</v>
      </c>
    </row>
    <row r="149" spans="1:2" x14ac:dyDescent="0.3">
      <c r="A149" t="s">
        <v>147</v>
      </c>
      <c r="B149" s="5">
        <v>651508600.40213704</v>
      </c>
    </row>
    <row r="150" spans="1:2" x14ac:dyDescent="0.3">
      <c r="A150" t="s">
        <v>148</v>
      </c>
      <c r="B150" s="5">
        <v>30673179.116432901</v>
      </c>
    </row>
    <row r="151" spans="1:2" x14ac:dyDescent="0.3">
      <c r="A151" t="s">
        <v>149</v>
      </c>
      <c r="B151" s="5">
        <v>1110307.3772402799</v>
      </c>
    </row>
    <row r="152" spans="1:2" x14ac:dyDescent="0.3">
      <c r="A152" t="s">
        <v>150</v>
      </c>
      <c r="B152" s="5">
        <v>2.11294406297263E-4</v>
      </c>
    </row>
    <row r="153" spans="1:2" x14ac:dyDescent="0.3">
      <c r="A153" t="s">
        <v>151</v>
      </c>
      <c r="B153" s="5">
        <v>255000444.139889</v>
      </c>
    </row>
    <row r="154" spans="1:2" x14ac:dyDescent="0.3">
      <c r="A154" t="s">
        <v>152</v>
      </c>
      <c r="B154" s="5">
        <v>0</v>
      </c>
    </row>
    <row r="155" spans="1:2" x14ac:dyDescent="0.3">
      <c r="A155" t="s">
        <v>153</v>
      </c>
      <c r="B155" s="5">
        <v>24726264.732432202</v>
      </c>
    </row>
    <row r="156" spans="1:2" x14ac:dyDescent="0.3">
      <c r="A156" t="s">
        <v>154</v>
      </c>
      <c r="B156" s="5">
        <v>512766314.93212301</v>
      </c>
    </row>
    <row r="157" spans="1:2" x14ac:dyDescent="0.3">
      <c r="A157" t="s">
        <v>155</v>
      </c>
      <c r="B157" s="5">
        <v>0</v>
      </c>
    </row>
    <row r="158" spans="1:2" x14ac:dyDescent="0.3">
      <c r="A158" t="s">
        <v>156</v>
      </c>
      <c r="B158" s="5">
        <v>0</v>
      </c>
    </row>
    <row r="159" spans="1:2" x14ac:dyDescent="0.3">
      <c r="A159" t="s">
        <v>157</v>
      </c>
      <c r="B159" s="5">
        <v>3844323.5311372201</v>
      </c>
    </row>
    <row r="160" spans="1:2" x14ac:dyDescent="0.3">
      <c r="A160" t="s">
        <v>158</v>
      </c>
      <c r="B160" s="5">
        <v>3552201175.7938499</v>
      </c>
    </row>
    <row r="161" spans="1:2" x14ac:dyDescent="0.3">
      <c r="A161" t="s">
        <v>159</v>
      </c>
      <c r="B161" s="5">
        <v>9684657.6924510393</v>
      </c>
    </row>
    <row r="162" spans="1:2" x14ac:dyDescent="0.3">
      <c r="A162" t="s">
        <v>160</v>
      </c>
      <c r="B162" s="5">
        <v>2682907.8517829301</v>
      </c>
    </row>
    <row r="163" spans="1:2" x14ac:dyDescent="0.3">
      <c r="A163" t="s">
        <v>161</v>
      </c>
      <c r="B163" s="5">
        <v>5393016707.82759</v>
      </c>
    </row>
    <row r="164" spans="1:2" x14ac:dyDescent="0.3">
      <c r="A164" t="s">
        <v>162</v>
      </c>
      <c r="B164" s="5">
        <v>36039254.986249097</v>
      </c>
    </row>
    <row r="165" spans="1:2" x14ac:dyDescent="0.3">
      <c r="A165" t="s">
        <v>163</v>
      </c>
      <c r="B165" s="5">
        <v>3391916.4112976701</v>
      </c>
    </row>
    <row r="166" spans="1:2" x14ac:dyDescent="0.3">
      <c r="A166" t="s">
        <v>164</v>
      </c>
      <c r="B166" s="5">
        <v>18683426443.198799</v>
      </c>
    </row>
    <row r="167" spans="1:2" x14ac:dyDescent="0.3">
      <c r="A167" t="s">
        <v>165</v>
      </c>
      <c r="B167" s="5">
        <v>0</v>
      </c>
    </row>
    <row r="168" spans="1:2" x14ac:dyDescent="0.3">
      <c r="A168" t="s">
        <v>166</v>
      </c>
      <c r="B168" s="5">
        <v>0</v>
      </c>
    </row>
    <row r="169" spans="1:2" x14ac:dyDescent="0.3">
      <c r="A169" t="s">
        <v>167</v>
      </c>
      <c r="B169" s="5">
        <v>0</v>
      </c>
    </row>
    <row r="170" spans="1:2" x14ac:dyDescent="0.3">
      <c r="A170" t="s">
        <v>168</v>
      </c>
      <c r="B170" s="5">
        <v>0</v>
      </c>
    </row>
    <row r="171" spans="1:2" x14ac:dyDescent="0.3">
      <c r="A171" t="s">
        <v>169</v>
      </c>
      <c r="B171" s="5">
        <v>0</v>
      </c>
    </row>
    <row r="172" spans="1:2" x14ac:dyDescent="0.3">
      <c r="A172" t="s">
        <v>170</v>
      </c>
      <c r="B172" s="5">
        <v>0</v>
      </c>
    </row>
    <row r="173" spans="1:2" x14ac:dyDescent="0.3">
      <c r="A173" t="s">
        <v>171</v>
      </c>
      <c r="B173" s="5">
        <v>0</v>
      </c>
    </row>
    <row r="174" spans="1:2" x14ac:dyDescent="0.3">
      <c r="A174" t="s">
        <v>172</v>
      </c>
      <c r="B174" s="5">
        <v>0</v>
      </c>
    </row>
    <row r="175" spans="1:2" x14ac:dyDescent="0.3">
      <c r="A175" t="s">
        <v>173</v>
      </c>
      <c r="B175" s="5">
        <v>0</v>
      </c>
    </row>
    <row r="176" spans="1:2" x14ac:dyDescent="0.3">
      <c r="A176" t="s">
        <v>174</v>
      </c>
      <c r="B176" s="5">
        <v>0</v>
      </c>
    </row>
    <row r="177" spans="1:2" x14ac:dyDescent="0.3">
      <c r="A177" t="s">
        <v>175</v>
      </c>
      <c r="B177" s="5">
        <v>0</v>
      </c>
    </row>
    <row r="178" spans="1:2" x14ac:dyDescent="0.3">
      <c r="A178" t="s">
        <v>176</v>
      </c>
      <c r="B178" s="5">
        <v>25300869.096232601</v>
      </c>
    </row>
    <row r="179" spans="1:2" x14ac:dyDescent="0.3">
      <c r="A179" t="s">
        <v>177</v>
      </c>
      <c r="B179" s="5">
        <v>0</v>
      </c>
    </row>
    <row r="180" spans="1:2" x14ac:dyDescent="0.3">
      <c r="A180" t="s">
        <v>178</v>
      </c>
      <c r="B180" s="5">
        <v>0</v>
      </c>
    </row>
    <row r="181" spans="1:2" x14ac:dyDescent="0.3">
      <c r="A181" t="s">
        <v>179</v>
      </c>
      <c r="B181" s="5">
        <v>169408.61464413701</v>
      </c>
    </row>
    <row r="182" spans="1:2" x14ac:dyDescent="0.3">
      <c r="A182" t="s">
        <v>180</v>
      </c>
      <c r="B182" s="5">
        <v>1.1314182361623001E-4</v>
      </c>
    </row>
    <row r="183" spans="1:2" x14ac:dyDescent="0.3">
      <c r="A183" t="s">
        <v>181</v>
      </c>
      <c r="B183" s="5">
        <v>22898260.328087401</v>
      </c>
    </row>
    <row r="184" spans="1:2" x14ac:dyDescent="0.3">
      <c r="A184" t="s">
        <v>182</v>
      </c>
      <c r="B184" s="5">
        <v>1.07493274177337E-2</v>
      </c>
    </row>
    <row r="185" spans="1:2" x14ac:dyDescent="0.3">
      <c r="A185" t="s">
        <v>183</v>
      </c>
      <c r="B185" s="5">
        <v>204840430.25352201</v>
      </c>
    </row>
    <row r="186" spans="1:2" x14ac:dyDescent="0.3">
      <c r="A186" t="s">
        <v>184</v>
      </c>
      <c r="B186" s="5">
        <v>3349935763.54247</v>
      </c>
    </row>
    <row r="187" spans="1:2" x14ac:dyDescent="0.3">
      <c r="A187" t="s">
        <v>185</v>
      </c>
      <c r="B187" s="5">
        <v>0</v>
      </c>
    </row>
    <row r="188" spans="1:2" x14ac:dyDescent="0.3">
      <c r="A188" t="s">
        <v>186</v>
      </c>
      <c r="B188" s="5">
        <v>0</v>
      </c>
    </row>
    <row r="189" spans="1:2" x14ac:dyDescent="0.3">
      <c r="A189" t="s">
        <v>187</v>
      </c>
      <c r="B189" s="5">
        <v>381604655.233199</v>
      </c>
    </row>
    <row r="190" spans="1:2" x14ac:dyDescent="0.3">
      <c r="A190" t="s">
        <v>188</v>
      </c>
      <c r="B190" s="5">
        <v>0</v>
      </c>
    </row>
    <row r="191" spans="1:2" x14ac:dyDescent="0.3">
      <c r="A191" t="s">
        <v>189</v>
      </c>
      <c r="B191" s="5">
        <v>2579348.0001278799</v>
      </c>
    </row>
    <row r="192" spans="1:2" x14ac:dyDescent="0.3">
      <c r="A192" t="s">
        <v>190</v>
      </c>
      <c r="B192" s="5">
        <v>0</v>
      </c>
    </row>
    <row r="193" spans="1:2" x14ac:dyDescent="0.3">
      <c r="A193" t="s">
        <v>191</v>
      </c>
      <c r="B193" s="5">
        <v>3171719906.1089902</v>
      </c>
    </row>
    <row r="194" spans="1:2" x14ac:dyDescent="0.3">
      <c r="A194" t="s">
        <v>192</v>
      </c>
      <c r="B194" s="5">
        <v>8889760068.1200294</v>
      </c>
    </row>
    <row r="195" spans="1:2" x14ac:dyDescent="0.3">
      <c r="A195" t="s">
        <v>193</v>
      </c>
      <c r="B195" s="5">
        <v>23793506.061471701</v>
      </c>
    </row>
    <row r="196" spans="1:2" x14ac:dyDescent="0.3">
      <c r="A196" t="s">
        <v>194</v>
      </c>
      <c r="B196" s="5">
        <v>0</v>
      </c>
    </row>
    <row r="197" spans="1:2" x14ac:dyDescent="0.3">
      <c r="A197" t="s">
        <v>195</v>
      </c>
      <c r="B197" s="5">
        <v>0</v>
      </c>
    </row>
    <row r="198" spans="1:2" x14ac:dyDescent="0.3">
      <c r="A198" t="s">
        <v>196</v>
      </c>
      <c r="B198" s="5">
        <v>366772609.59043801</v>
      </c>
    </row>
    <row r="199" spans="1:2" x14ac:dyDescent="0.3">
      <c r="A199" t="s">
        <v>197</v>
      </c>
      <c r="B199" s="5">
        <v>0</v>
      </c>
    </row>
    <row r="200" spans="1:2" x14ac:dyDescent="0.3">
      <c r="A200" t="s">
        <v>198</v>
      </c>
      <c r="B200" s="5">
        <v>0</v>
      </c>
    </row>
    <row r="201" spans="1:2" x14ac:dyDescent="0.3">
      <c r="A201" t="s">
        <v>199</v>
      </c>
      <c r="B201" s="5">
        <v>0</v>
      </c>
    </row>
    <row r="202" spans="1:2" x14ac:dyDescent="0.3">
      <c r="A202" t="s">
        <v>200</v>
      </c>
      <c r="B202" s="5">
        <v>6.9274498211835097E-3</v>
      </c>
    </row>
    <row r="203" spans="1:2" x14ac:dyDescent="0.3">
      <c r="A203" t="s">
        <v>201</v>
      </c>
      <c r="B203" s="5">
        <v>206189342.07271099</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AE685-C428-4700-8539-367A05CECC0B}">
  <sheetPr codeName="Sheet2"/>
  <dimension ref="A1:B203"/>
  <sheetViews>
    <sheetView workbookViewId="0">
      <selection activeCell="A20" sqref="A20"/>
    </sheetView>
  </sheetViews>
  <sheetFormatPr defaultRowHeight="14.4" x14ac:dyDescent="0.3"/>
  <cols>
    <col min="1" max="1" width="124.5546875" bestFit="1" customWidth="1"/>
    <col min="2" max="2" width="16.33203125" customWidth="1"/>
  </cols>
  <sheetData>
    <row r="1" spans="1:2" x14ac:dyDescent="0.3">
      <c r="A1" t="s">
        <v>253</v>
      </c>
      <c r="B1" s="18" t="s">
        <v>236</v>
      </c>
    </row>
    <row r="2" spans="1:2" x14ac:dyDescent="0.3">
      <c r="A2" t="s">
        <v>255</v>
      </c>
      <c r="B2" t="s">
        <v>256</v>
      </c>
    </row>
    <row r="3" spans="1:2" x14ac:dyDescent="0.3">
      <c r="A3" t="s">
        <v>0</v>
      </c>
      <c r="B3" t="s">
        <v>1</v>
      </c>
    </row>
    <row r="4" spans="1:2" x14ac:dyDescent="0.3">
      <c r="A4" t="s">
        <v>2</v>
      </c>
      <c r="B4" s="5">
        <v>125908226.09973</v>
      </c>
    </row>
    <row r="5" spans="1:2" x14ac:dyDescent="0.3">
      <c r="A5" t="s">
        <v>3</v>
      </c>
      <c r="B5" s="5">
        <v>2832577057.0113502</v>
      </c>
    </row>
    <row r="6" spans="1:2" x14ac:dyDescent="0.3">
      <c r="A6" t="s">
        <v>4</v>
      </c>
      <c r="B6" s="5">
        <v>5356506565.0960197</v>
      </c>
    </row>
    <row r="7" spans="1:2" x14ac:dyDescent="0.3">
      <c r="A7" t="s">
        <v>5</v>
      </c>
      <c r="B7" s="5">
        <v>73568379.105085999</v>
      </c>
    </row>
    <row r="8" spans="1:2" x14ac:dyDescent="0.3">
      <c r="A8" t="s">
        <v>6</v>
      </c>
      <c r="B8" s="5">
        <v>12891759.1335434</v>
      </c>
    </row>
    <row r="9" spans="1:2" x14ac:dyDescent="0.3">
      <c r="A9" t="s">
        <v>7</v>
      </c>
      <c r="B9" s="5">
        <v>36062185.180162899</v>
      </c>
    </row>
    <row r="10" spans="1:2" x14ac:dyDescent="0.3">
      <c r="A10" t="s">
        <v>8</v>
      </c>
      <c r="B10" s="5">
        <v>0</v>
      </c>
    </row>
    <row r="11" spans="1:2" x14ac:dyDescent="0.3">
      <c r="A11" t="s">
        <v>9</v>
      </c>
      <c r="B11" s="5">
        <v>804423.61677310499</v>
      </c>
    </row>
    <row r="12" spans="1:2" x14ac:dyDescent="0.3">
      <c r="A12" t="s">
        <v>10</v>
      </c>
      <c r="B12" s="5">
        <v>39832048.000321902</v>
      </c>
    </row>
    <row r="13" spans="1:2" x14ac:dyDescent="0.3">
      <c r="A13" t="s">
        <v>11</v>
      </c>
      <c r="B13" s="5">
        <v>10315241995.337299</v>
      </c>
    </row>
    <row r="14" spans="1:2" x14ac:dyDescent="0.3">
      <c r="A14" t="s">
        <v>12</v>
      </c>
      <c r="B14" s="5">
        <v>638240276.90105295</v>
      </c>
    </row>
    <row r="15" spans="1:2" x14ac:dyDescent="0.3">
      <c r="A15" t="s">
        <v>13</v>
      </c>
      <c r="B15" s="5">
        <v>96334960.624817893</v>
      </c>
    </row>
    <row r="16" spans="1:2" x14ac:dyDescent="0.3">
      <c r="A16" t="s">
        <v>14</v>
      </c>
      <c r="B16" s="5">
        <v>24677.6076254734</v>
      </c>
    </row>
    <row r="17" spans="1:2" x14ac:dyDescent="0.3">
      <c r="A17" t="s">
        <v>15</v>
      </c>
      <c r="B17" s="5">
        <v>7649491.7215748001</v>
      </c>
    </row>
    <row r="18" spans="1:2" x14ac:dyDescent="0.3">
      <c r="A18" t="s">
        <v>16</v>
      </c>
      <c r="B18" s="5">
        <v>126557605.04056799</v>
      </c>
    </row>
    <row r="19" spans="1:2" x14ac:dyDescent="0.3">
      <c r="A19" t="s">
        <v>17</v>
      </c>
      <c r="B19" s="5">
        <v>9608.5598286192599</v>
      </c>
    </row>
    <row r="20" spans="1:2" x14ac:dyDescent="0.3">
      <c r="A20" t="s">
        <v>18</v>
      </c>
      <c r="B20" s="5">
        <v>0</v>
      </c>
    </row>
    <row r="21" spans="1:2" x14ac:dyDescent="0.3">
      <c r="A21" t="s">
        <v>19</v>
      </c>
      <c r="B21" s="5">
        <v>63561693.675846003</v>
      </c>
    </row>
    <row r="22" spans="1:2" x14ac:dyDescent="0.3">
      <c r="A22" t="s">
        <v>20</v>
      </c>
      <c r="B22" s="5">
        <v>542412659.75727797</v>
      </c>
    </row>
    <row r="23" spans="1:2" x14ac:dyDescent="0.3">
      <c r="A23" t="s">
        <v>21</v>
      </c>
      <c r="B23" s="5">
        <v>1722733453.1811399</v>
      </c>
    </row>
    <row r="24" spans="1:2" x14ac:dyDescent="0.3">
      <c r="A24" t="s">
        <v>22</v>
      </c>
      <c r="B24" s="5">
        <v>1677665000.49844</v>
      </c>
    </row>
    <row r="25" spans="1:2" x14ac:dyDescent="0.3">
      <c r="A25" t="s">
        <v>23</v>
      </c>
      <c r="B25" s="5">
        <v>582938879.60404897</v>
      </c>
    </row>
    <row r="26" spans="1:2" x14ac:dyDescent="0.3">
      <c r="A26" t="s">
        <v>24</v>
      </c>
      <c r="B26" s="5">
        <v>53557497.444427103</v>
      </c>
    </row>
    <row r="27" spans="1:2" x14ac:dyDescent="0.3">
      <c r="A27" t="s">
        <v>25</v>
      </c>
      <c r="B27" s="5">
        <v>86381197.909551501</v>
      </c>
    </row>
    <row r="28" spans="1:2" x14ac:dyDescent="0.3">
      <c r="A28" t="s">
        <v>26</v>
      </c>
      <c r="B28" s="5">
        <v>9242047504.5767899</v>
      </c>
    </row>
    <row r="29" spans="1:2" x14ac:dyDescent="0.3">
      <c r="A29" t="s">
        <v>27</v>
      </c>
      <c r="B29" s="5">
        <v>818292.446741333</v>
      </c>
    </row>
    <row r="30" spans="1:2" x14ac:dyDescent="0.3">
      <c r="A30" t="s">
        <v>28</v>
      </c>
      <c r="B30" s="5">
        <v>1285598052.4466701</v>
      </c>
    </row>
    <row r="31" spans="1:2" x14ac:dyDescent="0.3">
      <c r="A31" t="s">
        <v>29</v>
      </c>
      <c r="B31" s="5">
        <v>0</v>
      </c>
    </row>
    <row r="32" spans="1:2" x14ac:dyDescent="0.3">
      <c r="A32" t="s">
        <v>30</v>
      </c>
      <c r="B32" s="5">
        <v>79174598.307430893</v>
      </c>
    </row>
    <row r="33" spans="1:2" x14ac:dyDescent="0.3">
      <c r="A33" t="s">
        <v>31</v>
      </c>
      <c r="B33" s="5">
        <v>0</v>
      </c>
    </row>
    <row r="34" spans="1:2" x14ac:dyDescent="0.3">
      <c r="A34" t="s">
        <v>32</v>
      </c>
      <c r="B34" s="5">
        <v>400391196.18447202</v>
      </c>
    </row>
    <row r="35" spans="1:2" x14ac:dyDescent="0.3">
      <c r="A35" t="s">
        <v>33</v>
      </c>
      <c r="B35" s="5">
        <v>1966580680.6168499</v>
      </c>
    </row>
    <row r="36" spans="1:2" x14ac:dyDescent="0.3">
      <c r="A36" t="s">
        <v>34</v>
      </c>
      <c r="B36" s="5">
        <v>791.66708056454195</v>
      </c>
    </row>
    <row r="37" spans="1:2" x14ac:dyDescent="0.3">
      <c r="A37" t="s">
        <v>35</v>
      </c>
      <c r="B37" s="5">
        <v>1903719203.9960101</v>
      </c>
    </row>
    <row r="38" spans="1:2" x14ac:dyDescent="0.3">
      <c r="A38" t="s">
        <v>36</v>
      </c>
      <c r="B38" s="5">
        <v>615045017.24996305</v>
      </c>
    </row>
    <row r="39" spans="1:2" x14ac:dyDescent="0.3">
      <c r="A39" t="s">
        <v>37</v>
      </c>
      <c r="B39" s="5">
        <v>10685797725.369801</v>
      </c>
    </row>
    <row r="40" spans="1:2" x14ac:dyDescent="0.3">
      <c r="A40" t="s">
        <v>38</v>
      </c>
      <c r="B40" s="5">
        <v>1417225140.4484</v>
      </c>
    </row>
    <row r="41" spans="1:2" x14ac:dyDescent="0.3">
      <c r="A41" t="s">
        <v>39</v>
      </c>
      <c r="B41" s="5">
        <v>0</v>
      </c>
    </row>
    <row r="42" spans="1:2" x14ac:dyDescent="0.3">
      <c r="A42" t="s">
        <v>40</v>
      </c>
      <c r="B42" s="5">
        <v>0</v>
      </c>
    </row>
    <row r="43" spans="1:2" x14ac:dyDescent="0.3">
      <c r="A43" t="s">
        <v>41</v>
      </c>
      <c r="B43" s="5">
        <v>672538614.11242294</v>
      </c>
    </row>
    <row r="44" spans="1:2" x14ac:dyDescent="0.3">
      <c r="A44" t="s">
        <v>42</v>
      </c>
      <c r="B44" s="5">
        <v>6003762601.81497</v>
      </c>
    </row>
    <row r="45" spans="1:2" x14ac:dyDescent="0.3">
      <c r="A45" t="s">
        <v>43</v>
      </c>
      <c r="B45" s="5">
        <v>107254.483574996</v>
      </c>
    </row>
    <row r="46" spans="1:2" x14ac:dyDescent="0.3">
      <c r="A46" t="s">
        <v>44</v>
      </c>
      <c r="B46" s="5">
        <v>45710402.9011769</v>
      </c>
    </row>
    <row r="47" spans="1:2" x14ac:dyDescent="0.3">
      <c r="A47" t="s">
        <v>45</v>
      </c>
      <c r="B47" s="5">
        <v>684885171.63288701</v>
      </c>
    </row>
    <row r="48" spans="1:2" x14ac:dyDescent="0.3">
      <c r="A48" t="s">
        <v>46</v>
      </c>
      <c r="B48" s="5">
        <v>1364397870.41834</v>
      </c>
    </row>
    <row r="49" spans="1:2" x14ac:dyDescent="0.3">
      <c r="A49" t="s">
        <v>47</v>
      </c>
      <c r="B49" s="5">
        <v>44133739.569858402</v>
      </c>
    </row>
    <row r="50" spans="1:2" x14ac:dyDescent="0.3">
      <c r="A50" t="s">
        <v>48</v>
      </c>
      <c r="B50" s="5">
        <v>61850174.224666402</v>
      </c>
    </row>
    <row r="51" spans="1:2" x14ac:dyDescent="0.3">
      <c r="A51" t="s">
        <v>49</v>
      </c>
      <c r="B51" s="5">
        <v>183825331.32479</v>
      </c>
    </row>
    <row r="52" spans="1:2" x14ac:dyDescent="0.3">
      <c r="A52" t="s">
        <v>50</v>
      </c>
      <c r="B52" s="5">
        <v>5934286.5039559295</v>
      </c>
    </row>
    <row r="53" spans="1:2" x14ac:dyDescent="0.3">
      <c r="A53" t="s">
        <v>51</v>
      </c>
      <c r="B53" s="5">
        <v>787621.39469616604</v>
      </c>
    </row>
    <row r="54" spans="1:2" x14ac:dyDescent="0.3">
      <c r="A54" t="s">
        <v>52</v>
      </c>
      <c r="B54" s="5">
        <v>11636.872994789701</v>
      </c>
    </row>
    <row r="55" spans="1:2" x14ac:dyDescent="0.3">
      <c r="A55" t="s">
        <v>53</v>
      </c>
      <c r="B55" s="5">
        <v>19422646.0218173</v>
      </c>
    </row>
    <row r="56" spans="1:2" x14ac:dyDescent="0.3">
      <c r="A56" t="s">
        <v>54</v>
      </c>
      <c r="B56" s="5">
        <v>472982.623098557</v>
      </c>
    </row>
    <row r="57" spans="1:2" x14ac:dyDescent="0.3">
      <c r="A57" t="s">
        <v>55</v>
      </c>
      <c r="B57" s="5">
        <v>1044143.8975464</v>
      </c>
    </row>
    <row r="58" spans="1:2" x14ac:dyDescent="0.3">
      <c r="A58" t="s">
        <v>56</v>
      </c>
      <c r="B58" s="5">
        <v>0</v>
      </c>
    </row>
    <row r="59" spans="1:2" x14ac:dyDescent="0.3">
      <c r="A59" t="s">
        <v>57</v>
      </c>
      <c r="B59" s="5">
        <v>6638402889.45895</v>
      </c>
    </row>
    <row r="60" spans="1:2" x14ac:dyDescent="0.3">
      <c r="A60" t="s">
        <v>58</v>
      </c>
      <c r="B60" s="5">
        <v>960806837.94088697</v>
      </c>
    </row>
    <row r="61" spans="1:2" x14ac:dyDescent="0.3">
      <c r="A61" t="s">
        <v>59</v>
      </c>
      <c r="B61" s="5">
        <v>718991956.09135997</v>
      </c>
    </row>
    <row r="62" spans="1:2" x14ac:dyDescent="0.3">
      <c r="A62" t="s">
        <v>60</v>
      </c>
      <c r="B62" s="5">
        <v>1697207661.3668599</v>
      </c>
    </row>
    <row r="63" spans="1:2" x14ac:dyDescent="0.3">
      <c r="A63" t="s">
        <v>61</v>
      </c>
      <c r="B63" s="5">
        <v>1645529286.7318599</v>
      </c>
    </row>
    <row r="64" spans="1:2" x14ac:dyDescent="0.3">
      <c r="A64" t="s">
        <v>62</v>
      </c>
      <c r="B64" s="5">
        <v>2478704.7382823098</v>
      </c>
    </row>
    <row r="65" spans="1:2" x14ac:dyDescent="0.3">
      <c r="A65" t="s">
        <v>63</v>
      </c>
      <c r="B65" s="5">
        <v>11126282.487728801</v>
      </c>
    </row>
    <row r="66" spans="1:2" x14ac:dyDescent="0.3">
      <c r="A66" t="s">
        <v>64</v>
      </c>
      <c r="B66" s="5">
        <v>6592745.6218467401</v>
      </c>
    </row>
    <row r="67" spans="1:2" x14ac:dyDescent="0.3">
      <c r="A67" t="s">
        <v>65</v>
      </c>
      <c r="B67" s="5">
        <v>11718651.0584323</v>
      </c>
    </row>
    <row r="68" spans="1:2" x14ac:dyDescent="0.3">
      <c r="A68" t="s">
        <v>66</v>
      </c>
      <c r="B68" s="5">
        <v>10696676.229518101</v>
      </c>
    </row>
    <row r="69" spans="1:2" x14ac:dyDescent="0.3">
      <c r="A69" t="s">
        <v>67</v>
      </c>
      <c r="B69" s="5">
        <v>0</v>
      </c>
    </row>
    <row r="70" spans="1:2" x14ac:dyDescent="0.3">
      <c r="A70" t="s">
        <v>68</v>
      </c>
      <c r="B70" s="5">
        <v>3526536430.9952002</v>
      </c>
    </row>
    <row r="71" spans="1:2" x14ac:dyDescent="0.3">
      <c r="A71" t="s">
        <v>69</v>
      </c>
      <c r="B71" s="5">
        <v>0</v>
      </c>
    </row>
    <row r="72" spans="1:2" x14ac:dyDescent="0.3">
      <c r="A72" t="s">
        <v>70</v>
      </c>
      <c r="B72" s="5">
        <v>0</v>
      </c>
    </row>
    <row r="73" spans="1:2" x14ac:dyDescent="0.3">
      <c r="A73" t="s">
        <v>71</v>
      </c>
      <c r="B73" s="5">
        <v>4709759291.4492598</v>
      </c>
    </row>
    <row r="74" spans="1:2" x14ac:dyDescent="0.3">
      <c r="A74" t="s">
        <v>72</v>
      </c>
      <c r="B74" s="5">
        <v>0</v>
      </c>
    </row>
    <row r="75" spans="1:2" x14ac:dyDescent="0.3">
      <c r="A75" t="s">
        <v>73</v>
      </c>
      <c r="B75" s="5">
        <v>2719546603.7951102</v>
      </c>
    </row>
    <row r="76" spans="1:2" x14ac:dyDescent="0.3">
      <c r="A76" t="s">
        <v>74</v>
      </c>
      <c r="B76" s="5">
        <v>460788700.66713899</v>
      </c>
    </row>
    <row r="77" spans="1:2" x14ac:dyDescent="0.3">
      <c r="A77" t="s">
        <v>75</v>
      </c>
      <c r="B77" s="5">
        <v>2171285240.4465299</v>
      </c>
    </row>
    <row r="78" spans="1:2" x14ac:dyDescent="0.3">
      <c r="A78" t="s">
        <v>76</v>
      </c>
      <c r="B78" s="5">
        <v>8707922322.5023499</v>
      </c>
    </row>
    <row r="79" spans="1:2" x14ac:dyDescent="0.3">
      <c r="A79" t="s">
        <v>77</v>
      </c>
      <c r="B79" s="5">
        <v>10831491.5976102</v>
      </c>
    </row>
    <row r="80" spans="1:2" x14ac:dyDescent="0.3">
      <c r="A80" t="s">
        <v>78</v>
      </c>
      <c r="B80" s="5">
        <v>58737396.643698402</v>
      </c>
    </row>
    <row r="81" spans="1:2" x14ac:dyDescent="0.3">
      <c r="A81" t="s">
        <v>79</v>
      </c>
      <c r="B81" s="5">
        <v>420569237.70925897</v>
      </c>
    </row>
    <row r="82" spans="1:2" x14ac:dyDescent="0.3">
      <c r="A82" t="s">
        <v>80</v>
      </c>
      <c r="B82" s="5">
        <v>22439139.551322799</v>
      </c>
    </row>
    <row r="83" spans="1:2" x14ac:dyDescent="0.3">
      <c r="A83" t="s">
        <v>81</v>
      </c>
      <c r="B83" s="5">
        <v>39087.319956403997</v>
      </c>
    </row>
    <row r="84" spans="1:2" x14ac:dyDescent="0.3">
      <c r="A84" t="s">
        <v>82</v>
      </c>
      <c r="B84" s="5">
        <v>0</v>
      </c>
    </row>
    <row r="85" spans="1:2" x14ac:dyDescent="0.3">
      <c r="A85" t="s">
        <v>83</v>
      </c>
      <c r="B85" s="5">
        <v>3820399082.1959701</v>
      </c>
    </row>
    <row r="86" spans="1:2" x14ac:dyDescent="0.3">
      <c r="A86" t="s">
        <v>84</v>
      </c>
      <c r="B86" s="5">
        <v>471785970.03504598</v>
      </c>
    </row>
    <row r="87" spans="1:2" x14ac:dyDescent="0.3">
      <c r="A87" t="s">
        <v>85</v>
      </c>
      <c r="B87" s="5">
        <v>37095762.027989797</v>
      </c>
    </row>
    <row r="88" spans="1:2" x14ac:dyDescent="0.3">
      <c r="A88" t="s">
        <v>86</v>
      </c>
      <c r="B88" s="5">
        <v>768167991.47796297</v>
      </c>
    </row>
    <row r="89" spans="1:2" x14ac:dyDescent="0.3">
      <c r="A89" t="s">
        <v>87</v>
      </c>
      <c r="B89" s="5">
        <v>24100613.088326499</v>
      </c>
    </row>
    <row r="90" spans="1:2" x14ac:dyDescent="0.3">
      <c r="A90" t="s">
        <v>88</v>
      </c>
      <c r="B90" s="5">
        <v>601936122.43810701</v>
      </c>
    </row>
    <row r="91" spans="1:2" x14ac:dyDescent="0.3">
      <c r="A91" t="s">
        <v>89</v>
      </c>
      <c r="B91" s="5">
        <v>3515860.10220931</v>
      </c>
    </row>
    <row r="92" spans="1:2" x14ac:dyDescent="0.3">
      <c r="A92" t="s">
        <v>90</v>
      </c>
      <c r="B92" s="5">
        <v>3873963286.2735</v>
      </c>
    </row>
    <row r="93" spans="1:2" x14ac:dyDescent="0.3">
      <c r="A93" t="s">
        <v>91</v>
      </c>
      <c r="B93" s="5">
        <v>0</v>
      </c>
    </row>
    <row r="94" spans="1:2" x14ac:dyDescent="0.3">
      <c r="A94" t="s">
        <v>92</v>
      </c>
      <c r="B94" s="5">
        <v>0</v>
      </c>
    </row>
    <row r="95" spans="1:2" x14ac:dyDescent="0.3">
      <c r="A95" t="s">
        <v>93</v>
      </c>
      <c r="B95" s="5">
        <v>316145531.15642202</v>
      </c>
    </row>
    <row r="96" spans="1:2" x14ac:dyDescent="0.3">
      <c r="A96" t="s">
        <v>94</v>
      </c>
      <c r="B96" s="5">
        <v>63969079.566676296</v>
      </c>
    </row>
    <row r="97" spans="1:2" x14ac:dyDescent="0.3">
      <c r="A97" t="s">
        <v>95</v>
      </c>
      <c r="B97" s="5">
        <v>3206928913.2480001</v>
      </c>
    </row>
    <row r="98" spans="1:2" x14ac:dyDescent="0.3">
      <c r="A98" t="s">
        <v>96</v>
      </c>
      <c r="B98" s="5">
        <v>37249404.604231201</v>
      </c>
    </row>
    <row r="99" spans="1:2" x14ac:dyDescent="0.3">
      <c r="A99" t="s">
        <v>97</v>
      </c>
      <c r="B99" s="5">
        <v>1031344869.56223</v>
      </c>
    </row>
    <row r="100" spans="1:2" x14ac:dyDescent="0.3">
      <c r="A100" t="s">
        <v>98</v>
      </c>
      <c r="B100" s="5">
        <v>3198522431.7901902</v>
      </c>
    </row>
    <row r="101" spans="1:2" x14ac:dyDescent="0.3">
      <c r="A101" t="s">
        <v>99</v>
      </c>
      <c r="B101" s="5">
        <v>16204015.832271701</v>
      </c>
    </row>
    <row r="102" spans="1:2" x14ac:dyDescent="0.3">
      <c r="A102" t="s">
        <v>100</v>
      </c>
      <c r="B102" s="5">
        <v>666879866.69247901</v>
      </c>
    </row>
    <row r="103" spans="1:2" x14ac:dyDescent="0.3">
      <c r="A103" t="s">
        <v>101</v>
      </c>
      <c r="B103" s="5">
        <v>1794558678.55285</v>
      </c>
    </row>
    <row r="104" spans="1:2" x14ac:dyDescent="0.3">
      <c r="A104" t="s">
        <v>102</v>
      </c>
      <c r="B104" s="5">
        <v>1430038976.3780899</v>
      </c>
    </row>
    <row r="105" spans="1:2" x14ac:dyDescent="0.3">
      <c r="A105" t="s">
        <v>103</v>
      </c>
      <c r="B105" s="5">
        <v>0</v>
      </c>
    </row>
    <row r="106" spans="1:2" x14ac:dyDescent="0.3">
      <c r="A106" t="s">
        <v>104</v>
      </c>
      <c r="B106" s="5">
        <v>62435254.861159503</v>
      </c>
    </row>
    <row r="107" spans="1:2" x14ac:dyDescent="0.3">
      <c r="A107" t="s">
        <v>105</v>
      </c>
      <c r="B107" s="5">
        <v>91924275.261286005</v>
      </c>
    </row>
    <row r="108" spans="1:2" x14ac:dyDescent="0.3">
      <c r="A108" t="s">
        <v>106</v>
      </c>
      <c r="B108" s="5">
        <v>6445942648.5955896</v>
      </c>
    </row>
    <row r="109" spans="1:2" x14ac:dyDescent="0.3">
      <c r="A109" t="s">
        <v>107</v>
      </c>
      <c r="B109" s="5">
        <v>1226884432.03828</v>
      </c>
    </row>
    <row r="110" spans="1:2" x14ac:dyDescent="0.3">
      <c r="A110" t="s">
        <v>108</v>
      </c>
      <c r="B110" s="5">
        <v>10307199.661420099</v>
      </c>
    </row>
    <row r="111" spans="1:2" x14ac:dyDescent="0.3">
      <c r="A111" t="s">
        <v>109</v>
      </c>
      <c r="B111" s="5">
        <v>1002371536.5955499</v>
      </c>
    </row>
    <row r="112" spans="1:2" x14ac:dyDescent="0.3">
      <c r="A112" t="s">
        <v>110</v>
      </c>
      <c r="B112" s="5">
        <v>194625.84834274699</v>
      </c>
    </row>
    <row r="113" spans="1:2" x14ac:dyDescent="0.3">
      <c r="A113" t="s">
        <v>111</v>
      </c>
      <c r="B113" s="5">
        <v>400270.46505815402</v>
      </c>
    </row>
    <row r="114" spans="1:2" x14ac:dyDescent="0.3">
      <c r="A114" t="s">
        <v>112</v>
      </c>
      <c r="B114" s="5">
        <v>3640732920.2599101</v>
      </c>
    </row>
    <row r="115" spans="1:2" x14ac:dyDescent="0.3">
      <c r="A115" t="s">
        <v>113</v>
      </c>
      <c r="B115" s="5">
        <v>5757462532.0998201</v>
      </c>
    </row>
    <row r="116" spans="1:2" x14ac:dyDescent="0.3">
      <c r="A116" t="s">
        <v>114</v>
      </c>
      <c r="B116" s="5">
        <v>338760.94011995598</v>
      </c>
    </row>
    <row r="117" spans="1:2" x14ac:dyDescent="0.3">
      <c r="A117" t="s">
        <v>115</v>
      </c>
      <c r="B117" s="5">
        <v>1075091152.31124</v>
      </c>
    </row>
    <row r="118" spans="1:2" x14ac:dyDescent="0.3">
      <c r="A118" t="s">
        <v>116</v>
      </c>
      <c r="B118" s="5">
        <v>1513032825.49194</v>
      </c>
    </row>
    <row r="119" spans="1:2" x14ac:dyDescent="0.3">
      <c r="A119" t="s">
        <v>117</v>
      </c>
      <c r="B119" s="5">
        <v>92392533.9179077</v>
      </c>
    </row>
    <row r="120" spans="1:2" x14ac:dyDescent="0.3">
      <c r="A120" t="s">
        <v>118</v>
      </c>
      <c r="B120" s="5">
        <v>4795266823.13239</v>
      </c>
    </row>
    <row r="121" spans="1:2" x14ac:dyDescent="0.3">
      <c r="A121" t="s">
        <v>119</v>
      </c>
      <c r="B121" s="5">
        <v>15339626.2233296</v>
      </c>
    </row>
    <row r="122" spans="1:2" x14ac:dyDescent="0.3">
      <c r="A122" t="s">
        <v>120</v>
      </c>
      <c r="B122" s="5">
        <v>0</v>
      </c>
    </row>
    <row r="123" spans="1:2" x14ac:dyDescent="0.3">
      <c r="A123" t="s">
        <v>121</v>
      </c>
      <c r="B123" s="5">
        <v>1579915613.4387</v>
      </c>
    </row>
    <row r="124" spans="1:2" x14ac:dyDescent="0.3">
      <c r="A124" t="s">
        <v>122</v>
      </c>
      <c r="B124" s="5">
        <v>51729900.368911304</v>
      </c>
    </row>
    <row r="125" spans="1:2" x14ac:dyDescent="0.3">
      <c r="A125" t="s">
        <v>123</v>
      </c>
      <c r="B125" s="5">
        <v>3235535350.4580202</v>
      </c>
    </row>
    <row r="126" spans="1:2" x14ac:dyDescent="0.3">
      <c r="A126" t="s">
        <v>124</v>
      </c>
      <c r="B126" s="5">
        <v>45110.340636102403</v>
      </c>
    </row>
    <row r="127" spans="1:2" x14ac:dyDescent="0.3">
      <c r="A127" t="s">
        <v>125</v>
      </c>
      <c r="B127" s="5">
        <v>5597918.4869679902</v>
      </c>
    </row>
    <row r="128" spans="1:2" x14ac:dyDescent="0.3">
      <c r="A128" t="s">
        <v>126</v>
      </c>
      <c r="B128" s="5">
        <v>273872.20144421398</v>
      </c>
    </row>
    <row r="129" spans="1:2" x14ac:dyDescent="0.3">
      <c r="A129" t="s">
        <v>127</v>
      </c>
      <c r="B129" s="5">
        <v>6176337.49933853</v>
      </c>
    </row>
    <row r="130" spans="1:2" x14ac:dyDescent="0.3">
      <c r="A130" t="s">
        <v>128</v>
      </c>
      <c r="B130" s="5">
        <v>14300562.0002474</v>
      </c>
    </row>
    <row r="131" spans="1:2" x14ac:dyDescent="0.3">
      <c r="A131" t="s">
        <v>129</v>
      </c>
      <c r="B131" s="5">
        <v>761950.141358344</v>
      </c>
    </row>
    <row r="132" spans="1:2" x14ac:dyDescent="0.3">
      <c r="A132" t="s">
        <v>130</v>
      </c>
      <c r="B132" s="5">
        <v>827563.67811507802</v>
      </c>
    </row>
    <row r="133" spans="1:2" x14ac:dyDescent="0.3">
      <c r="A133" t="s">
        <v>131</v>
      </c>
      <c r="B133" s="5">
        <v>46074214.935929202</v>
      </c>
    </row>
    <row r="134" spans="1:2" x14ac:dyDescent="0.3">
      <c r="A134" t="s">
        <v>132</v>
      </c>
      <c r="B134" s="5">
        <v>20061623.0767373</v>
      </c>
    </row>
    <row r="135" spans="1:2" x14ac:dyDescent="0.3">
      <c r="A135" t="s">
        <v>133</v>
      </c>
      <c r="B135" s="5">
        <v>6650358.3068020102</v>
      </c>
    </row>
    <row r="136" spans="1:2" x14ac:dyDescent="0.3">
      <c r="A136" t="s">
        <v>134</v>
      </c>
      <c r="B136" s="5">
        <v>4495940.4669876304</v>
      </c>
    </row>
    <row r="137" spans="1:2" x14ac:dyDescent="0.3">
      <c r="A137" t="s">
        <v>135</v>
      </c>
      <c r="B137" s="5">
        <v>2254966.1510983701</v>
      </c>
    </row>
    <row r="138" spans="1:2" x14ac:dyDescent="0.3">
      <c r="A138" t="s">
        <v>136</v>
      </c>
      <c r="B138" s="5">
        <v>5032204881.3017902</v>
      </c>
    </row>
    <row r="139" spans="1:2" x14ac:dyDescent="0.3">
      <c r="A139" t="s">
        <v>137</v>
      </c>
      <c r="B139" s="5">
        <v>507223864.60890698</v>
      </c>
    </row>
    <row r="140" spans="1:2" x14ac:dyDescent="0.3">
      <c r="A140" t="s">
        <v>138</v>
      </c>
      <c r="B140" s="5">
        <v>47615750.2890075</v>
      </c>
    </row>
    <row r="141" spans="1:2" x14ac:dyDescent="0.3">
      <c r="A141" t="s">
        <v>139</v>
      </c>
      <c r="B141" s="5">
        <v>27992.669508244398</v>
      </c>
    </row>
    <row r="142" spans="1:2" x14ac:dyDescent="0.3">
      <c r="A142" t="s">
        <v>140</v>
      </c>
      <c r="B142" s="5">
        <v>314201383.68713599</v>
      </c>
    </row>
    <row r="143" spans="1:2" x14ac:dyDescent="0.3">
      <c r="A143" t="s">
        <v>141</v>
      </c>
      <c r="B143" s="5">
        <v>307463704.912489</v>
      </c>
    </row>
    <row r="144" spans="1:2" x14ac:dyDescent="0.3">
      <c r="A144" t="s">
        <v>142</v>
      </c>
      <c r="B144" s="5">
        <v>2922450892.3414102</v>
      </c>
    </row>
    <row r="145" spans="1:2" x14ac:dyDescent="0.3">
      <c r="A145" t="s">
        <v>143</v>
      </c>
      <c r="B145" s="5">
        <v>71409098.251526594</v>
      </c>
    </row>
    <row r="146" spans="1:2" x14ac:dyDescent="0.3">
      <c r="A146" t="s">
        <v>144</v>
      </c>
      <c r="B146" s="5">
        <v>199733742.86969501</v>
      </c>
    </row>
    <row r="147" spans="1:2" x14ac:dyDescent="0.3">
      <c r="A147" t="s">
        <v>145</v>
      </c>
      <c r="B147" s="5">
        <v>575398080.38491595</v>
      </c>
    </row>
    <row r="148" spans="1:2" x14ac:dyDescent="0.3">
      <c r="A148" t="s">
        <v>146</v>
      </c>
      <c r="B148" s="5">
        <v>321237844.570656</v>
      </c>
    </row>
    <row r="149" spans="1:2" x14ac:dyDescent="0.3">
      <c r="A149" t="s">
        <v>147</v>
      </c>
      <c r="B149" s="5">
        <v>83588710.030464694</v>
      </c>
    </row>
    <row r="150" spans="1:2" x14ac:dyDescent="0.3">
      <c r="A150" t="s">
        <v>148</v>
      </c>
      <c r="B150" s="5">
        <v>822951132.79217505</v>
      </c>
    </row>
    <row r="151" spans="1:2" x14ac:dyDescent="0.3">
      <c r="A151" t="s">
        <v>149</v>
      </c>
      <c r="B151" s="5">
        <v>414723627.29435599</v>
      </c>
    </row>
    <row r="152" spans="1:2" x14ac:dyDescent="0.3">
      <c r="A152" t="s">
        <v>150</v>
      </c>
      <c r="B152" s="5">
        <v>535488053.53934503</v>
      </c>
    </row>
    <row r="153" spans="1:2" x14ac:dyDescent="0.3">
      <c r="A153" t="s">
        <v>151</v>
      </c>
      <c r="B153" s="5">
        <v>2398483222.95155</v>
      </c>
    </row>
    <row r="154" spans="1:2" x14ac:dyDescent="0.3">
      <c r="A154" t="s">
        <v>152</v>
      </c>
      <c r="B154" s="5">
        <v>0</v>
      </c>
    </row>
    <row r="155" spans="1:2" x14ac:dyDescent="0.3">
      <c r="A155" t="s">
        <v>153</v>
      </c>
      <c r="B155" s="5">
        <v>1625656766.8231101</v>
      </c>
    </row>
    <row r="156" spans="1:2" x14ac:dyDescent="0.3">
      <c r="A156" t="s">
        <v>154</v>
      </c>
      <c r="B156" s="5">
        <v>383154160.51093203</v>
      </c>
    </row>
    <row r="157" spans="1:2" x14ac:dyDescent="0.3">
      <c r="A157" t="s">
        <v>155</v>
      </c>
      <c r="B157" s="5">
        <v>83895607.475338906</v>
      </c>
    </row>
    <row r="158" spans="1:2" x14ac:dyDescent="0.3">
      <c r="A158" t="s">
        <v>156</v>
      </c>
      <c r="B158" s="5">
        <v>296914.20315675298</v>
      </c>
    </row>
    <row r="159" spans="1:2" x14ac:dyDescent="0.3">
      <c r="A159" t="s">
        <v>157</v>
      </c>
      <c r="B159" s="5">
        <v>446405759.393071</v>
      </c>
    </row>
    <row r="160" spans="1:2" x14ac:dyDescent="0.3">
      <c r="A160" t="s">
        <v>158</v>
      </c>
      <c r="B160" s="5">
        <v>25964744.014925301</v>
      </c>
    </row>
    <row r="161" spans="1:2" x14ac:dyDescent="0.3">
      <c r="A161" t="s">
        <v>159</v>
      </c>
      <c r="B161" s="5">
        <v>607788061.01414394</v>
      </c>
    </row>
    <row r="162" spans="1:2" x14ac:dyDescent="0.3">
      <c r="A162" t="s">
        <v>160</v>
      </c>
      <c r="B162" s="5">
        <v>83005350.016409799</v>
      </c>
    </row>
    <row r="163" spans="1:2" x14ac:dyDescent="0.3">
      <c r="A163" t="s">
        <v>161</v>
      </c>
      <c r="B163" s="5">
        <v>8845865462.0852509</v>
      </c>
    </row>
    <row r="164" spans="1:2" x14ac:dyDescent="0.3">
      <c r="A164" t="s">
        <v>162</v>
      </c>
      <c r="B164" s="5">
        <v>386895302.287606</v>
      </c>
    </row>
    <row r="165" spans="1:2" x14ac:dyDescent="0.3">
      <c r="A165" t="s">
        <v>163</v>
      </c>
      <c r="B165" s="5">
        <v>437174533.11368901</v>
      </c>
    </row>
    <row r="166" spans="1:2" x14ac:dyDescent="0.3">
      <c r="A166" t="s">
        <v>164</v>
      </c>
      <c r="B166" s="5">
        <v>17520130345.287998</v>
      </c>
    </row>
    <row r="167" spans="1:2" x14ac:dyDescent="0.3">
      <c r="A167" t="s">
        <v>165</v>
      </c>
      <c r="B167" s="5">
        <v>0</v>
      </c>
    </row>
    <row r="168" spans="1:2" x14ac:dyDescent="0.3">
      <c r="A168" t="s">
        <v>166</v>
      </c>
      <c r="B168" s="5">
        <v>0</v>
      </c>
    </row>
    <row r="169" spans="1:2" x14ac:dyDescent="0.3">
      <c r="A169" t="s">
        <v>167</v>
      </c>
      <c r="B169" s="5">
        <v>0</v>
      </c>
    </row>
    <row r="170" spans="1:2" x14ac:dyDescent="0.3">
      <c r="A170" t="s">
        <v>168</v>
      </c>
      <c r="B170" s="5">
        <v>0</v>
      </c>
    </row>
    <row r="171" spans="1:2" x14ac:dyDescent="0.3">
      <c r="A171" t="s">
        <v>169</v>
      </c>
      <c r="B171" s="5">
        <v>0</v>
      </c>
    </row>
    <row r="172" spans="1:2" x14ac:dyDescent="0.3">
      <c r="A172" t="s">
        <v>170</v>
      </c>
      <c r="B172" s="5">
        <v>0</v>
      </c>
    </row>
    <row r="173" spans="1:2" x14ac:dyDescent="0.3">
      <c r="A173" t="s">
        <v>171</v>
      </c>
      <c r="B173" s="5">
        <v>0</v>
      </c>
    </row>
    <row r="174" spans="1:2" x14ac:dyDescent="0.3">
      <c r="A174" t="s">
        <v>172</v>
      </c>
      <c r="B174" s="5">
        <v>0</v>
      </c>
    </row>
    <row r="175" spans="1:2" x14ac:dyDescent="0.3">
      <c r="A175" t="s">
        <v>173</v>
      </c>
      <c r="B175" s="5">
        <v>0</v>
      </c>
    </row>
    <row r="176" spans="1:2" x14ac:dyDescent="0.3">
      <c r="A176" t="s">
        <v>174</v>
      </c>
      <c r="B176" s="5">
        <v>0</v>
      </c>
    </row>
    <row r="177" spans="1:2" x14ac:dyDescent="0.3">
      <c r="A177" t="s">
        <v>175</v>
      </c>
      <c r="B177" s="5">
        <v>0</v>
      </c>
    </row>
    <row r="178" spans="1:2" x14ac:dyDescent="0.3">
      <c r="A178" t="s">
        <v>176</v>
      </c>
      <c r="B178" s="5">
        <v>349347678.28474498</v>
      </c>
    </row>
    <row r="179" spans="1:2" x14ac:dyDescent="0.3">
      <c r="A179" t="s">
        <v>177</v>
      </c>
      <c r="B179" s="5">
        <v>12611969.5114263</v>
      </c>
    </row>
    <row r="180" spans="1:2" x14ac:dyDescent="0.3">
      <c r="A180" t="s">
        <v>178</v>
      </c>
      <c r="B180" s="5">
        <v>0</v>
      </c>
    </row>
    <row r="181" spans="1:2" x14ac:dyDescent="0.3">
      <c r="A181" t="s">
        <v>179</v>
      </c>
      <c r="B181" s="5">
        <v>74888990.681314707</v>
      </c>
    </row>
    <row r="182" spans="1:2" x14ac:dyDescent="0.3">
      <c r="A182" t="s">
        <v>180</v>
      </c>
      <c r="B182" s="5">
        <v>3273704.0746120298</v>
      </c>
    </row>
    <row r="183" spans="1:2" x14ac:dyDescent="0.3">
      <c r="A183" t="s">
        <v>181</v>
      </c>
      <c r="B183" s="5">
        <v>130736830.947826</v>
      </c>
    </row>
    <row r="184" spans="1:2" x14ac:dyDescent="0.3">
      <c r="A184" t="s">
        <v>182</v>
      </c>
      <c r="B184" s="5">
        <v>463166.52570522099</v>
      </c>
    </row>
    <row r="185" spans="1:2" x14ac:dyDescent="0.3">
      <c r="A185" t="s">
        <v>183</v>
      </c>
      <c r="B185" s="5">
        <v>2300562984.84794</v>
      </c>
    </row>
    <row r="186" spans="1:2" x14ac:dyDescent="0.3">
      <c r="A186" t="s">
        <v>184</v>
      </c>
      <c r="B186" s="5">
        <v>3411708600.7011399</v>
      </c>
    </row>
    <row r="187" spans="1:2" x14ac:dyDescent="0.3">
      <c r="A187" t="s">
        <v>185</v>
      </c>
      <c r="B187" s="5">
        <v>2882817.05454918</v>
      </c>
    </row>
    <row r="188" spans="1:2" x14ac:dyDescent="0.3">
      <c r="A188" t="s">
        <v>186</v>
      </c>
      <c r="B188" s="5">
        <v>1400852.7133877301</v>
      </c>
    </row>
    <row r="189" spans="1:2" x14ac:dyDescent="0.3">
      <c r="A189" t="s">
        <v>187</v>
      </c>
      <c r="B189" s="5">
        <v>4200326.8080560304</v>
      </c>
    </row>
    <row r="190" spans="1:2" x14ac:dyDescent="0.3">
      <c r="A190" t="s">
        <v>188</v>
      </c>
      <c r="B190" s="5">
        <v>0</v>
      </c>
    </row>
    <row r="191" spans="1:2" x14ac:dyDescent="0.3">
      <c r="A191" t="s">
        <v>189</v>
      </c>
      <c r="B191" s="5">
        <v>582098289.573035</v>
      </c>
    </row>
    <row r="192" spans="1:2" x14ac:dyDescent="0.3">
      <c r="A192" t="s">
        <v>190</v>
      </c>
      <c r="B192" s="5">
        <v>0</v>
      </c>
    </row>
    <row r="193" spans="1:2" x14ac:dyDescent="0.3">
      <c r="A193" t="s">
        <v>191</v>
      </c>
      <c r="B193" s="5">
        <v>315468735.240466</v>
      </c>
    </row>
    <row r="194" spans="1:2" x14ac:dyDescent="0.3">
      <c r="A194" t="s">
        <v>192</v>
      </c>
      <c r="B194" s="5">
        <v>2423817175.8902502</v>
      </c>
    </row>
    <row r="195" spans="1:2" x14ac:dyDescent="0.3">
      <c r="A195" t="s">
        <v>193</v>
      </c>
      <c r="B195" s="5">
        <v>156389157.11063799</v>
      </c>
    </row>
    <row r="196" spans="1:2" x14ac:dyDescent="0.3">
      <c r="A196" t="s">
        <v>194</v>
      </c>
      <c r="B196" s="5">
        <v>7834154.8900887799</v>
      </c>
    </row>
    <row r="197" spans="1:2" x14ac:dyDescent="0.3">
      <c r="A197" t="s">
        <v>195</v>
      </c>
      <c r="B197" s="5">
        <v>1880963108.04793</v>
      </c>
    </row>
    <row r="198" spans="1:2" x14ac:dyDescent="0.3">
      <c r="A198" t="s">
        <v>196</v>
      </c>
      <c r="B198" s="5">
        <v>4072518468.57094</v>
      </c>
    </row>
    <row r="199" spans="1:2" x14ac:dyDescent="0.3">
      <c r="A199" t="s">
        <v>197</v>
      </c>
      <c r="B199" s="5">
        <v>0</v>
      </c>
    </row>
    <row r="200" spans="1:2" x14ac:dyDescent="0.3">
      <c r="A200" t="s">
        <v>198</v>
      </c>
      <c r="B200" s="5">
        <v>5952594.6512081902</v>
      </c>
    </row>
    <row r="201" spans="1:2" x14ac:dyDescent="0.3">
      <c r="A201" t="s">
        <v>199</v>
      </c>
      <c r="B201" s="5">
        <v>3318530.3778607599</v>
      </c>
    </row>
    <row r="202" spans="1:2" x14ac:dyDescent="0.3">
      <c r="A202" t="s">
        <v>200</v>
      </c>
      <c r="B202" s="5">
        <v>2335919.79629162</v>
      </c>
    </row>
    <row r="203" spans="1:2" x14ac:dyDescent="0.3">
      <c r="A203" t="s">
        <v>201</v>
      </c>
      <c r="B203" s="5">
        <v>644111294.15133595</v>
      </c>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2AFBB-4B98-4ADF-ABBB-E82498047D9E}">
  <sheetPr codeName="Sheet4"/>
  <dimension ref="A1:B203"/>
  <sheetViews>
    <sheetView workbookViewId="0">
      <selection activeCell="H28" sqref="H28"/>
    </sheetView>
  </sheetViews>
  <sheetFormatPr defaultRowHeight="14.4" x14ac:dyDescent="0.3"/>
  <cols>
    <col min="1" max="1" width="124.5546875" bestFit="1" customWidth="1"/>
    <col min="2" max="2" width="15.6640625" customWidth="1"/>
  </cols>
  <sheetData>
    <row r="1" spans="1:2" x14ac:dyDescent="0.3">
      <c r="A1" t="s">
        <v>253</v>
      </c>
      <c r="B1" s="18" t="s">
        <v>252</v>
      </c>
    </row>
    <row r="2" spans="1:2" x14ac:dyDescent="0.3">
      <c r="A2" t="s">
        <v>255</v>
      </c>
      <c r="B2" t="s">
        <v>256</v>
      </c>
    </row>
    <row r="3" spans="1:2" x14ac:dyDescent="0.3">
      <c r="A3" t="s">
        <v>0</v>
      </c>
      <c r="B3" t="s">
        <v>1</v>
      </c>
    </row>
    <row r="4" spans="1:2" x14ac:dyDescent="0.3">
      <c r="A4" t="s">
        <v>2</v>
      </c>
      <c r="B4" s="5">
        <v>393155.260415953</v>
      </c>
    </row>
    <row r="5" spans="1:2" x14ac:dyDescent="0.3">
      <c r="A5" t="s">
        <v>3</v>
      </c>
      <c r="B5" s="5">
        <v>15049661241.3391</v>
      </c>
    </row>
    <row r="6" spans="1:2" x14ac:dyDescent="0.3">
      <c r="A6" t="s">
        <v>4</v>
      </c>
      <c r="B6" s="5">
        <v>80326582.284104601</v>
      </c>
    </row>
    <row r="7" spans="1:2" x14ac:dyDescent="0.3">
      <c r="A7" t="s">
        <v>5</v>
      </c>
      <c r="B7" s="5">
        <v>51529.206857951402</v>
      </c>
    </row>
    <row r="8" spans="1:2" x14ac:dyDescent="0.3">
      <c r="A8" t="s">
        <v>6</v>
      </c>
      <c r="B8" s="5">
        <v>1594195971.27144</v>
      </c>
    </row>
    <row r="9" spans="1:2" x14ac:dyDescent="0.3">
      <c r="A9" t="s">
        <v>7</v>
      </c>
      <c r="B9" s="5">
        <v>0</v>
      </c>
    </row>
    <row r="10" spans="1:2" x14ac:dyDescent="0.3">
      <c r="A10" t="s">
        <v>8</v>
      </c>
      <c r="B10" s="5">
        <v>0</v>
      </c>
    </row>
    <row r="11" spans="1:2" x14ac:dyDescent="0.3">
      <c r="A11" t="s">
        <v>9</v>
      </c>
      <c r="B11" s="5">
        <v>20167.6179014441</v>
      </c>
    </row>
    <row r="12" spans="1:2" x14ac:dyDescent="0.3">
      <c r="A12" t="s">
        <v>10</v>
      </c>
      <c r="B12" s="5">
        <v>0</v>
      </c>
    </row>
    <row r="13" spans="1:2" x14ac:dyDescent="0.3">
      <c r="A13" t="s">
        <v>11</v>
      </c>
      <c r="B13" s="5">
        <v>347056795.94056702</v>
      </c>
    </row>
    <row r="14" spans="1:2" x14ac:dyDescent="0.3">
      <c r="A14" t="s">
        <v>12</v>
      </c>
      <c r="B14" s="5">
        <v>6230599418.6967402</v>
      </c>
    </row>
    <row r="15" spans="1:2" x14ac:dyDescent="0.3">
      <c r="A15" t="s">
        <v>13</v>
      </c>
      <c r="B15" s="5">
        <v>55085072.955677703</v>
      </c>
    </row>
    <row r="16" spans="1:2" x14ac:dyDescent="0.3">
      <c r="A16" t="s">
        <v>14</v>
      </c>
      <c r="B16" s="5">
        <v>935.39933496470803</v>
      </c>
    </row>
    <row r="17" spans="1:2" x14ac:dyDescent="0.3">
      <c r="A17" t="s">
        <v>15</v>
      </c>
      <c r="B17" s="5">
        <v>115743771.65810899</v>
      </c>
    </row>
    <row r="18" spans="1:2" x14ac:dyDescent="0.3">
      <c r="A18" t="s">
        <v>16</v>
      </c>
      <c r="B18" s="5">
        <v>658099.32230117696</v>
      </c>
    </row>
    <row r="19" spans="1:2" x14ac:dyDescent="0.3">
      <c r="A19" t="s">
        <v>17</v>
      </c>
      <c r="B19" s="5">
        <v>0.66105654948689496</v>
      </c>
    </row>
    <row r="20" spans="1:2" x14ac:dyDescent="0.3">
      <c r="A20" t="s">
        <v>18</v>
      </c>
      <c r="B20" s="5">
        <v>0</v>
      </c>
    </row>
    <row r="21" spans="1:2" x14ac:dyDescent="0.3">
      <c r="A21" t="s">
        <v>19</v>
      </c>
      <c r="B21" s="5">
        <v>5276090.0516147297</v>
      </c>
    </row>
    <row r="22" spans="1:2" x14ac:dyDescent="0.3">
      <c r="A22" t="s">
        <v>20</v>
      </c>
      <c r="B22" s="5">
        <v>4374224933.5217695</v>
      </c>
    </row>
    <row r="23" spans="1:2" x14ac:dyDescent="0.3">
      <c r="A23" t="s">
        <v>21</v>
      </c>
      <c r="B23" s="5">
        <v>50702416.077180699</v>
      </c>
    </row>
    <row r="24" spans="1:2" x14ac:dyDescent="0.3">
      <c r="A24" t="s">
        <v>22</v>
      </c>
      <c r="B24" s="5">
        <v>350871658.31766498</v>
      </c>
    </row>
    <row r="25" spans="1:2" x14ac:dyDescent="0.3">
      <c r="A25" t="s">
        <v>23</v>
      </c>
      <c r="B25" s="5">
        <v>1165651824.81002</v>
      </c>
    </row>
    <row r="26" spans="1:2" x14ac:dyDescent="0.3">
      <c r="A26" t="s">
        <v>24</v>
      </c>
      <c r="B26" s="5">
        <v>0</v>
      </c>
    </row>
    <row r="27" spans="1:2" x14ac:dyDescent="0.3">
      <c r="A27" t="s">
        <v>25</v>
      </c>
      <c r="B27" s="5">
        <v>3490769.1185443299</v>
      </c>
    </row>
    <row r="28" spans="1:2" x14ac:dyDescent="0.3">
      <c r="A28" t="s">
        <v>26</v>
      </c>
      <c r="B28" s="5">
        <v>1911854857.8366301</v>
      </c>
    </row>
    <row r="29" spans="1:2" x14ac:dyDescent="0.3">
      <c r="A29" t="s">
        <v>27</v>
      </c>
      <c r="B29" s="5">
        <v>19666376.124941401</v>
      </c>
    </row>
    <row r="30" spans="1:2" x14ac:dyDescent="0.3">
      <c r="A30" t="s">
        <v>28</v>
      </c>
      <c r="B30" s="5">
        <v>117751792.510398</v>
      </c>
    </row>
    <row r="31" spans="1:2" x14ac:dyDescent="0.3">
      <c r="A31" t="s">
        <v>29</v>
      </c>
      <c r="B31" s="5">
        <v>0</v>
      </c>
    </row>
    <row r="32" spans="1:2" x14ac:dyDescent="0.3">
      <c r="A32" t="s">
        <v>30</v>
      </c>
      <c r="B32" s="5">
        <v>0</v>
      </c>
    </row>
    <row r="33" spans="1:2" x14ac:dyDescent="0.3">
      <c r="A33" t="s">
        <v>31</v>
      </c>
      <c r="B33" s="5">
        <v>806482008.91389298</v>
      </c>
    </row>
    <row r="34" spans="1:2" x14ac:dyDescent="0.3">
      <c r="A34" t="s">
        <v>32</v>
      </c>
      <c r="B34" s="5">
        <v>5038653056.7794304</v>
      </c>
    </row>
    <row r="35" spans="1:2" x14ac:dyDescent="0.3">
      <c r="A35" t="s">
        <v>33</v>
      </c>
      <c r="B35" s="5">
        <v>48600658446.368301</v>
      </c>
    </row>
    <row r="36" spans="1:2" x14ac:dyDescent="0.3">
      <c r="A36" t="s">
        <v>34</v>
      </c>
      <c r="B36" s="5">
        <v>0</v>
      </c>
    </row>
    <row r="37" spans="1:2" x14ac:dyDescent="0.3">
      <c r="A37" t="s">
        <v>35</v>
      </c>
      <c r="B37" s="5">
        <v>17553127.124121699</v>
      </c>
    </row>
    <row r="38" spans="1:2" x14ac:dyDescent="0.3">
      <c r="A38" t="s">
        <v>36</v>
      </c>
      <c r="B38" s="5">
        <v>15630297.839656901</v>
      </c>
    </row>
    <row r="39" spans="1:2" x14ac:dyDescent="0.3">
      <c r="A39" t="s">
        <v>37</v>
      </c>
      <c r="B39" s="5">
        <v>581034.54116745899</v>
      </c>
    </row>
    <row r="40" spans="1:2" x14ac:dyDescent="0.3">
      <c r="A40" t="s">
        <v>38</v>
      </c>
      <c r="B40" s="5">
        <v>12619551024.374001</v>
      </c>
    </row>
    <row r="41" spans="1:2" x14ac:dyDescent="0.3">
      <c r="A41" t="s">
        <v>39</v>
      </c>
      <c r="B41" s="5">
        <v>6036993941.0573702</v>
      </c>
    </row>
    <row r="42" spans="1:2" x14ac:dyDescent="0.3">
      <c r="A42" t="s">
        <v>40</v>
      </c>
      <c r="B42" s="5">
        <v>4935339515.5857801</v>
      </c>
    </row>
    <row r="43" spans="1:2" x14ac:dyDescent="0.3">
      <c r="A43" t="s">
        <v>41</v>
      </c>
      <c r="B43" s="5">
        <v>7232638235.5899296</v>
      </c>
    </row>
    <row r="44" spans="1:2" x14ac:dyDescent="0.3">
      <c r="A44" t="s">
        <v>42</v>
      </c>
      <c r="B44" s="5">
        <v>121118.73157575401</v>
      </c>
    </row>
    <row r="45" spans="1:2" x14ac:dyDescent="0.3">
      <c r="A45" t="s">
        <v>43</v>
      </c>
      <c r="B45" s="5">
        <v>3975.3688045660001</v>
      </c>
    </row>
    <row r="46" spans="1:2" x14ac:dyDescent="0.3">
      <c r="A46" t="s">
        <v>44</v>
      </c>
      <c r="B46" s="5">
        <v>77954387.098479807</v>
      </c>
    </row>
    <row r="47" spans="1:2" x14ac:dyDescent="0.3">
      <c r="A47" t="s">
        <v>45</v>
      </c>
      <c r="B47" s="5">
        <v>424597125.30319101</v>
      </c>
    </row>
    <row r="48" spans="1:2" x14ac:dyDescent="0.3">
      <c r="A48" t="s">
        <v>46</v>
      </c>
      <c r="B48" s="5">
        <v>1537003987.5002601</v>
      </c>
    </row>
    <row r="49" spans="1:2" x14ac:dyDescent="0.3">
      <c r="A49" t="s">
        <v>47</v>
      </c>
      <c r="B49" s="5">
        <v>106839161.978135</v>
      </c>
    </row>
    <row r="50" spans="1:2" x14ac:dyDescent="0.3">
      <c r="A50" t="s">
        <v>48</v>
      </c>
      <c r="B50" s="5">
        <v>1931019645.5044899</v>
      </c>
    </row>
    <row r="51" spans="1:2" x14ac:dyDescent="0.3">
      <c r="A51" t="s">
        <v>49</v>
      </c>
      <c r="B51" s="5">
        <v>900912997.58690095</v>
      </c>
    </row>
    <row r="52" spans="1:2" x14ac:dyDescent="0.3">
      <c r="A52" t="s">
        <v>50</v>
      </c>
      <c r="B52" s="5">
        <v>11756235.224675201</v>
      </c>
    </row>
    <row r="53" spans="1:2" x14ac:dyDescent="0.3">
      <c r="A53" t="s">
        <v>51</v>
      </c>
      <c r="B53" s="5">
        <v>0</v>
      </c>
    </row>
    <row r="54" spans="1:2" x14ac:dyDescent="0.3">
      <c r="A54" t="s">
        <v>52</v>
      </c>
      <c r="B54" s="5">
        <v>1731440.4572458901</v>
      </c>
    </row>
    <row r="55" spans="1:2" x14ac:dyDescent="0.3">
      <c r="A55" t="s">
        <v>53</v>
      </c>
      <c r="B55" s="5">
        <v>98582065.183449894</v>
      </c>
    </row>
    <row r="56" spans="1:2" x14ac:dyDescent="0.3">
      <c r="A56" t="s">
        <v>54</v>
      </c>
      <c r="B56" s="5">
        <v>2250831.1856504302</v>
      </c>
    </row>
    <row r="57" spans="1:2" x14ac:dyDescent="0.3">
      <c r="A57" t="s">
        <v>55</v>
      </c>
      <c r="B57" s="5">
        <v>4668.4061204664904</v>
      </c>
    </row>
    <row r="58" spans="1:2" x14ac:dyDescent="0.3">
      <c r="A58" t="s">
        <v>56</v>
      </c>
      <c r="B58" s="5">
        <v>0</v>
      </c>
    </row>
    <row r="59" spans="1:2" x14ac:dyDescent="0.3">
      <c r="A59" t="s">
        <v>57</v>
      </c>
      <c r="B59" s="5">
        <v>1557109381.11429</v>
      </c>
    </row>
    <row r="60" spans="1:2" x14ac:dyDescent="0.3">
      <c r="A60" t="s">
        <v>58</v>
      </c>
      <c r="B60" s="5">
        <v>828500992.16457498</v>
      </c>
    </row>
    <row r="61" spans="1:2" x14ac:dyDescent="0.3">
      <c r="A61" t="s">
        <v>59</v>
      </c>
      <c r="B61" s="5">
        <v>542559426.38130605</v>
      </c>
    </row>
    <row r="62" spans="1:2" x14ac:dyDescent="0.3">
      <c r="A62" t="s">
        <v>60</v>
      </c>
      <c r="B62" s="5">
        <v>1609157802.63309</v>
      </c>
    </row>
    <row r="63" spans="1:2" x14ac:dyDescent="0.3">
      <c r="A63" t="s">
        <v>61</v>
      </c>
      <c r="B63" s="5">
        <v>20932093819.328899</v>
      </c>
    </row>
    <row r="64" spans="1:2" x14ac:dyDescent="0.3">
      <c r="A64" t="s">
        <v>62</v>
      </c>
      <c r="B64" s="5">
        <v>12152447.5845358</v>
      </c>
    </row>
    <row r="65" spans="1:2" x14ac:dyDescent="0.3">
      <c r="A65" t="s">
        <v>63</v>
      </c>
      <c r="B65" s="5">
        <v>100372606.583877</v>
      </c>
    </row>
    <row r="66" spans="1:2" x14ac:dyDescent="0.3">
      <c r="A66" t="s">
        <v>64</v>
      </c>
      <c r="B66" s="5">
        <v>206415456.534264</v>
      </c>
    </row>
    <row r="67" spans="1:2" x14ac:dyDescent="0.3">
      <c r="A67" t="s">
        <v>65</v>
      </c>
      <c r="B67" s="5">
        <v>342019625.55257398</v>
      </c>
    </row>
    <row r="68" spans="1:2" x14ac:dyDescent="0.3">
      <c r="A68" t="s">
        <v>66</v>
      </c>
      <c r="B68" s="5">
        <v>273684720.28991002</v>
      </c>
    </row>
    <row r="69" spans="1:2" x14ac:dyDescent="0.3">
      <c r="A69" t="s">
        <v>67</v>
      </c>
      <c r="B69" s="5">
        <v>1993493.8328774499</v>
      </c>
    </row>
    <row r="70" spans="1:2" x14ac:dyDescent="0.3">
      <c r="A70" t="s">
        <v>68</v>
      </c>
      <c r="B70" s="5">
        <v>4772351879.1930504</v>
      </c>
    </row>
    <row r="71" spans="1:2" x14ac:dyDescent="0.3">
      <c r="A71" t="s">
        <v>69</v>
      </c>
      <c r="B71" s="5">
        <v>0</v>
      </c>
    </row>
    <row r="72" spans="1:2" x14ac:dyDescent="0.3">
      <c r="A72" t="s">
        <v>70</v>
      </c>
      <c r="B72" s="5">
        <v>0</v>
      </c>
    </row>
    <row r="73" spans="1:2" x14ac:dyDescent="0.3">
      <c r="A73" t="s">
        <v>71</v>
      </c>
      <c r="B73" s="5">
        <v>3839035473.3035102</v>
      </c>
    </row>
    <row r="74" spans="1:2" x14ac:dyDescent="0.3">
      <c r="A74" t="s">
        <v>72</v>
      </c>
      <c r="B74" s="5">
        <v>0</v>
      </c>
    </row>
    <row r="75" spans="1:2" x14ac:dyDescent="0.3">
      <c r="A75" t="s">
        <v>73</v>
      </c>
      <c r="B75" s="5">
        <v>84304071.014129698</v>
      </c>
    </row>
    <row r="76" spans="1:2" x14ac:dyDescent="0.3">
      <c r="A76" t="s">
        <v>74</v>
      </c>
      <c r="B76" s="5">
        <v>11417406953.4203</v>
      </c>
    </row>
    <row r="77" spans="1:2" x14ac:dyDescent="0.3">
      <c r="A77" t="s">
        <v>75</v>
      </c>
      <c r="B77" s="5">
        <v>257517802.29781401</v>
      </c>
    </row>
    <row r="78" spans="1:2" x14ac:dyDescent="0.3">
      <c r="A78" t="s">
        <v>76</v>
      </c>
      <c r="B78" s="5">
        <v>14622595568.527901</v>
      </c>
    </row>
    <row r="79" spans="1:2" x14ac:dyDescent="0.3">
      <c r="A79" t="s">
        <v>77</v>
      </c>
      <c r="B79" s="5">
        <v>511345228.55340803</v>
      </c>
    </row>
    <row r="80" spans="1:2" x14ac:dyDescent="0.3">
      <c r="A80" t="s">
        <v>78</v>
      </c>
      <c r="B80" s="5">
        <v>18980321.972997598</v>
      </c>
    </row>
    <row r="81" spans="1:2" x14ac:dyDescent="0.3">
      <c r="A81" t="s">
        <v>79</v>
      </c>
      <c r="B81" s="5">
        <v>2905464237.0914001</v>
      </c>
    </row>
    <row r="82" spans="1:2" x14ac:dyDescent="0.3">
      <c r="A82" t="s">
        <v>80</v>
      </c>
      <c r="B82" s="5">
        <v>61084470.092544504</v>
      </c>
    </row>
    <row r="83" spans="1:2" x14ac:dyDescent="0.3">
      <c r="A83" t="s">
        <v>81</v>
      </c>
      <c r="B83" s="5">
        <v>0</v>
      </c>
    </row>
    <row r="84" spans="1:2" x14ac:dyDescent="0.3">
      <c r="A84" t="s">
        <v>82</v>
      </c>
      <c r="B84" s="5">
        <v>29020.095657355399</v>
      </c>
    </row>
    <row r="85" spans="1:2" x14ac:dyDescent="0.3">
      <c r="A85" t="s">
        <v>83</v>
      </c>
      <c r="B85" s="5">
        <v>369719191.30966097</v>
      </c>
    </row>
    <row r="86" spans="1:2" x14ac:dyDescent="0.3">
      <c r="A86" t="s">
        <v>84</v>
      </c>
      <c r="B86" s="5">
        <v>9999102.6313753892</v>
      </c>
    </row>
    <row r="87" spans="1:2" x14ac:dyDescent="0.3">
      <c r="A87" t="s">
        <v>85</v>
      </c>
      <c r="B87" s="5">
        <v>0</v>
      </c>
    </row>
    <row r="88" spans="1:2" x14ac:dyDescent="0.3">
      <c r="A88" t="s">
        <v>86</v>
      </c>
      <c r="B88" s="5">
        <v>1628640824.9178801</v>
      </c>
    </row>
    <row r="89" spans="1:2" x14ac:dyDescent="0.3">
      <c r="A89" t="s">
        <v>87</v>
      </c>
      <c r="B89" s="5">
        <v>2.3498263902899299</v>
      </c>
    </row>
    <row r="90" spans="1:2" x14ac:dyDescent="0.3">
      <c r="A90" t="s">
        <v>88</v>
      </c>
      <c r="B90" s="5">
        <v>144131050.62184501</v>
      </c>
    </row>
    <row r="91" spans="1:2" x14ac:dyDescent="0.3">
      <c r="A91" t="s">
        <v>89</v>
      </c>
      <c r="B91" s="5">
        <v>5703.2594247444304</v>
      </c>
    </row>
    <row r="92" spans="1:2" x14ac:dyDescent="0.3">
      <c r="A92" t="s">
        <v>90</v>
      </c>
      <c r="B92" s="5">
        <v>4345326076.9369898</v>
      </c>
    </row>
    <row r="93" spans="1:2" x14ac:dyDescent="0.3">
      <c r="A93" t="s">
        <v>91</v>
      </c>
      <c r="B93" s="5">
        <v>0</v>
      </c>
    </row>
    <row r="94" spans="1:2" x14ac:dyDescent="0.3">
      <c r="A94" t="s">
        <v>92</v>
      </c>
      <c r="B94" s="5">
        <v>0</v>
      </c>
    </row>
    <row r="95" spans="1:2" x14ac:dyDescent="0.3">
      <c r="A95" t="s">
        <v>93</v>
      </c>
      <c r="B95" s="5">
        <v>2718065000.7627301</v>
      </c>
    </row>
    <row r="96" spans="1:2" x14ac:dyDescent="0.3">
      <c r="A96" t="s">
        <v>94</v>
      </c>
      <c r="B96" s="5">
        <v>1295045402.9056399</v>
      </c>
    </row>
    <row r="97" spans="1:2" x14ac:dyDescent="0.3">
      <c r="A97" t="s">
        <v>95</v>
      </c>
      <c r="B97" s="5">
        <v>0</v>
      </c>
    </row>
    <row r="98" spans="1:2" x14ac:dyDescent="0.3">
      <c r="A98" t="s">
        <v>96</v>
      </c>
      <c r="B98" s="5">
        <v>970177796.70988202</v>
      </c>
    </row>
    <row r="99" spans="1:2" x14ac:dyDescent="0.3">
      <c r="A99" t="s">
        <v>97</v>
      </c>
      <c r="B99" s="5">
        <v>3941599335.50776</v>
      </c>
    </row>
    <row r="100" spans="1:2" x14ac:dyDescent="0.3">
      <c r="A100" t="s">
        <v>98</v>
      </c>
      <c r="B100" s="5">
        <v>8866715736.0984306</v>
      </c>
    </row>
    <row r="101" spans="1:2" x14ac:dyDescent="0.3">
      <c r="A101" t="s">
        <v>99</v>
      </c>
      <c r="B101" s="5">
        <v>3240152.5963931601</v>
      </c>
    </row>
    <row r="102" spans="1:2" x14ac:dyDescent="0.3">
      <c r="A102" t="s">
        <v>100</v>
      </c>
      <c r="B102" s="5">
        <v>11134461.741601899</v>
      </c>
    </row>
    <row r="103" spans="1:2" x14ac:dyDescent="0.3">
      <c r="A103" t="s">
        <v>101</v>
      </c>
      <c r="B103" s="5">
        <v>0</v>
      </c>
    </row>
    <row r="104" spans="1:2" x14ac:dyDescent="0.3">
      <c r="A104" t="s">
        <v>102</v>
      </c>
      <c r="B104" s="5">
        <v>56775206.187585101</v>
      </c>
    </row>
    <row r="105" spans="1:2" x14ac:dyDescent="0.3">
      <c r="A105" t="s">
        <v>103</v>
      </c>
      <c r="B105" s="5">
        <v>0</v>
      </c>
    </row>
    <row r="106" spans="1:2" x14ac:dyDescent="0.3">
      <c r="A106" t="s">
        <v>104</v>
      </c>
      <c r="B106" s="5">
        <v>8634091.6561803408</v>
      </c>
    </row>
    <row r="107" spans="1:2" x14ac:dyDescent="0.3">
      <c r="A107" t="s">
        <v>105</v>
      </c>
      <c r="B107" s="5">
        <v>743901052.47691298</v>
      </c>
    </row>
    <row r="108" spans="1:2" x14ac:dyDescent="0.3">
      <c r="A108" t="s">
        <v>106</v>
      </c>
      <c r="B108" s="5">
        <v>8351073193.3256598</v>
      </c>
    </row>
    <row r="109" spans="1:2" x14ac:dyDescent="0.3">
      <c r="A109" t="s">
        <v>107</v>
      </c>
      <c r="B109" s="5">
        <v>1080245264.9679</v>
      </c>
    </row>
    <row r="110" spans="1:2" x14ac:dyDescent="0.3">
      <c r="A110" t="s">
        <v>108</v>
      </c>
      <c r="B110" s="5">
        <v>172193795.40075099</v>
      </c>
    </row>
    <row r="111" spans="1:2" x14ac:dyDescent="0.3">
      <c r="A111" t="s">
        <v>109</v>
      </c>
      <c r="B111" s="5">
        <v>0</v>
      </c>
    </row>
    <row r="112" spans="1:2" x14ac:dyDescent="0.3">
      <c r="A112" t="s">
        <v>110</v>
      </c>
      <c r="B112" s="5">
        <v>0</v>
      </c>
    </row>
    <row r="113" spans="1:2" x14ac:dyDescent="0.3">
      <c r="A113" t="s">
        <v>111</v>
      </c>
      <c r="B113" s="5">
        <v>0</v>
      </c>
    </row>
    <row r="114" spans="1:2" x14ac:dyDescent="0.3">
      <c r="A114" t="s">
        <v>112</v>
      </c>
      <c r="B114" s="5">
        <v>6741433366.8934898</v>
      </c>
    </row>
    <row r="115" spans="1:2" x14ac:dyDescent="0.3">
      <c r="A115" t="s">
        <v>113</v>
      </c>
      <c r="B115" s="5">
        <v>3320848902.6914401</v>
      </c>
    </row>
    <row r="116" spans="1:2" x14ac:dyDescent="0.3">
      <c r="A116" t="s">
        <v>114</v>
      </c>
      <c r="B116" s="5">
        <v>4.3799495338879002E-2</v>
      </c>
    </row>
    <row r="117" spans="1:2" x14ac:dyDescent="0.3">
      <c r="A117" t="s">
        <v>115</v>
      </c>
      <c r="B117" s="5">
        <v>4131177.83585863</v>
      </c>
    </row>
    <row r="118" spans="1:2" x14ac:dyDescent="0.3">
      <c r="A118" t="s">
        <v>116</v>
      </c>
      <c r="B118" s="5">
        <v>228936455.44460699</v>
      </c>
    </row>
    <row r="119" spans="1:2" x14ac:dyDescent="0.3">
      <c r="A119" t="s">
        <v>117</v>
      </c>
      <c r="B119" s="5">
        <v>943159741.76560998</v>
      </c>
    </row>
    <row r="120" spans="1:2" x14ac:dyDescent="0.3">
      <c r="A120" t="s">
        <v>118</v>
      </c>
      <c r="B120" s="5">
        <v>7230881100.4422102</v>
      </c>
    </row>
    <row r="121" spans="1:2" x14ac:dyDescent="0.3">
      <c r="A121" t="s">
        <v>119</v>
      </c>
      <c r="B121" s="5">
        <v>523245025.412875</v>
      </c>
    </row>
    <row r="122" spans="1:2" x14ac:dyDescent="0.3">
      <c r="A122" t="s">
        <v>120</v>
      </c>
      <c r="B122" s="5">
        <v>0</v>
      </c>
    </row>
    <row r="123" spans="1:2" x14ac:dyDescent="0.3">
      <c r="A123" t="s">
        <v>121</v>
      </c>
      <c r="B123" s="5">
        <v>142981888.917752</v>
      </c>
    </row>
    <row r="124" spans="1:2" x14ac:dyDescent="0.3">
      <c r="A124" t="s">
        <v>122</v>
      </c>
      <c r="B124" s="5">
        <v>8274328.7372707697</v>
      </c>
    </row>
    <row r="125" spans="1:2" x14ac:dyDescent="0.3">
      <c r="A125" t="s">
        <v>123</v>
      </c>
      <c r="B125" s="5">
        <v>410638632.05463201</v>
      </c>
    </row>
    <row r="126" spans="1:2" x14ac:dyDescent="0.3">
      <c r="A126" t="s">
        <v>124</v>
      </c>
      <c r="B126" s="5">
        <v>342623.37777737598</v>
      </c>
    </row>
    <row r="127" spans="1:2" x14ac:dyDescent="0.3">
      <c r="A127" t="s">
        <v>125</v>
      </c>
      <c r="B127" s="5">
        <v>70501969.234383196</v>
      </c>
    </row>
    <row r="128" spans="1:2" x14ac:dyDescent="0.3">
      <c r="A128" t="s">
        <v>126</v>
      </c>
      <c r="B128" s="5">
        <v>1638165.9411023899</v>
      </c>
    </row>
    <row r="129" spans="1:2" x14ac:dyDescent="0.3">
      <c r="A129" t="s">
        <v>127</v>
      </c>
      <c r="B129" s="5">
        <v>159785723.617376</v>
      </c>
    </row>
    <row r="130" spans="1:2" x14ac:dyDescent="0.3">
      <c r="A130" t="s">
        <v>128</v>
      </c>
      <c r="B130" s="5">
        <v>353531.58508681197</v>
      </c>
    </row>
    <row r="131" spans="1:2" x14ac:dyDescent="0.3">
      <c r="A131" t="s">
        <v>129</v>
      </c>
      <c r="B131" s="5">
        <v>0</v>
      </c>
    </row>
    <row r="132" spans="1:2" x14ac:dyDescent="0.3">
      <c r="A132" t="s">
        <v>130</v>
      </c>
      <c r="B132" s="5">
        <v>0</v>
      </c>
    </row>
    <row r="133" spans="1:2" x14ac:dyDescent="0.3">
      <c r="A133" t="s">
        <v>131</v>
      </c>
      <c r="B133" s="5">
        <v>59788.788422845202</v>
      </c>
    </row>
    <row r="134" spans="1:2" x14ac:dyDescent="0.3">
      <c r="A134" t="s">
        <v>132</v>
      </c>
      <c r="B134" s="5">
        <v>1252065448.7585199</v>
      </c>
    </row>
    <row r="135" spans="1:2" x14ac:dyDescent="0.3">
      <c r="A135" t="s">
        <v>133</v>
      </c>
      <c r="B135" s="5">
        <v>6558509.9418116203</v>
      </c>
    </row>
    <row r="136" spans="1:2" x14ac:dyDescent="0.3">
      <c r="A136" t="s">
        <v>134</v>
      </c>
      <c r="B136" s="5">
        <v>40671446.781016603</v>
      </c>
    </row>
    <row r="137" spans="1:2" x14ac:dyDescent="0.3">
      <c r="A137" t="s">
        <v>135</v>
      </c>
      <c r="B137" s="5">
        <v>18798333.151284501</v>
      </c>
    </row>
    <row r="138" spans="1:2" x14ac:dyDescent="0.3">
      <c r="A138" t="s">
        <v>136</v>
      </c>
      <c r="B138" s="5">
        <v>3404117299.09794</v>
      </c>
    </row>
    <row r="139" spans="1:2" x14ac:dyDescent="0.3">
      <c r="A139" t="s">
        <v>137</v>
      </c>
      <c r="B139" s="5">
        <v>2564662063.6268001</v>
      </c>
    </row>
    <row r="140" spans="1:2" x14ac:dyDescent="0.3">
      <c r="A140" t="s">
        <v>138</v>
      </c>
      <c r="B140" s="5">
        <v>2423984302.0877299</v>
      </c>
    </row>
    <row r="141" spans="1:2" x14ac:dyDescent="0.3">
      <c r="A141" t="s">
        <v>139</v>
      </c>
      <c r="B141" s="5">
        <v>0</v>
      </c>
    </row>
    <row r="142" spans="1:2" x14ac:dyDescent="0.3">
      <c r="A142" t="s">
        <v>140</v>
      </c>
      <c r="B142" s="5">
        <v>17776406.874310099</v>
      </c>
    </row>
    <row r="143" spans="1:2" x14ac:dyDescent="0.3">
      <c r="A143" t="s">
        <v>141</v>
      </c>
      <c r="B143" s="5">
        <v>3232929739.5522699</v>
      </c>
    </row>
    <row r="144" spans="1:2" x14ac:dyDescent="0.3">
      <c r="A144" t="s">
        <v>142</v>
      </c>
      <c r="B144" s="5">
        <v>17292640.5792602</v>
      </c>
    </row>
    <row r="145" spans="1:2" x14ac:dyDescent="0.3">
      <c r="A145" t="s">
        <v>143</v>
      </c>
      <c r="B145" s="5">
        <v>2946964.8041570098</v>
      </c>
    </row>
    <row r="146" spans="1:2" x14ac:dyDescent="0.3">
      <c r="A146" t="s">
        <v>144</v>
      </c>
      <c r="B146" s="5">
        <v>643835681.90392804</v>
      </c>
    </row>
    <row r="147" spans="1:2" x14ac:dyDescent="0.3">
      <c r="A147" t="s">
        <v>145</v>
      </c>
      <c r="B147" s="5">
        <v>14216950404.7134</v>
      </c>
    </row>
    <row r="148" spans="1:2" x14ac:dyDescent="0.3">
      <c r="A148" t="s">
        <v>146</v>
      </c>
      <c r="B148" s="5">
        <v>2558953300.5510702</v>
      </c>
    </row>
    <row r="149" spans="1:2" x14ac:dyDescent="0.3">
      <c r="A149" t="s">
        <v>147</v>
      </c>
      <c r="B149" s="5">
        <v>1957956525.1733301</v>
      </c>
    </row>
    <row r="150" spans="1:2" x14ac:dyDescent="0.3">
      <c r="A150" t="s">
        <v>148</v>
      </c>
      <c r="B150" s="5">
        <v>22476130011.358898</v>
      </c>
    </row>
    <row r="151" spans="1:2" x14ac:dyDescent="0.3">
      <c r="A151" t="s">
        <v>149</v>
      </c>
      <c r="B151" s="5">
        <v>27204566.211112902</v>
      </c>
    </row>
    <row r="152" spans="1:2" x14ac:dyDescent="0.3">
      <c r="A152" t="s">
        <v>150</v>
      </c>
      <c r="B152" s="5">
        <v>106577.964809852</v>
      </c>
    </row>
    <row r="153" spans="1:2" x14ac:dyDescent="0.3">
      <c r="A153" t="s">
        <v>151</v>
      </c>
      <c r="B153" s="5">
        <v>6250421034.2156296</v>
      </c>
    </row>
    <row r="154" spans="1:2" x14ac:dyDescent="0.3">
      <c r="A154" t="s">
        <v>152</v>
      </c>
      <c r="B154" s="5">
        <v>78122173.645946294</v>
      </c>
    </row>
    <row r="155" spans="1:2" x14ac:dyDescent="0.3">
      <c r="A155" t="s">
        <v>153</v>
      </c>
      <c r="B155" s="5">
        <v>7827910268.5124998</v>
      </c>
    </row>
    <row r="156" spans="1:2" x14ac:dyDescent="0.3">
      <c r="A156" t="s">
        <v>154</v>
      </c>
      <c r="B156" s="5">
        <v>6955600703.5770197</v>
      </c>
    </row>
    <row r="157" spans="1:2" x14ac:dyDescent="0.3">
      <c r="A157" t="s">
        <v>155</v>
      </c>
      <c r="B157" s="5">
        <v>0</v>
      </c>
    </row>
    <row r="158" spans="1:2" x14ac:dyDescent="0.3">
      <c r="A158" t="s">
        <v>156</v>
      </c>
      <c r="B158" s="5">
        <v>2029.7053139874099</v>
      </c>
    </row>
    <row r="159" spans="1:2" x14ac:dyDescent="0.3">
      <c r="A159" t="s">
        <v>157</v>
      </c>
      <c r="B159" s="5">
        <v>648363049.28067601</v>
      </c>
    </row>
    <row r="160" spans="1:2" x14ac:dyDescent="0.3">
      <c r="A160" t="s">
        <v>158</v>
      </c>
      <c r="B160" s="5">
        <v>5680051380.4317999</v>
      </c>
    </row>
    <row r="161" spans="1:2" x14ac:dyDescent="0.3">
      <c r="A161" t="s">
        <v>159</v>
      </c>
      <c r="B161" s="5">
        <v>15358481768.49</v>
      </c>
    </row>
    <row r="162" spans="1:2" x14ac:dyDescent="0.3">
      <c r="A162" t="s">
        <v>160</v>
      </c>
      <c r="B162" s="5">
        <v>150157336.07731</v>
      </c>
    </row>
    <row r="163" spans="1:2" x14ac:dyDescent="0.3">
      <c r="A163" t="s">
        <v>161</v>
      </c>
      <c r="B163" s="5">
        <v>2111670537.46768</v>
      </c>
    </row>
    <row r="164" spans="1:2" x14ac:dyDescent="0.3">
      <c r="A164" t="s">
        <v>162</v>
      </c>
      <c r="B164" s="5">
        <v>4559589240.1945601</v>
      </c>
    </row>
    <row r="165" spans="1:2" x14ac:dyDescent="0.3">
      <c r="A165" t="s">
        <v>163</v>
      </c>
      <c r="B165" s="5">
        <v>139398643.12250501</v>
      </c>
    </row>
    <row r="166" spans="1:2" x14ac:dyDescent="0.3">
      <c r="A166" t="s">
        <v>164</v>
      </c>
      <c r="B166" s="5">
        <v>10385825519.954901</v>
      </c>
    </row>
    <row r="167" spans="1:2" x14ac:dyDescent="0.3">
      <c r="A167" t="s">
        <v>165</v>
      </c>
      <c r="B167" s="5">
        <v>0</v>
      </c>
    </row>
    <row r="168" spans="1:2" x14ac:dyDescent="0.3">
      <c r="A168" t="s">
        <v>166</v>
      </c>
      <c r="B168" s="5">
        <v>0</v>
      </c>
    </row>
    <row r="169" spans="1:2" x14ac:dyDescent="0.3">
      <c r="A169" t="s">
        <v>167</v>
      </c>
      <c r="B169" s="5">
        <v>0</v>
      </c>
    </row>
    <row r="170" spans="1:2" x14ac:dyDescent="0.3">
      <c r="A170" t="s">
        <v>168</v>
      </c>
      <c r="B170" s="5">
        <v>0</v>
      </c>
    </row>
    <row r="171" spans="1:2" x14ac:dyDescent="0.3">
      <c r="A171" t="s">
        <v>169</v>
      </c>
      <c r="B171" s="5">
        <v>0</v>
      </c>
    </row>
    <row r="172" spans="1:2" x14ac:dyDescent="0.3">
      <c r="A172" t="s">
        <v>170</v>
      </c>
      <c r="B172" s="5">
        <v>0</v>
      </c>
    </row>
    <row r="173" spans="1:2" x14ac:dyDescent="0.3">
      <c r="A173" t="s">
        <v>171</v>
      </c>
      <c r="B173" s="5">
        <v>0</v>
      </c>
    </row>
    <row r="174" spans="1:2" x14ac:dyDescent="0.3">
      <c r="A174" t="s">
        <v>172</v>
      </c>
      <c r="B174" s="5">
        <v>0</v>
      </c>
    </row>
    <row r="175" spans="1:2" x14ac:dyDescent="0.3">
      <c r="A175" t="s">
        <v>173</v>
      </c>
      <c r="B175" s="5">
        <v>0</v>
      </c>
    </row>
    <row r="176" spans="1:2" x14ac:dyDescent="0.3">
      <c r="A176" t="s">
        <v>174</v>
      </c>
      <c r="B176" s="5">
        <v>0</v>
      </c>
    </row>
    <row r="177" spans="1:2" x14ac:dyDescent="0.3">
      <c r="A177" t="s">
        <v>175</v>
      </c>
      <c r="B177" s="5">
        <v>0</v>
      </c>
    </row>
    <row r="178" spans="1:2" x14ac:dyDescent="0.3">
      <c r="A178" t="s">
        <v>176</v>
      </c>
      <c r="B178" s="5">
        <v>1948277.63777468</v>
      </c>
    </row>
    <row r="179" spans="1:2" x14ac:dyDescent="0.3">
      <c r="A179" t="s">
        <v>177</v>
      </c>
      <c r="B179" s="5">
        <v>171547952.82699201</v>
      </c>
    </row>
    <row r="180" spans="1:2" x14ac:dyDescent="0.3">
      <c r="A180" t="s">
        <v>178</v>
      </c>
      <c r="B180" s="5">
        <v>0</v>
      </c>
    </row>
    <row r="181" spans="1:2" x14ac:dyDescent="0.3">
      <c r="A181" t="s">
        <v>179</v>
      </c>
      <c r="B181" s="5">
        <v>47911570.459904097</v>
      </c>
    </row>
    <row r="182" spans="1:2" x14ac:dyDescent="0.3">
      <c r="A182" t="s">
        <v>180</v>
      </c>
      <c r="B182" s="5">
        <v>0</v>
      </c>
    </row>
    <row r="183" spans="1:2" x14ac:dyDescent="0.3">
      <c r="A183" t="s">
        <v>181</v>
      </c>
      <c r="B183" s="5">
        <v>263984689.755101</v>
      </c>
    </row>
    <row r="184" spans="1:2" x14ac:dyDescent="0.3">
      <c r="A184" t="s">
        <v>182</v>
      </c>
      <c r="B184" s="5">
        <v>70450.156237613104</v>
      </c>
    </row>
    <row r="185" spans="1:2" x14ac:dyDescent="0.3">
      <c r="A185" t="s">
        <v>183</v>
      </c>
      <c r="B185" s="5">
        <v>6117657392.7469501</v>
      </c>
    </row>
    <row r="186" spans="1:2" x14ac:dyDescent="0.3">
      <c r="A186" t="s">
        <v>184</v>
      </c>
      <c r="B186" s="5">
        <v>518525043.36235201</v>
      </c>
    </row>
    <row r="187" spans="1:2" x14ac:dyDescent="0.3">
      <c r="A187" t="s">
        <v>185</v>
      </c>
      <c r="B187" s="5">
        <v>29849277.495269202</v>
      </c>
    </row>
    <row r="188" spans="1:2" x14ac:dyDescent="0.3">
      <c r="A188" t="s">
        <v>186</v>
      </c>
      <c r="B188" s="5">
        <v>11829748.253261</v>
      </c>
    </row>
    <row r="189" spans="1:2" x14ac:dyDescent="0.3">
      <c r="A189" t="s">
        <v>187</v>
      </c>
      <c r="B189" s="5">
        <v>44819823.114210904</v>
      </c>
    </row>
    <row r="190" spans="1:2" x14ac:dyDescent="0.3">
      <c r="A190" t="s">
        <v>188</v>
      </c>
      <c r="B190" s="5">
        <v>778589344.40538204</v>
      </c>
    </row>
    <row r="191" spans="1:2" x14ac:dyDescent="0.3">
      <c r="A191" t="s">
        <v>189</v>
      </c>
      <c r="B191" s="5">
        <v>23570640.0155675</v>
      </c>
    </row>
    <row r="192" spans="1:2" x14ac:dyDescent="0.3">
      <c r="A192" t="s">
        <v>190</v>
      </c>
      <c r="B192" s="5">
        <v>1.5525587314332101E-2</v>
      </c>
    </row>
    <row r="193" spans="1:2" x14ac:dyDescent="0.3">
      <c r="A193" t="s">
        <v>191</v>
      </c>
      <c r="B193" s="5">
        <v>1661635019.1036401</v>
      </c>
    </row>
    <row r="194" spans="1:2" x14ac:dyDescent="0.3">
      <c r="A194" t="s">
        <v>192</v>
      </c>
      <c r="B194" s="5">
        <v>1306123376.75859</v>
      </c>
    </row>
    <row r="195" spans="1:2" x14ac:dyDescent="0.3">
      <c r="A195" t="s">
        <v>193</v>
      </c>
      <c r="B195" s="5">
        <v>1114130685.1140101</v>
      </c>
    </row>
    <row r="196" spans="1:2" x14ac:dyDescent="0.3">
      <c r="A196" t="s">
        <v>194</v>
      </c>
      <c r="B196" s="5">
        <v>841153.73070404702</v>
      </c>
    </row>
    <row r="197" spans="1:2" x14ac:dyDescent="0.3">
      <c r="A197" t="s">
        <v>195</v>
      </c>
      <c r="B197" s="5">
        <v>8506504797.8271704</v>
      </c>
    </row>
    <row r="198" spans="1:2" x14ac:dyDescent="0.3">
      <c r="A198" t="s">
        <v>196</v>
      </c>
      <c r="B198" s="5">
        <v>1143440238.6503799</v>
      </c>
    </row>
    <row r="199" spans="1:2" x14ac:dyDescent="0.3">
      <c r="A199" t="s">
        <v>197</v>
      </c>
      <c r="B199" s="5">
        <v>0</v>
      </c>
    </row>
    <row r="200" spans="1:2" x14ac:dyDescent="0.3">
      <c r="A200" t="s">
        <v>198</v>
      </c>
      <c r="B200" s="5">
        <v>30230136.137070999</v>
      </c>
    </row>
    <row r="201" spans="1:2" x14ac:dyDescent="0.3">
      <c r="A201" t="s">
        <v>199</v>
      </c>
      <c r="B201" s="5">
        <v>34085425.028816998</v>
      </c>
    </row>
    <row r="202" spans="1:2" x14ac:dyDescent="0.3">
      <c r="A202" t="s">
        <v>200</v>
      </c>
      <c r="B202" s="5">
        <v>1774357.05560091</v>
      </c>
    </row>
    <row r="203" spans="1:2" x14ac:dyDescent="0.3">
      <c r="A203" t="s">
        <v>201</v>
      </c>
      <c r="B203" s="5">
        <v>12136452.3394507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8AEB-98EC-4C95-9D1B-5E42EBBE44CB}">
  <sheetPr codeName="Sheet3"/>
  <dimension ref="A1:B203"/>
  <sheetViews>
    <sheetView workbookViewId="0">
      <selection activeCell="A4" sqref="A4"/>
    </sheetView>
  </sheetViews>
  <sheetFormatPr defaultRowHeight="14.4" x14ac:dyDescent="0.3"/>
  <cols>
    <col min="1" max="1" width="124.5546875" bestFit="1" customWidth="1"/>
    <col min="2" max="2" width="15.6640625" customWidth="1"/>
  </cols>
  <sheetData>
    <row r="1" spans="1:2" x14ac:dyDescent="0.3">
      <c r="A1" t="s">
        <v>253</v>
      </c>
      <c r="B1" s="18" t="s">
        <v>251</v>
      </c>
    </row>
    <row r="2" spans="1:2" x14ac:dyDescent="0.3">
      <c r="A2" t="s">
        <v>255</v>
      </c>
      <c r="B2" t="s">
        <v>256</v>
      </c>
    </row>
    <row r="3" spans="1:2" x14ac:dyDescent="0.3">
      <c r="A3" t="s">
        <v>0</v>
      </c>
      <c r="B3" t="s">
        <v>1</v>
      </c>
    </row>
    <row r="4" spans="1:2" x14ac:dyDescent="0.3">
      <c r="A4" t="s">
        <v>2</v>
      </c>
      <c r="B4" s="5">
        <v>137182723.634518</v>
      </c>
    </row>
    <row r="5" spans="1:2" x14ac:dyDescent="0.3">
      <c r="A5" t="s">
        <v>3</v>
      </c>
      <c r="B5" s="5">
        <v>12341005154.243999</v>
      </c>
    </row>
    <row r="6" spans="1:2" x14ac:dyDescent="0.3">
      <c r="A6" t="s">
        <v>4</v>
      </c>
      <c r="B6" s="5">
        <v>2231743498.7002602</v>
      </c>
    </row>
    <row r="7" spans="1:2" x14ac:dyDescent="0.3">
      <c r="A7" t="s">
        <v>5</v>
      </c>
      <c r="B7" s="5">
        <v>17299666.614084501</v>
      </c>
    </row>
    <row r="8" spans="1:2" x14ac:dyDescent="0.3">
      <c r="A8" t="s">
        <v>6</v>
      </c>
      <c r="B8" s="5">
        <v>596914900.72833598</v>
      </c>
    </row>
    <row r="9" spans="1:2" x14ac:dyDescent="0.3">
      <c r="A9" t="s">
        <v>7</v>
      </c>
      <c r="B9" s="5">
        <v>0</v>
      </c>
    </row>
    <row r="10" spans="1:2" x14ac:dyDescent="0.3">
      <c r="A10" t="s">
        <v>8</v>
      </c>
      <c r="B10" s="5">
        <v>0</v>
      </c>
    </row>
    <row r="11" spans="1:2" x14ac:dyDescent="0.3">
      <c r="A11" t="s">
        <v>9</v>
      </c>
      <c r="B11" s="5">
        <v>2210175.12791551</v>
      </c>
    </row>
    <row r="12" spans="1:2" x14ac:dyDescent="0.3">
      <c r="A12" t="s">
        <v>10</v>
      </c>
      <c r="B12" s="5">
        <v>0</v>
      </c>
    </row>
    <row r="13" spans="1:2" x14ac:dyDescent="0.3">
      <c r="A13" t="s">
        <v>11</v>
      </c>
      <c r="B13" s="5">
        <v>16919670977.580099</v>
      </c>
    </row>
    <row r="14" spans="1:2" x14ac:dyDescent="0.3">
      <c r="A14" t="s">
        <v>12</v>
      </c>
      <c r="B14" s="5">
        <v>5190086130.8745604</v>
      </c>
    </row>
    <row r="15" spans="1:2" x14ac:dyDescent="0.3">
      <c r="A15" t="s">
        <v>13</v>
      </c>
      <c r="B15" s="5">
        <v>999705860.27070403</v>
      </c>
    </row>
    <row r="16" spans="1:2" x14ac:dyDescent="0.3">
      <c r="A16" t="s">
        <v>14</v>
      </c>
      <c r="B16" s="5">
        <v>5345464.5546408603</v>
      </c>
    </row>
    <row r="17" spans="1:2" x14ac:dyDescent="0.3">
      <c r="A17" t="s">
        <v>15</v>
      </c>
      <c r="B17" s="5">
        <v>308671912.70363498</v>
      </c>
    </row>
    <row r="18" spans="1:2" x14ac:dyDescent="0.3">
      <c r="A18" t="s">
        <v>16</v>
      </c>
      <c r="B18" s="5">
        <v>160812025.419857</v>
      </c>
    </row>
    <row r="19" spans="1:2" x14ac:dyDescent="0.3">
      <c r="A19" t="s">
        <v>17</v>
      </c>
      <c r="B19" s="5">
        <v>5664526.5315064704</v>
      </c>
    </row>
    <row r="20" spans="1:2" x14ac:dyDescent="0.3">
      <c r="A20" t="s">
        <v>18</v>
      </c>
      <c r="B20" s="5">
        <v>0</v>
      </c>
    </row>
    <row r="21" spans="1:2" x14ac:dyDescent="0.3">
      <c r="A21" t="s">
        <v>19</v>
      </c>
      <c r="B21" s="5">
        <v>1455089477.6554101</v>
      </c>
    </row>
    <row r="22" spans="1:2" x14ac:dyDescent="0.3">
      <c r="A22" t="s">
        <v>20</v>
      </c>
      <c r="B22" s="5">
        <v>26694577697.297699</v>
      </c>
    </row>
    <row r="23" spans="1:2" x14ac:dyDescent="0.3">
      <c r="A23" t="s">
        <v>21</v>
      </c>
      <c r="B23" s="5">
        <v>8830391125.5129395</v>
      </c>
    </row>
    <row r="24" spans="1:2" x14ac:dyDescent="0.3">
      <c r="A24" t="s">
        <v>22</v>
      </c>
      <c r="B24" s="5">
        <v>1362605789.17939</v>
      </c>
    </row>
    <row r="25" spans="1:2" x14ac:dyDescent="0.3">
      <c r="A25" t="s">
        <v>23</v>
      </c>
      <c r="B25" s="5">
        <v>10000417155.822201</v>
      </c>
    </row>
    <row r="26" spans="1:2" x14ac:dyDescent="0.3">
      <c r="A26" t="s">
        <v>24</v>
      </c>
      <c r="B26" s="5">
        <v>0</v>
      </c>
    </row>
    <row r="27" spans="1:2" x14ac:dyDescent="0.3">
      <c r="A27" t="s">
        <v>25</v>
      </c>
      <c r="B27" s="5">
        <v>142944522.55551401</v>
      </c>
    </row>
    <row r="28" spans="1:2" x14ac:dyDescent="0.3">
      <c r="A28" t="s">
        <v>26</v>
      </c>
      <c r="B28" s="5">
        <v>7630663875.2558603</v>
      </c>
    </row>
    <row r="29" spans="1:2" x14ac:dyDescent="0.3">
      <c r="A29" t="s">
        <v>27</v>
      </c>
      <c r="B29" s="5">
        <v>1004383109.9991601</v>
      </c>
    </row>
    <row r="30" spans="1:2" x14ac:dyDescent="0.3">
      <c r="A30" t="s">
        <v>28</v>
      </c>
      <c r="B30" s="5">
        <v>5386423732.0255299</v>
      </c>
    </row>
    <row r="31" spans="1:2" x14ac:dyDescent="0.3">
      <c r="A31" t="s">
        <v>29</v>
      </c>
      <c r="B31" s="5">
        <v>0</v>
      </c>
    </row>
    <row r="32" spans="1:2" x14ac:dyDescent="0.3">
      <c r="A32" t="s">
        <v>30</v>
      </c>
      <c r="B32" s="5">
        <v>0</v>
      </c>
    </row>
    <row r="33" spans="1:2" x14ac:dyDescent="0.3">
      <c r="A33" t="s">
        <v>31</v>
      </c>
      <c r="B33" s="5">
        <v>711431760.09592903</v>
      </c>
    </row>
    <row r="34" spans="1:2" x14ac:dyDescent="0.3">
      <c r="A34" t="s">
        <v>32</v>
      </c>
      <c r="B34" s="5">
        <v>3847330392.4444499</v>
      </c>
    </row>
    <row r="35" spans="1:2" x14ac:dyDescent="0.3">
      <c r="A35" t="s">
        <v>33</v>
      </c>
      <c r="B35" s="5">
        <v>15106492283.164</v>
      </c>
    </row>
    <row r="36" spans="1:2" x14ac:dyDescent="0.3">
      <c r="A36" t="s">
        <v>34</v>
      </c>
      <c r="B36" s="5">
        <v>0</v>
      </c>
    </row>
    <row r="37" spans="1:2" x14ac:dyDescent="0.3">
      <c r="A37" t="s">
        <v>35</v>
      </c>
      <c r="B37" s="5">
        <v>1840683037.10374</v>
      </c>
    </row>
    <row r="38" spans="1:2" x14ac:dyDescent="0.3">
      <c r="A38" t="s">
        <v>36</v>
      </c>
      <c r="B38" s="5">
        <v>284280488.95602697</v>
      </c>
    </row>
    <row r="39" spans="1:2" x14ac:dyDescent="0.3">
      <c r="A39" t="s">
        <v>37</v>
      </c>
      <c r="B39" s="5">
        <v>365854370.17539197</v>
      </c>
    </row>
    <row r="40" spans="1:2" x14ac:dyDescent="0.3">
      <c r="A40" t="s">
        <v>38</v>
      </c>
      <c r="B40" s="5">
        <v>18897711048.576</v>
      </c>
    </row>
    <row r="41" spans="1:2" x14ac:dyDescent="0.3">
      <c r="A41" t="s">
        <v>39</v>
      </c>
      <c r="B41" s="5">
        <v>8468650495.1107101</v>
      </c>
    </row>
    <row r="42" spans="1:2" x14ac:dyDescent="0.3">
      <c r="A42" t="s">
        <v>40</v>
      </c>
      <c r="B42" s="5">
        <v>8001568952.0527201</v>
      </c>
    </row>
    <row r="43" spans="1:2" x14ac:dyDescent="0.3">
      <c r="A43" t="s">
        <v>41</v>
      </c>
      <c r="B43" s="5">
        <v>1502478901.6612301</v>
      </c>
    </row>
    <row r="44" spans="1:2" x14ac:dyDescent="0.3">
      <c r="A44" t="s">
        <v>42</v>
      </c>
      <c r="B44" s="5">
        <v>202645658.63552901</v>
      </c>
    </row>
    <row r="45" spans="1:2" x14ac:dyDescent="0.3">
      <c r="A45" t="s">
        <v>43</v>
      </c>
      <c r="B45" s="5">
        <v>885147.10422296496</v>
      </c>
    </row>
    <row r="46" spans="1:2" x14ac:dyDescent="0.3">
      <c r="A46" t="s">
        <v>44</v>
      </c>
      <c r="B46" s="5">
        <v>511717074.55752498</v>
      </c>
    </row>
    <row r="47" spans="1:2" x14ac:dyDescent="0.3">
      <c r="A47" t="s">
        <v>45</v>
      </c>
      <c r="B47" s="5">
        <v>1524956707.20941</v>
      </c>
    </row>
    <row r="48" spans="1:2" x14ac:dyDescent="0.3">
      <c r="A48" t="s">
        <v>46</v>
      </c>
      <c r="B48" s="5">
        <v>13153781063.7444</v>
      </c>
    </row>
    <row r="49" spans="1:2" x14ac:dyDescent="0.3">
      <c r="A49" t="s">
        <v>47</v>
      </c>
      <c r="B49" s="5">
        <v>496330044.88711101</v>
      </c>
    </row>
    <row r="50" spans="1:2" x14ac:dyDescent="0.3">
      <c r="A50" t="s">
        <v>48</v>
      </c>
      <c r="B50" s="5">
        <v>4007619081.0991502</v>
      </c>
    </row>
    <row r="51" spans="1:2" x14ac:dyDescent="0.3">
      <c r="A51" t="s">
        <v>49</v>
      </c>
      <c r="B51" s="5">
        <v>2755141530.9319901</v>
      </c>
    </row>
    <row r="52" spans="1:2" x14ac:dyDescent="0.3">
      <c r="A52" t="s">
        <v>50</v>
      </c>
      <c r="B52" s="5">
        <v>120213468.01614501</v>
      </c>
    </row>
    <row r="53" spans="1:2" x14ac:dyDescent="0.3">
      <c r="A53" t="s">
        <v>51</v>
      </c>
      <c r="B53" s="5">
        <v>0</v>
      </c>
    </row>
    <row r="54" spans="1:2" x14ac:dyDescent="0.3">
      <c r="A54" t="s">
        <v>52</v>
      </c>
      <c r="B54" s="5">
        <v>4477147.8379853796</v>
      </c>
    </row>
    <row r="55" spans="1:2" x14ac:dyDescent="0.3">
      <c r="A55" t="s">
        <v>53</v>
      </c>
      <c r="B55" s="5">
        <v>264055242.01779401</v>
      </c>
    </row>
    <row r="56" spans="1:2" x14ac:dyDescent="0.3">
      <c r="A56" t="s">
        <v>54</v>
      </c>
      <c r="B56" s="5">
        <v>9944682.3868102897</v>
      </c>
    </row>
    <row r="57" spans="1:2" x14ac:dyDescent="0.3">
      <c r="A57" t="s">
        <v>55</v>
      </c>
      <c r="B57" s="5">
        <v>1008387.34070578</v>
      </c>
    </row>
    <row r="58" spans="1:2" x14ac:dyDescent="0.3">
      <c r="A58" t="s">
        <v>56</v>
      </c>
      <c r="B58" s="5">
        <v>0</v>
      </c>
    </row>
    <row r="59" spans="1:2" x14ac:dyDescent="0.3">
      <c r="A59" t="s">
        <v>57</v>
      </c>
      <c r="B59" s="5">
        <v>11104372890.271299</v>
      </c>
    </row>
    <row r="60" spans="1:2" x14ac:dyDescent="0.3">
      <c r="A60" t="s">
        <v>58</v>
      </c>
      <c r="B60" s="5">
        <v>4396066254.5058498</v>
      </c>
    </row>
    <row r="61" spans="1:2" x14ac:dyDescent="0.3">
      <c r="A61" t="s">
        <v>59</v>
      </c>
      <c r="B61" s="5">
        <v>1644462382.15747</v>
      </c>
    </row>
    <row r="62" spans="1:2" x14ac:dyDescent="0.3">
      <c r="A62" t="s">
        <v>60</v>
      </c>
      <c r="B62" s="5">
        <v>1540578332.8853099</v>
      </c>
    </row>
    <row r="63" spans="1:2" x14ac:dyDescent="0.3">
      <c r="A63" t="s">
        <v>61</v>
      </c>
      <c r="B63" s="5">
        <v>8504744454.6062098</v>
      </c>
    </row>
    <row r="64" spans="1:2" x14ac:dyDescent="0.3">
      <c r="A64" t="s">
        <v>62</v>
      </c>
      <c r="B64" s="5">
        <v>53785277.023831204</v>
      </c>
    </row>
    <row r="65" spans="1:2" x14ac:dyDescent="0.3">
      <c r="A65" t="s">
        <v>63</v>
      </c>
      <c r="B65" s="5">
        <v>544901253.33970594</v>
      </c>
    </row>
    <row r="66" spans="1:2" x14ac:dyDescent="0.3">
      <c r="A66" t="s">
        <v>64</v>
      </c>
      <c r="B66" s="5">
        <v>521989495.585208</v>
      </c>
    </row>
    <row r="67" spans="1:2" x14ac:dyDescent="0.3">
      <c r="A67" t="s">
        <v>65</v>
      </c>
      <c r="B67" s="5">
        <v>1123515852.1538601</v>
      </c>
    </row>
    <row r="68" spans="1:2" x14ac:dyDescent="0.3">
      <c r="A68" t="s">
        <v>66</v>
      </c>
      <c r="B68" s="5">
        <v>873571968.70413494</v>
      </c>
    </row>
    <row r="69" spans="1:2" x14ac:dyDescent="0.3">
      <c r="A69" t="s">
        <v>67</v>
      </c>
      <c r="B69" s="5">
        <v>2137839966.0387001</v>
      </c>
    </row>
    <row r="70" spans="1:2" x14ac:dyDescent="0.3">
      <c r="A70" t="s">
        <v>68</v>
      </c>
      <c r="B70" s="5">
        <v>1479380959.12516</v>
      </c>
    </row>
    <row r="71" spans="1:2" x14ac:dyDescent="0.3">
      <c r="A71" t="s">
        <v>69</v>
      </c>
      <c r="B71" s="5">
        <v>0</v>
      </c>
    </row>
    <row r="72" spans="1:2" x14ac:dyDescent="0.3">
      <c r="A72" t="s">
        <v>70</v>
      </c>
      <c r="B72" s="5">
        <v>0</v>
      </c>
    </row>
    <row r="73" spans="1:2" x14ac:dyDescent="0.3">
      <c r="A73" t="s">
        <v>71</v>
      </c>
      <c r="B73" s="5">
        <v>4768996869.5219803</v>
      </c>
    </row>
    <row r="74" spans="1:2" x14ac:dyDescent="0.3">
      <c r="A74" t="s">
        <v>72</v>
      </c>
      <c r="B74" s="5">
        <v>0</v>
      </c>
    </row>
    <row r="75" spans="1:2" x14ac:dyDescent="0.3">
      <c r="A75" t="s">
        <v>73</v>
      </c>
      <c r="B75" s="5">
        <v>1813534521.41816</v>
      </c>
    </row>
    <row r="76" spans="1:2" x14ac:dyDescent="0.3">
      <c r="A76" t="s">
        <v>74</v>
      </c>
      <c r="B76" s="5">
        <v>404914581.46563399</v>
      </c>
    </row>
    <row r="77" spans="1:2" x14ac:dyDescent="0.3">
      <c r="A77" t="s">
        <v>75</v>
      </c>
      <c r="B77" s="5">
        <v>772406545.28249097</v>
      </c>
    </row>
    <row r="78" spans="1:2" x14ac:dyDescent="0.3">
      <c r="A78" t="s">
        <v>76</v>
      </c>
      <c r="B78" s="5">
        <v>10097414498.002199</v>
      </c>
    </row>
    <row r="79" spans="1:2" x14ac:dyDescent="0.3">
      <c r="A79" t="s">
        <v>77</v>
      </c>
      <c r="B79" s="5">
        <v>994506947.62891304</v>
      </c>
    </row>
    <row r="80" spans="1:2" x14ac:dyDescent="0.3">
      <c r="A80" t="s">
        <v>78</v>
      </c>
      <c r="B80" s="5">
        <v>418264403.53599298</v>
      </c>
    </row>
    <row r="81" spans="1:2" x14ac:dyDescent="0.3">
      <c r="A81" t="s">
        <v>79</v>
      </c>
      <c r="B81" s="5">
        <v>1250577110.7030499</v>
      </c>
    </row>
    <row r="82" spans="1:2" x14ac:dyDescent="0.3">
      <c r="A82" t="s">
        <v>80</v>
      </c>
      <c r="B82" s="5">
        <v>850508437.72829604</v>
      </c>
    </row>
    <row r="83" spans="1:2" x14ac:dyDescent="0.3">
      <c r="A83" t="s">
        <v>81</v>
      </c>
      <c r="B83" s="5">
        <v>0</v>
      </c>
    </row>
    <row r="84" spans="1:2" x14ac:dyDescent="0.3">
      <c r="A84" t="s">
        <v>82</v>
      </c>
      <c r="B84" s="5">
        <v>0</v>
      </c>
    </row>
    <row r="85" spans="1:2" x14ac:dyDescent="0.3">
      <c r="A85" t="s">
        <v>83</v>
      </c>
      <c r="B85" s="5">
        <v>2233900459.41886</v>
      </c>
    </row>
    <row r="86" spans="1:2" x14ac:dyDescent="0.3">
      <c r="A86" t="s">
        <v>84</v>
      </c>
      <c r="B86" s="5">
        <v>464857950.01420599</v>
      </c>
    </row>
    <row r="87" spans="1:2" x14ac:dyDescent="0.3">
      <c r="A87" t="s">
        <v>85</v>
      </c>
      <c r="B87" s="5">
        <v>0</v>
      </c>
    </row>
    <row r="88" spans="1:2" x14ac:dyDescent="0.3">
      <c r="A88" t="s">
        <v>86</v>
      </c>
      <c r="B88" s="5">
        <v>1916218033.6104</v>
      </c>
    </row>
    <row r="89" spans="1:2" x14ac:dyDescent="0.3">
      <c r="A89" t="s">
        <v>87</v>
      </c>
      <c r="B89" s="5">
        <v>183880.59447109301</v>
      </c>
    </row>
    <row r="90" spans="1:2" x14ac:dyDescent="0.3">
      <c r="A90" t="s">
        <v>88</v>
      </c>
      <c r="B90" s="5">
        <v>651634137.33091295</v>
      </c>
    </row>
    <row r="91" spans="1:2" x14ac:dyDescent="0.3">
      <c r="A91" t="s">
        <v>89</v>
      </c>
      <c r="B91" s="5">
        <v>120298083.186947</v>
      </c>
    </row>
    <row r="92" spans="1:2" x14ac:dyDescent="0.3">
      <c r="A92" t="s">
        <v>90</v>
      </c>
      <c r="B92" s="5">
        <v>4625048192.2526703</v>
      </c>
    </row>
    <row r="93" spans="1:2" x14ac:dyDescent="0.3">
      <c r="A93" t="s">
        <v>91</v>
      </c>
      <c r="B93" s="5">
        <v>0</v>
      </c>
    </row>
    <row r="94" spans="1:2" x14ac:dyDescent="0.3">
      <c r="A94" t="s">
        <v>92</v>
      </c>
      <c r="B94" s="5">
        <v>0</v>
      </c>
    </row>
    <row r="95" spans="1:2" x14ac:dyDescent="0.3">
      <c r="A95" t="s">
        <v>93</v>
      </c>
      <c r="B95" s="5">
        <v>1584243486.91312</v>
      </c>
    </row>
    <row r="96" spans="1:2" x14ac:dyDescent="0.3">
      <c r="A96" t="s">
        <v>94</v>
      </c>
      <c r="B96" s="5">
        <v>2041049474.01577</v>
      </c>
    </row>
    <row r="97" spans="1:2" x14ac:dyDescent="0.3">
      <c r="A97" t="s">
        <v>95</v>
      </c>
      <c r="B97" s="5">
        <v>0</v>
      </c>
    </row>
    <row r="98" spans="1:2" x14ac:dyDescent="0.3">
      <c r="A98" t="s">
        <v>96</v>
      </c>
      <c r="B98" s="5">
        <v>285646758.81009197</v>
      </c>
    </row>
    <row r="99" spans="1:2" x14ac:dyDescent="0.3">
      <c r="A99" t="s">
        <v>97</v>
      </c>
      <c r="B99" s="5">
        <v>2543762125.3062801</v>
      </c>
    </row>
    <row r="100" spans="1:2" x14ac:dyDescent="0.3">
      <c r="A100" t="s">
        <v>98</v>
      </c>
      <c r="B100" s="5">
        <v>6001795462.0606899</v>
      </c>
    </row>
    <row r="101" spans="1:2" x14ac:dyDescent="0.3">
      <c r="A101" t="s">
        <v>99</v>
      </c>
      <c r="B101" s="5">
        <v>19780399.177601501</v>
      </c>
    </row>
    <row r="102" spans="1:2" x14ac:dyDescent="0.3">
      <c r="A102" t="s">
        <v>100</v>
      </c>
      <c r="B102" s="5">
        <v>627248737.81583095</v>
      </c>
    </row>
    <row r="103" spans="1:2" x14ac:dyDescent="0.3">
      <c r="A103" t="s">
        <v>101</v>
      </c>
      <c r="B103" s="5">
        <v>0</v>
      </c>
    </row>
    <row r="104" spans="1:2" x14ac:dyDescent="0.3">
      <c r="A104" t="s">
        <v>102</v>
      </c>
      <c r="B104" s="5">
        <v>205809738.994901</v>
      </c>
    </row>
    <row r="105" spans="1:2" x14ac:dyDescent="0.3">
      <c r="A105" t="s">
        <v>103</v>
      </c>
      <c r="B105" s="5">
        <v>0</v>
      </c>
    </row>
    <row r="106" spans="1:2" x14ac:dyDescent="0.3">
      <c r="A106" t="s">
        <v>104</v>
      </c>
      <c r="B106" s="5">
        <v>46032966.1656643</v>
      </c>
    </row>
    <row r="107" spans="1:2" x14ac:dyDescent="0.3">
      <c r="A107" t="s">
        <v>105</v>
      </c>
      <c r="B107" s="5">
        <v>238134080.03870299</v>
      </c>
    </row>
    <row r="108" spans="1:2" x14ac:dyDescent="0.3">
      <c r="A108" t="s">
        <v>106</v>
      </c>
      <c r="B108" s="5">
        <v>582944472.28146803</v>
      </c>
    </row>
    <row r="109" spans="1:2" x14ac:dyDescent="0.3">
      <c r="A109" t="s">
        <v>107</v>
      </c>
      <c r="B109" s="5">
        <v>4382336654.1177902</v>
      </c>
    </row>
    <row r="110" spans="1:2" x14ac:dyDescent="0.3">
      <c r="A110" t="s">
        <v>108</v>
      </c>
      <c r="B110" s="5">
        <v>657509770.393978</v>
      </c>
    </row>
    <row r="111" spans="1:2" x14ac:dyDescent="0.3">
      <c r="A111" t="s">
        <v>109</v>
      </c>
      <c r="B111" s="5">
        <v>0</v>
      </c>
    </row>
    <row r="112" spans="1:2" x14ac:dyDescent="0.3">
      <c r="A112" t="s">
        <v>110</v>
      </c>
      <c r="B112" s="5">
        <v>0</v>
      </c>
    </row>
    <row r="113" spans="1:2" x14ac:dyDescent="0.3">
      <c r="A113" t="s">
        <v>111</v>
      </c>
      <c r="B113" s="5">
        <v>29991413.337085299</v>
      </c>
    </row>
    <row r="114" spans="1:2" x14ac:dyDescent="0.3">
      <c r="A114" t="s">
        <v>112</v>
      </c>
      <c r="B114" s="5">
        <v>36720836963.448799</v>
      </c>
    </row>
    <row r="115" spans="1:2" x14ac:dyDescent="0.3">
      <c r="A115" t="s">
        <v>113</v>
      </c>
      <c r="B115" s="5">
        <v>5944752914.0610304</v>
      </c>
    </row>
    <row r="116" spans="1:2" x14ac:dyDescent="0.3">
      <c r="A116" t="s">
        <v>114</v>
      </c>
      <c r="B116" s="5">
        <v>380.39169167044201</v>
      </c>
    </row>
    <row r="117" spans="1:2" x14ac:dyDescent="0.3">
      <c r="A117" t="s">
        <v>115</v>
      </c>
      <c r="B117" s="5">
        <v>130447941.07042401</v>
      </c>
    </row>
    <row r="118" spans="1:2" x14ac:dyDescent="0.3">
      <c r="A118" t="s">
        <v>116</v>
      </c>
      <c r="B118" s="5">
        <v>1639519956.2081599</v>
      </c>
    </row>
    <row r="119" spans="1:2" x14ac:dyDescent="0.3">
      <c r="A119" t="s">
        <v>117</v>
      </c>
      <c r="B119" s="5">
        <v>181707228.98788199</v>
      </c>
    </row>
    <row r="120" spans="1:2" x14ac:dyDescent="0.3">
      <c r="A120" t="s">
        <v>118</v>
      </c>
      <c r="B120" s="5">
        <v>6517780821.3874702</v>
      </c>
    </row>
    <row r="121" spans="1:2" x14ac:dyDescent="0.3">
      <c r="A121" t="s">
        <v>119</v>
      </c>
      <c r="B121" s="5">
        <v>1692901028.0936699</v>
      </c>
    </row>
    <row r="122" spans="1:2" x14ac:dyDescent="0.3">
      <c r="A122" t="s">
        <v>120</v>
      </c>
      <c r="B122" s="5">
        <v>0</v>
      </c>
    </row>
    <row r="123" spans="1:2" x14ac:dyDescent="0.3">
      <c r="A123" t="s">
        <v>121</v>
      </c>
      <c r="B123" s="5">
        <v>246563925.31100401</v>
      </c>
    </row>
    <row r="124" spans="1:2" x14ac:dyDescent="0.3">
      <c r="A124" t="s">
        <v>122</v>
      </c>
      <c r="B124" s="5">
        <v>5343124.6786524598</v>
      </c>
    </row>
    <row r="125" spans="1:2" x14ac:dyDescent="0.3">
      <c r="A125" t="s">
        <v>123</v>
      </c>
      <c r="B125" s="5">
        <v>1879470754.7946801</v>
      </c>
    </row>
    <row r="126" spans="1:2" x14ac:dyDescent="0.3">
      <c r="A126" t="s">
        <v>124</v>
      </c>
      <c r="B126" s="5">
        <v>1868794.8835418299</v>
      </c>
    </row>
    <row r="127" spans="1:2" x14ac:dyDescent="0.3">
      <c r="A127" t="s">
        <v>125</v>
      </c>
      <c r="B127" s="5">
        <v>284079063.08604097</v>
      </c>
    </row>
    <row r="128" spans="1:2" x14ac:dyDescent="0.3">
      <c r="A128" t="s">
        <v>126</v>
      </c>
      <c r="B128" s="5">
        <v>6113460.9357457897</v>
      </c>
    </row>
    <row r="129" spans="1:2" x14ac:dyDescent="0.3">
      <c r="A129" t="s">
        <v>127</v>
      </c>
      <c r="B129" s="5">
        <v>522911887.01619101</v>
      </c>
    </row>
    <row r="130" spans="1:2" x14ac:dyDescent="0.3">
      <c r="A130" t="s">
        <v>128</v>
      </c>
      <c r="B130" s="5">
        <v>13369246.0246494</v>
      </c>
    </row>
    <row r="131" spans="1:2" x14ac:dyDescent="0.3">
      <c r="A131" t="s">
        <v>129</v>
      </c>
      <c r="B131" s="5">
        <v>0</v>
      </c>
    </row>
    <row r="132" spans="1:2" x14ac:dyDescent="0.3">
      <c r="A132" t="s">
        <v>130</v>
      </c>
      <c r="B132" s="5">
        <v>0</v>
      </c>
    </row>
    <row r="133" spans="1:2" x14ac:dyDescent="0.3">
      <c r="A133" t="s">
        <v>131</v>
      </c>
      <c r="B133" s="5">
        <v>11157308.628918299</v>
      </c>
    </row>
    <row r="134" spans="1:2" x14ac:dyDescent="0.3">
      <c r="A134" t="s">
        <v>132</v>
      </c>
      <c r="B134" s="5">
        <v>3158825970.9902601</v>
      </c>
    </row>
    <row r="135" spans="1:2" x14ac:dyDescent="0.3">
      <c r="A135" t="s">
        <v>133</v>
      </c>
      <c r="B135" s="5">
        <v>78530905.702550098</v>
      </c>
    </row>
    <row r="136" spans="1:2" x14ac:dyDescent="0.3">
      <c r="A136" t="s">
        <v>134</v>
      </c>
      <c r="B136" s="5">
        <v>227619435.67220899</v>
      </c>
    </row>
    <row r="137" spans="1:2" x14ac:dyDescent="0.3">
      <c r="A137" t="s">
        <v>135</v>
      </c>
      <c r="B137" s="5">
        <v>78238898.318414494</v>
      </c>
    </row>
    <row r="138" spans="1:2" x14ac:dyDescent="0.3">
      <c r="A138" t="s">
        <v>136</v>
      </c>
      <c r="B138" s="5">
        <v>23798530287.050999</v>
      </c>
    </row>
    <row r="139" spans="1:2" x14ac:dyDescent="0.3">
      <c r="A139" t="s">
        <v>137</v>
      </c>
      <c r="B139" s="5">
        <v>2719719267.3972502</v>
      </c>
    </row>
    <row r="140" spans="1:2" x14ac:dyDescent="0.3">
      <c r="A140" t="s">
        <v>138</v>
      </c>
      <c r="B140" s="5">
        <v>1550846712.3896101</v>
      </c>
    </row>
    <row r="141" spans="1:2" x14ac:dyDescent="0.3">
      <c r="A141" t="s">
        <v>139</v>
      </c>
      <c r="B141" s="5">
        <v>0</v>
      </c>
    </row>
    <row r="142" spans="1:2" x14ac:dyDescent="0.3">
      <c r="A142" t="s">
        <v>140</v>
      </c>
      <c r="B142" s="5">
        <v>782510505.65527797</v>
      </c>
    </row>
    <row r="143" spans="1:2" x14ac:dyDescent="0.3">
      <c r="A143" t="s">
        <v>141</v>
      </c>
      <c r="B143" s="5">
        <v>1761557138.88782</v>
      </c>
    </row>
    <row r="144" spans="1:2" x14ac:dyDescent="0.3">
      <c r="A144" t="s">
        <v>142</v>
      </c>
      <c r="B144" s="5">
        <v>1467673.76799011</v>
      </c>
    </row>
    <row r="145" spans="1:2" x14ac:dyDescent="0.3">
      <c r="A145" t="s">
        <v>143</v>
      </c>
      <c r="B145" s="5">
        <v>8337270.8658216204</v>
      </c>
    </row>
    <row r="146" spans="1:2" x14ac:dyDescent="0.3">
      <c r="A146" t="s">
        <v>144</v>
      </c>
      <c r="B146" s="5">
        <v>652067996.04904902</v>
      </c>
    </row>
    <row r="147" spans="1:2" x14ac:dyDescent="0.3">
      <c r="A147" t="s">
        <v>145</v>
      </c>
      <c r="B147" s="5">
        <v>9005583834.8962193</v>
      </c>
    </row>
    <row r="148" spans="1:2" x14ac:dyDescent="0.3">
      <c r="A148" t="s">
        <v>146</v>
      </c>
      <c r="B148" s="5">
        <v>1404177813.97509</v>
      </c>
    </row>
    <row r="149" spans="1:2" x14ac:dyDescent="0.3">
      <c r="A149" t="s">
        <v>147</v>
      </c>
      <c r="B149" s="5">
        <v>507404607.04118598</v>
      </c>
    </row>
    <row r="150" spans="1:2" x14ac:dyDescent="0.3">
      <c r="A150" t="s">
        <v>148</v>
      </c>
      <c r="B150" s="5">
        <v>65703470.066142797</v>
      </c>
    </row>
    <row r="151" spans="1:2" x14ac:dyDescent="0.3">
      <c r="A151" t="s">
        <v>149</v>
      </c>
      <c r="B151" s="5">
        <v>606489059.12341201</v>
      </c>
    </row>
    <row r="152" spans="1:2" x14ac:dyDescent="0.3">
      <c r="A152" t="s">
        <v>150</v>
      </c>
      <c r="B152" s="5">
        <v>123712046.390652</v>
      </c>
    </row>
    <row r="153" spans="1:2" x14ac:dyDescent="0.3">
      <c r="A153" t="s">
        <v>151</v>
      </c>
      <c r="B153" s="5">
        <v>2893663679.82831</v>
      </c>
    </row>
    <row r="154" spans="1:2" x14ac:dyDescent="0.3">
      <c r="A154" t="s">
        <v>152</v>
      </c>
      <c r="B154" s="5">
        <v>27898223255.288601</v>
      </c>
    </row>
    <row r="155" spans="1:2" x14ac:dyDescent="0.3">
      <c r="A155" t="s">
        <v>153</v>
      </c>
      <c r="B155" s="5">
        <v>1890138903.9312799</v>
      </c>
    </row>
    <row r="156" spans="1:2" x14ac:dyDescent="0.3">
      <c r="A156" t="s">
        <v>154</v>
      </c>
      <c r="B156" s="5">
        <v>2919761384.1310601</v>
      </c>
    </row>
    <row r="157" spans="1:2" x14ac:dyDescent="0.3">
      <c r="A157" t="s">
        <v>155</v>
      </c>
      <c r="B157" s="5">
        <v>48259592.406893902</v>
      </c>
    </row>
    <row r="158" spans="1:2" x14ac:dyDescent="0.3">
      <c r="A158" t="s">
        <v>156</v>
      </c>
      <c r="B158" s="5">
        <v>22545548.627041101</v>
      </c>
    </row>
    <row r="159" spans="1:2" x14ac:dyDescent="0.3">
      <c r="A159" t="s">
        <v>157</v>
      </c>
      <c r="B159" s="5">
        <v>6397902616.85186</v>
      </c>
    </row>
    <row r="160" spans="1:2" x14ac:dyDescent="0.3">
      <c r="A160" t="s">
        <v>158</v>
      </c>
      <c r="B160" s="5">
        <v>634338737.47826302</v>
      </c>
    </row>
    <row r="161" spans="1:2" x14ac:dyDescent="0.3">
      <c r="A161" t="s">
        <v>159</v>
      </c>
      <c r="B161" s="5">
        <v>1582210938.48505</v>
      </c>
    </row>
    <row r="162" spans="1:2" x14ac:dyDescent="0.3">
      <c r="A162" t="s">
        <v>160</v>
      </c>
      <c r="B162" s="5">
        <v>168564834.81610399</v>
      </c>
    </row>
    <row r="163" spans="1:2" x14ac:dyDescent="0.3">
      <c r="A163" t="s">
        <v>161</v>
      </c>
      <c r="B163" s="5">
        <v>9852560596.5472908</v>
      </c>
    </row>
    <row r="164" spans="1:2" x14ac:dyDescent="0.3">
      <c r="A164" t="s">
        <v>162</v>
      </c>
      <c r="B164" s="5">
        <v>990800431.05558896</v>
      </c>
    </row>
    <row r="165" spans="1:2" x14ac:dyDescent="0.3">
      <c r="A165" t="s">
        <v>163</v>
      </c>
      <c r="B165" s="5">
        <v>2765745424.6242299</v>
      </c>
    </row>
    <row r="166" spans="1:2" x14ac:dyDescent="0.3">
      <c r="A166" t="s">
        <v>164</v>
      </c>
      <c r="B166" s="5">
        <v>16250598236.498899</v>
      </c>
    </row>
    <row r="167" spans="1:2" x14ac:dyDescent="0.3">
      <c r="A167" t="s">
        <v>165</v>
      </c>
      <c r="B167" s="5">
        <v>0</v>
      </c>
    </row>
    <row r="168" spans="1:2" x14ac:dyDescent="0.3">
      <c r="A168" t="s">
        <v>166</v>
      </c>
      <c r="B168" s="5">
        <v>0</v>
      </c>
    </row>
    <row r="169" spans="1:2" x14ac:dyDescent="0.3">
      <c r="A169" t="s">
        <v>167</v>
      </c>
      <c r="B169" s="5">
        <v>0</v>
      </c>
    </row>
    <row r="170" spans="1:2" x14ac:dyDescent="0.3">
      <c r="A170" t="s">
        <v>168</v>
      </c>
      <c r="B170" s="5">
        <v>0</v>
      </c>
    </row>
    <row r="171" spans="1:2" x14ac:dyDescent="0.3">
      <c r="A171" t="s">
        <v>169</v>
      </c>
      <c r="B171" s="5">
        <v>0</v>
      </c>
    </row>
    <row r="172" spans="1:2" x14ac:dyDescent="0.3">
      <c r="A172" t="s">
        <v>170</v>
      </c>
      <c r="B172" s="5">
        <v>0</v>
      </c>
    </row>
    <row r="173" spans="1:2" x14ac:dyDescent="0.3">
      <c r="A173" t="s">
        <v>171</v>
      </c>
      <c r="B173" s="5">
        <v>0</v>
      </c>
    </row>
    <row r="174" spans="1:2" x14ac:dyDescent="0.3">
      <c r="A174" t="s">
        <v>172</v>
      </c>
      <c r="B174" s="5">
        <v>0</v>
      </c>
    </row>
    <row r="175" spans="1:2" x14ac:dyDescent="0.3">
      <c r="A175" t="s">
        <v>173</v>
      </c>
      <c r="B175" s="5">
        <v>0</v>
      </c>
    </row>
    <row r="176" spans="1:2" x14ac:dyDescent="0.3">
      <c r="A176" t="s">
        <v>174</v>
      </c>
      <c r="B176" s="5">
        <v>0</v>
      </c>
    </row>
    <row r="177" spans="1:2" x14ac:dyDescent="0.3">
      <c r="A177" t="s">
        <v>175</v>
      </c>
      <c r="B177" s="5">
        <v>0</v>
      </c>
    </row>
    <row r="178" spans="1:2" x14ac:dyDescent="0.3">
      <c r="A178" t="s">
        <v>176</v>
      </c>
      <c r="B178" s="5">
        <v>3121045059.5303798</v>
      </c>
    </row>
    <row r="179" spans="1:2" x14ac:dyDescent="0.3">
      <c r="A179" t="s">
        <v>177</v>
      </c>
      <c r="B179" s="5">
        <v>679224709.11252201</v>
      </c>
    </row>
    <row r="180" spans="1:2" x14ac:dyDescent="0.3">
      <c r="A180" t="s">
        <v>178</v>
      </c>
      <c r="B180" s="5">
        <v>5423928939.3084402</v>
      </c>
    </row>
    <row r="181" spans="1:2" x14ac:dyDescent="0.3">
      <c r="A181" t="s">
        <v>179</v>
      </c>
      <c r="B181" s="5">
        <v>2706889314.3036098</v>
      </c>
    </row>
    <row r="182" spans="1:2" x14ac:dyDescent="0.3">
      <c r="A182" t="s">
        <v>180</v>
      </c>
      <c r="B182" s="5">
        <v>0</v>
      </c>
    </row>
    <row r="183" spans="1:2" x14ac:dyDescent="0.3">
      <c r="A183" t="s">
        <v>181</v>
      </c>
      <c r="B183" s="5">
        <v>1685798044.62692</v>
      </c>
    </row>
    <row r="184" spans="1:2" x14ac:dyDescent="0.3">
      <c r="A184" t="s">
        <v>182</v>
      </c>
      <c r="B184" s="5">
        <v>2045338251.4507</v>
      </c>
    </row>
    <row r="185" spans="1:2" x14ac:dyDescent="0.3">
      <c r="A185" t="s">
        <v>183</v>
      </c>
      <c r="B185" s="5">
        <v>18348087939.603199</v>
      </c>
    </row>
    <row r="186" spans="1:2" x14ac:dyDescent="0.3">
      <c r="A186" t="s">
        <v>184</v>
      </c>
      <c r="B186" s="5">
        <v>1479245816.4001</v>
      </c>
    </row>
    <row r="187" spans="1:2" x14ac:dyDescent="0.3">
      <c r="A187" t="s">
        <v>185</v>
      </c>
      <c r="B187" s="5">
        <v>112913801.842694</v>
      </c>
    </row>
    <row r="188" spans="1:2" x14ac:dyDescent="0.3">
      <c r="A188" t="s">
        <v>186</v>
      </c>
      <c r="B188" s="5">
        <v>49615069.558424801</v>
      </c>
    </row>
    <row r="189" spans="1:2" x14ac:dyDescent="0.3">
      <c r="A189" t="s">
        <v>187</v>
      </c>
      <c r="B189" s="5">
        <v>7514672.9275456704</v>
      </c>
    </row>
    <row r="190" spans="1:2" x14ac:dyDescent="0.3">
      <c r="A190" t="s">
        <v>188</v>
      </c>
      <c r="B190" s="5">
        <v>1178283891.2462001</v>
      </c>
    </row>
    <row r="191" spans="1:2" x14ac:dyDescent="0.3">
      <c r="A191" t="s">
        <v>189</v>
      </c>
      <c r="B191" s="5">
        <v>837811184.57932699</v>
      </c>
    </row>
    <row r="192" spans="1:2" x14ac:dyDescent="0.3">
      <c r="A192" t="s">
        <v>190</v>
      </c>
      <c r="B192" s="5">
        <v>310524.40573938802</v>
      </c>
    </row>
    <row r="193" spans="1:2" x14ac:dyDescent="0.3">
      <c r="A193" t="s">
        <v>191</v>
      </c>
      <c r="B193" s="5">
        <v>2063347284.3789699</v>
      </c>
    </row>
    <row r="194" spans="1:2" x14ac:dyDescent="0.3">
      <c r="A194" t="s">
        <v>192</v>
      </c>
      <c r="B194" s="5">
        <v>249642978.69317299</v>
      </c>
    </row>
    <row r="195" spans="1:2" x14ac:dyDescent="0.3">
      <c r="A195" t="s">
        <v>193</v>
      </c>
      <c r="B195" s="5">
        <v>7716785897.2855196</v>
      </c>
    </row>
    <row r="196" spans="1:2" x14ac:dyDescent="0.3">
      <c r="A196" t="s">
        <v>194</v>
      </c>
      <c r="B196" s="5">
        <v>116203779.29697201</v>
      </c>
    </row>
    <row r="197" spans="1:2" x14ac:dyDescent="0.3">
      <c r="A197" t="s">
        <v>195</v>
      </c>
      <c r="B197" s="5">
        <v>14878635999.3634</v>
      </c>
    </row>
    <row r="198" spans="1:2" x14ac:dyDescent="0.3">
      <c r="A198" t="s">
        <v>196</v>
      </c>
      <c r="B198" s="5">
        <v>6784852264.9230204</v>
      </c>
    </row>
    <row r="199" spans="1:2" x14ac:dyDescent="0.3">
      <c r="A199" t="s">
        <v>197</v>
      </c>
      <c r="B199" s="5">
        <v>0</v>
      </c>
    </row>
    <row r="200" spans="1:2" x14ac:dyDescent="0.3">
      <c r="A200" t="s">
        <v>198</v>
      </c>
      <c r="B200" s="5">
        <v>163937262.977052</v>
      </c>
    </row>
    <row r="201" spans="1:2" x14ac:dyDescent="0.3">
      <c r="A201" t="s">
        <v>199</v>
      </c>
      <c r="B201" s="5">
        <v>153351037.683994</v>
      </c>
    </row>
    <row r="202" spans="1:2" x14ac:dyDescent="0.3">
      <c r="A202" t="s">
        <v>200</v>
      </c>
      <c r="B202" s="5">
        <v>2062690.69665058</v>
      </c>
    </row>
    <row r="203" spans="1:2" x14ac:dyDescent="0.3">
      <c r="A203" t="s">
        <v>201</v>
      </c>
      <c r="B203" s="5">
        <v>80242809.081462994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14450-49C0-4E50-8A90-B9323AF8E2A9}">
  <sheetPr codeName="Sheet5"/>
  <dimension ref="A1:N203"/>
  <sheetViews>
    <sheetView zoomScaleNormal="100" workbookViewId="0"/>
  </sheetViews>
  <sheetFormatPr defaultRowHeight="14.4" x14ac:dyDescent="0.3"/>
  <cols>
    <col min="1" max="1" width="71.33203125" customWidth="1"/>
    <col min="2" max="2" width="55.6640625" customWidth="1"/>
    <col min="3" max="3" width="25.44140625" customWidth="1"/>
    <col min="4" max="4" width="17.6640625" customWidth="1"/>
    <col min="5" max="5" width="22.109375" customWidth="1"/>
    <col min="6" max="6" width="18.5546875" customWidth="1"/>
    <col min="7" max="8" width="12.6640625" customWidth="1"/>
    <col min="9" max="9" width="12.44140625" bestFit="1" customWidth="1"/>
    <col min="10" max="10" width="10" bestFit="1" customWidth="1"/>
  </cols>
  <sheetData>
    <row r="1" spans="1:14" x14ac:dyDescent="0.3">
      <c r="A1" t="s">
        <v>253</v>
      </c>
      <c r="B1" s="18" t="s">
        <v>254</v>
      </c>
    </row>
    <row r="2" spans="1:14" x14ac:dyDescent="0.3">
      <c r="A2" t="s">
        <v>255</v>
      </c>
      <c r="B2" t="s">
        <v>256</v>
      </c>
    </row>
    <row r="3" spans="1:14" x14ac:dyDescent="0.3">
      <c r="A3" s="9" t="s">
        <v>204</v>
      </c>
      <c r="B3" s="9" t="s">
        <v>257</v>
      </c>
      <c r="C3" s="9" t="s">
        <v>247</v>
      </c>
      <c r="D3" s="9" t="s">
        <v>248</v>
      </c>
      <c r="E3" s="9" t="s">
        <v>249</v>
      </c>
      <c r="F3" s="9" t="s">
        <v>250</v>
      </c>
      <c r="G3" s="9" t="s">
        <v>202</v>
      </c>
      <c r="H3" s="9" t="s">
        <v>203</v>
      </c>
    </row>
    <row r="4" spans="1:14" x14ac:dyDescent="0.3">
      <c r="A4" s="10" t="s">
        <v>33</v>
      </c>
      <c r="B4" s="30">
        <f>SUM(C4:F4)</f>
        <v>66780093238.461884</v>
      </c>
      <c r="C4" s="4">
        <f>INDEX('1.1 Y_FR_imports'!$B$4:$B$203, MATCH(Summary!A4, '1.1 Y_FR_imports'!$A$4:$A$203, 0))</f>
        <v>1106361828.3127301</v>
      </c>
      <c r="D4" s="4">
        <f>INDEX('1.2 Z_FR_imports'!$B$4:$B$203, MATCH(Summary!A4, '1.2 Z_FR_imports'!$A$4:$A$203, 0))</f>
        <v>1966580680.6168499</v>
      </c>
      <c r="E4" s="4">
        <f>INDEX('2.1 Y_FR_production'!$B$4:$B$203, MATCH(Summary!A4, '2.1 Y_FR_production'!$A$4:$A$203, 0))</f>
        <v>48600658446.368301</v>
      </c>
      <c r="F4" s="4">
        <f>INDEX('2.2 Z_FR_production'!$B$4:$B$203, MATCH(Summary!A4, '2.2 Z_FR_production'!$A$4:$A$203, 0))</f>
        <v>15106492283.164</v>
      </c>
      <c r="G4" s="1">
        <f>SUM(C4:D4)/SUM(C4:F4)</f>
        <v>4.6015846338467281E-2</v>
      </c>
      <c r="H4" s="1">
        <f>SUM(E4:F4)/SUM(C4:F4)</f>
        <v>0.95398415366153266</v>
      </c>
      <c r="I4" s="7"/>
      <c r="N4" s="8"/>
    </row>
    <row r="5" spans="1:14" x14ac:dyDescent="0.3">
      <c r="A5" s="10" t="s">
        <v>164</v>
      </c>
      <c r="B5" s="30">
        <f t="shared" ref="B5:B68" si="0">SUM(C5:F5)</f>
        <v>62839980544.940605</v>
      </c>
      <c r="C5" s="4">
        <f>INDEX('1.1 Y_FR_imports'!$B$4:$B$203, MATCH(Summary!A5, '1.1 Y_FR_imports'!$A$4:$A$203, 0))</f>
        <v>18683426443.198799</v>
      </c>
      <c r="D5" s="4">
        <f>INDEX('1.2 Z_FR_imports'!$B$4:$B$203, MATCH(Summary!A5, '1.2 Z_FR_imports'!$A$4:$A$203, 0))</f>
        <v>17520130345.287998</v>
      </c>
      <c r="E5" s="4">
        <f>INDEX('2.1 Y_FR_production'!$B$4:$B$203, MATCH(Summary!A5, '2.1 Y_FR_production'!$A$4:$A$203, 0))</f>
        <v>10385825519.954901</v>
      </c>
      <c r="F5" s="4">
        <f>INDEX('2.2 Z_FR_production'!$B$4:$B$203, MATCH(Summary!A5, '2.2 Z_FR_production'!$A$4:$A$203, 0))</f>
        <v>16250598236.498899</v>
      </c>
      <c r="G5" s="1">
        <f>SUM(C5:D5)/SUM(C5:F5)</f>
        <v>0.57612297894642861</v>
      </c>
      <c r="H5" s="1">
        <f t="shared" ref="H5:H68" si="1">SUM(E5:F5)/SUM(C5:F5)</f>
        <v>0.42387702105357128</v>
      </c>
      <c r="I5" s="7"/>
      <c r="N5" s="8"/>
    </row>
    <row r="6" spans="1:14" x14ac:dyDescent="0.3">
      <c r="A6" s="10" t="s">
        <v>112</v>
      </c>
      <c r="B6" s="30">
        <f t="shared" si="0"/>
        <v>48547298530.085114</v>
      </c>
      <c r="C6" s="4">
        <f>INDEX('1.1 Y_FR_imports'!$B$4:$B$203, MATCH(Summary!A6, '1.1 Y_FR_imports'!$A$4:$A$203, 0))</f>
        <v>1444295279.4829099</v>
      </c>
      <c r="D6" s="4">
        <f>INDEX('1.2 Z_FR_imports'!$B$4:$B$203, MATCH(Summary!A6, '1.2 Z_FR_imports'!$A$4:$A$203, 0))</f>
        <v>3640732920.2599101</v>
      </c>
      <c r="E6" s="4">
        <f>INDEX('2.1 Y_FR_production'!$B$4:$B$203, MATCH(Summary!A6, '2.1 Y_FR_production'!$A$4:$A$203, 0))</f>
        <v>6741433366.8934898</v>
      </c>
      <c r="F6" s="4">
        <f>INDEX('2.2 Z_FR_production'!$B$4:$B$203, MATCH(Summary!A6, '2.2 Z_FR_production'!$A$4:$A$203, 0))</f>
        <v>36720836963.448799</v>
      </c>
      <c r="G6" s="1">
        <f>SUM(C6:D6)/SUM(C6:F6)</f>
        <v>0.10474379324302857</v>
      </c>
      <c r="H6" s="1">
        <f t="shared" si="1"/>
        <v>0.89525620675697126</v>
      </c>
      <c r="I6" s="7"/>
      <c r="N6" s="8"/>
    </row>
    <row r="7" spans="1:14" x14ac:dyDescent="0.3">
      <c r="A7" s="10" t="s">
        <v>3</v>
      </c>
      <c r="B7" s="30">
        <f t="shared" si="0"/>
        <v>48337328805.047043</v>
      </c>
      <c r="C7" s="4">
        <f>INDEX('1.1 Y_FR_imports'!$B$4:$B$203, MATCH(Summary!A7, '1.1 Y_FR_imports'!$A$4:$A$203, 0))</f>
        <v>18114085352.452599</v>
      </c>
      <c r="D7" s="4">
        <f>INDEX('1.2 Z_FR_imports'!$B$4:$B$203, MATCH(Summary!A7, '1.2 Z_FR_imports'!$A$4:$A$203, 0))</f>
        <v>2832577057.0113502</v>
      </c>
      <c r="E7" s="4">
        <f>INDEX('2.1 Y_FR_production'!$B$4:$B$203, MATCH(Summary!A7, '2.1 Y_FR_production'!$A$4:$A$203, 0))</f>
        <v>15049661241.3391</v>
      </c>
      <c r="F7" s="4">
        <f>INDEX('2.2 Z_FR_production'!$B$4:$B$203, MATCH(Summary!A7, '2.2 Z_FR_production'!$A$4:$A$203, 0))</f>
        <v>12341005154.243999</v>
      </c>
      <c r="G7" s="1">
        <f>SUM(C7:D7)/SUM(C7:F7)</f>
        <v>0.43334339996207744</v>
      </c>
      <c r="H7" s="1">
        <f t="shared" si="1"/>
        <v>0.56665660003792262</v>
      </c>
      <c r="I7" s="7"/>
      <c r="N7" s="8"/>
    </row>
    <row r="8" spans="1:14" x14ac:dyDescent="0.3">
      <c r="A8" s="10" t="s">
        <v>61</v>
      </c>
      <c r="B8" s="30">
        <f t="shared" si="0"/>
        <v>41759990363.149467</v>
      </c>
      <c r="C8" s="4">
        <f>INDEX('1.1 Y_FR_imports'!$B$4:$B$203, MATCH(Summary!A8, '1.1 Y_FR_imports'!$A$4:$A$203, 0))</f>
        <v>10677622802.4825</v>
      </c>
      <c r="D8" s="4">
        <f>INDEX('1.2 Z_FR_imports'!$B$4:$B$203, MATCH(Summary!A8, '1.2 Z_FR_imports'!$A$4:$A$203, 0))</f>
        <v>1645529286.7318599</v>
      </c>
      <c r="E8" s="4">
        <f>INDEX('2.1 Y_FR_production'!$B$4:$B$203, MATCH(Summary!A8, '2.1 Y_FR_production'!$A$4:$A$203, 0))</f>
        <v>20932093819.328899</v>
      </c>
      <c r="F8" s="4">
        <f>INDEX('2.2 Z_FR_production'!$B$4:$B$203, MATCH(Summary!A8, '2.2 Z_FR_production'!$A$4:$A$203, 0))</f>
        <v>8504744454.6062098</v>
      </c>
      <c r="G8" s="1">
        <f>SUM(C8:D8)/SUM(C8:F8)</f>
        <v>0.2950947062499506</v>
      </c>
      <c r="H8" s="1">
        <f t="shared" si="1"/>
        <v>0.7049052937500494</v>
      </c>
      <c r="I8" s="7"/>
      <c r="N8" s="8"/>
    </row>
    <row r="9" spans="1:14" x14ac:dyDescent="0.3">
      <c r="A9" s="10" t="s">
        <v>38</v>
      </c>
      <c r="B9" s="30">
        <f t="shared" si="0"/>
        <v>36996934318.518814</v>
      </c>
      <c r="C9" s="4">
        <f>INDEX('1.1 Y_FR_imports'!$B$4:$B$203, MATCH(Summary!A9, '1.1 Y_FR_imports'!$A$4:$A$203, 0))</f>
        <v>4062447105.12041</v>
      </c>
      <c r="D9" s="4">
        <f>INDEX('1.2 Z_FR_imports'!$B$4:$B$203, MATCH(Summary!A9, '1.2 Z_FR_imports'!$A$4:$A$203, 0))</f>
        <v>1417225140.4484</v>
      </c>
      <c r="E9" s="4">
        <f>INDEX('2.1 Y_FR_production'!$B$4:$B$203, MATCH(Summary!A9, '2.1 Y_FR_production'!$A$4:$A$203, 0))</f>
        <v>12619551024.374001</v>
      </c>
      <c r="F9" s="4">
        <f>INDEX('2.2 Z_FR_production'!$B$4:$B$203, MATCH(Summary!A9, '2.2 Z_FR_production'!$A$4:$A$203, 0))</f>
        <v>18897711048.576</v>
      </c>
      <c r="G9" s="1">
        <f>SUM(C9:D9)/SUM(C9:F9)</f>
        <v>0.14811152184644552</v>
      </c>
      <c r="H9" s="1">
        <f t="shared" si="1"/>
        <v>0.8518884781535544</v>
      </c>
      <c r="I9" s="7"/>
      <c r="N9" s="8"/>
    </row>
    <row r="10" spans="1:14" x14ac:dyDescent="0.3">
      <c r="A10" s="10" t="s">
        <v>76</v>
      </c>
      <c r="B10" s="30">
        <f t="shared" si="0"/>
        <v>35397494854.733055</v>
      </c>
      <c r="C10" s="4">
        <f>INDEX('1.1 Y_FR_imports'!$B$4:$B$203, MATCH(Summary!A10, '1.1 Y_FR_imports'!$A$4:$A$203, 0))</f>
        <v>1969562465.7006099</v>
      </c>
      <c r="D10" s="4">
        <f>INDEX('1.2 Z_FR_imports'!$B$4:$B$203, MATCH(Summary!A10, '1.2 Z_FR_imports'!$A$4:$A$203, 0))</f>
        <v>8707922322.5023499</v>
      </c>
      <c r="E10" s="4">
        <f>INDEX('2.1 Y_FR_production'!$B$4:$B$203, MATCH(Summary!A10, '2.1 Y_FR_production'!$A$4:$A$203, 0))</f>
        <v>14622595568.527901</v>
      </c>
      <c r="F10" s="4">
        <f>INDEX('2.2 Z_FR_production'!$B$4:$B$203, MATCH(Summary!A10, '2.2 Z_FR_production'!$A$4:$A$203, 0))</f>
        <v>10097414498.002199</v>
      </c>
      <c r="G10" s="1">
        <f>SUM(C10:D10)/SUM(C10:F10)</f>
        <v>0.30164521054447602</v>
      </c>
      <c r="H10" s="1">
        <f t="shared" si="1"/>
        <v>0.69835478945552398</v>
      </c>
      <c r="I10" s="7"/>
      <c r="N10" s="8"/>
    </row>
    <row r="11" spans="1:14" x14ac:dyDescent="0.3">
      <c r="A11" s="10" t="s">
        <v>98</v>
      </c>
      <c r="B11" s="30">
        <f t="shared" si="0"/>
        <v>35077182533.914207</v>
      </c>
      <c r="C11" s="4">
        <f>INDEX('1.1 Y_FR_imports'!$B$4:$B$203, MATCH(Summary!A11, '1.1 Y_FR_imports'!$A$4:$A$203, 0))</f>
        <v>17010148903.964899</v>
      </c>
      <c r="D11" s="4">
        <f>INDEX('1.2 Z_FR_imports'!$B$4:$B$203, MATCH(Summary!A11, '1.2 Z_FR_imports'!$A$4:$A$203, 0))</f>
        <v>3198522431.7901902</v>
      </c>
      <c r="E11" s="4">
        <f>INDEX('2.1 Y_FR_production'!$B$4:$B$203, MATCH(Summary!A11, '2.1 Y_FR_production'!$A$4:$A$203, 0))</f>
        <v>8866715736.0984306</v>
      </c>
      <c r="F11" s="4">
        <f>INDEX('2.2 Z_FR_production'!$B$4:$B$203, MATCH(Summary!A11, '2.2 Z_FR_production'!$A$4:$A$203, 0))</f>
        <v>6001795462.0606899</v>
      </c>
      <c r="G11" s="1">
        <f>SUM(C11:D11)/SUM(C11:F11)</f>
        <v>0.5761201406702614</v>
      </c>
      <c r="H11" s="1">
        <f t="shared" si="1"/>
        <v>0.42387985932973865</v>
      </c>
      <c r="I11" s="7"/>
      <c r="N11" s="8"/>
    </row>
    <row r="12" spans="1:14" ht="13.95" customHeight="1" x14ac:dyDescent="0.3">
      <c r="A12" s="10" t="s">
        <v>136</v>
      </c>
      <c r="B12" s="30">
        <f t="shared" si="0"/>
        <v>32327027028.976051</v>
      </c>
      <c r="C12" s="4">
        <f>INDEX('1.1 Y_FR_imports'!$B$4:$B$203, MATCH(Summary!A12, '1.1 Y_FR_imports'!$A$4:$A$203, 0))</f>
        <v>92174561.525324494</v>
      </c>
      <c r="D12" s="4">
        <f>INDEX('1.2 Z_FR_imports'!$B$4:$B$203, MATCH(Summary!A12, '1.2 Z_FR_imports'!$A$4:$A$203, 0))</f>
        <v>5032204881.3017902</v>
      </c>
      <c r="E12" s="4">
        <f>INDEX('2.1 Y_FR_production'!$B$4:$B$203, MATCH(Summary!A12, '2.1 Y_FR_production'!$A$4:$A$203, 0))</f>
        <v>3404117299.09794</v>
      </c>
      <c r="F12" s="4">
        <f>INDEX('2.2 Z_FR_production'!$B$4:$B$203, MATCH(Summary!A12, '2.2 Z_FR_production'!$A$4:$A$203, 0))</f>
        <v>23798530287.050999</v>
      </c>
      <c r="G12" s="1">
        <f>SUM(C12:D12)/SUM(C12:F12)</f>
        <v>0.15851687933548364</v>
      </c>
      <c r="H12" s="1">
        <f t="shared" si="1"/>
        <v>0.84148312066451636</v>
      </c>
      <c r="I12" s="7"/>
      <c r="N12" s="8"/>
    </row>
    <row r="13" spans="1:14" x14ac:dyDescent="0.3">
      <c r="A13" s="10" t="s">
        <v>20</v>
      </c>
      <c r="B13" s="30">
        <f t="shared" si="0"/>
        <v>31611215290.581055</v>
      </c>
      <c r="C13" s="4">
        <f>INDEX('1.1 Y_FR_imports'!$B$4:$B$203, MATCH(Summary!A13, '1.1 Y_FR_imports'!$A$4:$A$203, 0))</f>
        <v>4.31019719780012E-3</v>
      </c>
      <c r="D13" s="4">
        <f>INDEX('1.2 Z_FR_imports'!$B$4:$B$203, MATCH(Summary!A13, '1.2 Z_FR_imports'!$A$4:$A$203, 0))</f>
        <v>542412659.75727797</v>
      </c>
      <c r="E13" s="4">
        <f>INDEX('2.1 Y_FR_production'!$B$4:$B$203, MATCH(Summary!A13, '2.1 Y_FR_production'!$A$4:$A$203, 0))</f>
        <v>4374224933.5217695</v>
      </c>
      <c r="F13" s="4">
        <f>INDEX('2.2 Z_FR_production'!$B$4:$B$203, MATCH(Summary!A13, '2.2 Z_FR_production'!$A$4:$A$203, 0))</f>
        <v>26694577697.297699</v>
      </c>
      <c r="G13" s="1">
        <f>SUM(C13:D13)/SUM(C13:F13)</f>
        <v>1.7158867660592811E-2</v>
      </c>
      <c r="H13" s="1">
        <f t="shared" si="1"/>
        <v>0.98284113233940729</v>
      </c>
      <c r="I13" s="7"/>
      <c r="N13" s="8"/>
    </row>
    <row r="14" spans="1:14" x14ac:dyDescent="0.3">
      <c r="A14" s="10" t="s">
        <v>152</v>
      </c>
      <c r="B14" s="30">
        <f t="shared" si="0"/>
        <v>27976345428.934547</v>
      </c>
      <c r="C14" s="4">
        <f>INDEX('1.1 Y_FR_imports'!$B$4:$B$203, MATCH(Summary!A14, '1.1 Y_FR_imports'!$A$4:$A$203, 0))</f>
        <v>0</v>
      </c>
      <c r="D14" s="4">
        <f>INDEX('1.2 Z_FR_imports'!$B$4:$B$203, MATCH(Summary!A14, '1.2 Z_FR_imports'!$A$4:$A$203, 0))</f>
        <v>0</v>
      </c>
      <c r="E14" s="4">
        <f>INDEX('2.1 Y_FR_production'!$B$4:$B$203, MATCH(Summary!A14, '2.1 Y_FR_production'!$A$4:$A$203, 0))</f>
        <v>78122173.645946294</v>
      </c>
      <c r="F14" s="4">
        <f>INDEX('2.2 Z_FR_production'!$B$4:$B$203, MATCH(Summary!A14, '2.2 Z_FR_production'!$A$4:$A$203, 0))</f>
        <v>27898223255.288601</v>
      </c>
      <c r="G14" s="1">
        <f>SUM(C14:D14)/SUM(C14:F14)</f>
        <v>0</v>
      </c>
      <c r="H14" s="1">
        <f t="shared" si="1"/>
        <v>1</v>
      </c>
      <c r="I14" s="7"/>
      <c r="N14" s="8"/>
    </row>
    <row r="15" spans="1:14" x14ac:dyDescent="0.3">
      <c r="A15" s="10" t="s">
        <v>11</v>
      </c>
      <c r="B15" s="30">
        <f t="shared" si="0"/>
        <v>27666349910.738552</v>
      </c>
      <c r="C15" s="4">
        <f>INDEX('1.1 Y_FR_imports'!$B$4:$B$203, MATCH(Summary!A15, '1.1 Y_FR_imports'!$A$4:$A$203, 0))</f>
        <v>84380141.880586997</v>
      </c>
      <c r="D15" s="4">
        <f>INDEX('1.2 Z_FR_imports'!$B$4:$B$203, MATCH(Summary!A15, '1.2 Z_FR_imports'!$A$4:$A$203, 0))</f>
        <v>10315241995.337299</v>
      </c>
      <c r="E15" s="4">
        <f>INDEX('2.1 Y_FR_production'!$B$4:$B$203, MATCH(Summary!A15, '2.1 Y_FR_production'!$A$4:$A$203, 0))</f>
        <v>347056795.94056702</v>
      </c>
      <c r="F15" s="4">
        <f>INDEX('2.2 Z_FR_production'!$B$4:$B$203, MATCH(Summary!A15, '2.2 Z_FR_production'!$A$4:$A$203, 0))</f>
        <v>16919670977.580099</v>
      </c>
      <c r="G15" s="1">
        <f>SUM(C15:D15)/SUM(C15:F15)</f>
        <v>0.37589426038385088</v>
      </c>
      <c r="H15" s="1">
        <f t="shared" si="1"/>
        <v>0.62410573961614924</v>
      </c>
      <c r="I15" s="7"/>
      <c r="N15" s="8"/>
    </row>
    <row r="16" spans="1:14" x14ac:dyDescent="0.3">
      <c r="A16" s="10" t="s">
        <v>183</v>
      </c>
      <c r="B16" s="30">
        <f t="shared" si="0"/>
        <v>26971148747.451611</v>
      </c>
      <c r="C16" s="4">
        <f>INDEX('1.1 Y_FR_imports'!$B$4:$B$203, MATCH(Summary!A16, '1.1 Y_FR_imports'!$A$4:$A$203, 0))</f>
        <v>204840430.25352201</v>
      </c>
      <c r="D16" s="4">
        <f>INDEX('1.2 Z_FR_imports'!$B$4:$B$203, MATCH(Summary!A16, '1.2 Z_FR_imports'!$A$4:$A$203, 0))</f>
        <v>2300562984.84794</v>
      </c>
      <c r="E16" s="4">
        <f>INDEX('2.1 Y_FR_production'!$B$4:$B$203, MATCH(Summary!A16, '2.1 Y_FR_production'!$A$4:$A$203, 0))</f>
        <v>6117657392.7469501</v>
      </c>
      <c r="F16" s="4">
        <f>INDEX('2.2 Z_FR_production'!$B$4:$B$203, MATCH(Summary!A16, '2.2 Z_FR_production'!$A$4:$A$203, 0))</f>
        <v>18348087939.603199</v>
      </c>
      <c r="G16" s="1">
        <f>SUM(C16:D16)/SUM(C16:F16)</f>
        <v>9.2891980188207102E-2</v>
      </c>
      <c r="H16" s="1">
        <f t="shared" si="1"/>
        <v>0.90710801981179301</v>
      </c>
      <c r="I16" s="7"/>
      <c r="N16" s="8"/>
    </row>
    <row r="17" spans="1:14" x14ac:dyDescent="0.3">
      <c r="A17" s="10" t="s">
        <v>161</v>
      </c>
      <c r="B17" s="30">
        <f t="shared" si="0"/>
        <v>26203113303.927811</v>
      </c>
      <c r="C17" s="4">
        <f>INDEX('1.1 Y_FR_imports'!$B$4:$B$203, MATCH(Summary!A17, '1.1 Y_FR_imports'!$A$4:$A$203, 0))</f>
        <v>5393016707.82759</v>
      </c>
      <c r="D17" s="4">
        <f>INDEX('1.2 Z_FR_imports'!$B$4:$B$203, MATCH(Summary!A17, '1.2 Z_FR_imports'!$A$4:$A$203, 0))</f>
        <v>8845865462.0852509</v>
      </c>
      <c r="E17" s="4">
        <f>INDEX('2.1 Y_FR_production'!$B$4:$B$203, MATCH(Summary!A17, '2.1 Y_FR_production'!$A$4:$A$203, 0))</f>
        <v>2111670537.46768</v>
      </c>
      <c r="F17" s="4">
        <f>INDEX('2.2 Z_FR_production'!$B$4:$B$203, MATCH(Summary!A17, '2.2 Z_FR_production'!$A$4:$A$203, 0))</f>
        <v>9852560596.5472908</v>
      </c>
      <c r="G17" s="1">
        <f>SUM(C17:D17)/SUM(C17:F17)</f>
        <v>0.54340421326111854</v>
      </c>
      <c r="H17" s="1">
        <f t="shared" si="1"/>
        <v>0.45659578673888146</v>
      </c>
      <c r="I17" s="7"/>
      <c r="N17" s="8"/>
    </row>
    <row r="18" spans="1:14" x14ac:dyDescent="0.3">
      <c r="A18" s="10" t="s">
        <v>145</v>
      </c>
      <c r="B18" s="30">
        <f t="shared" si="0"/>
        <v>25630480270.233772</v>
      </c>
      <c r="C18" s="4">
        <f>INDEX('1.1 Y_FR_imports'!$B$4:$B$203, MATCH(Summary!A18, '1.1 Y_FR_imports'!$A$4:$A$203, 0))</f>
        <v>1832547950.2392399</v>
      </c>
      <c r="D18" s="4">
        <f>INDEX('1.2 Z_FR_imports'!$B$4:$B$203, MATCH(Summary!A18, '1.2 Z_FR_imports'!$A$4:$A$203, 0))</f>
        <v>575398080.38491595</v>
      </c>
      <c r="E18" s="4">
        <f>INDEX('2.1 Y_FR_production'!$B$4:$B$203, MATCH(Summary!A18, '2.1 Y_FR_production'!$A$4:$A$203, 0))</f>
        <v>14216950404.7134</v>
      </c>
      <c r="F18" s="4">
        <f>INDEX('2.2 Z_FR_production'!$B$4:$B$203, MATCH(Summary!A18, '2.2 Z_FR_production'!$A$4:$A$203, 0))</f>
        <v>9005583834.8962193</v>
      </c>
      <c r="G18" s="1">
        <f>SUM(C18:D18)/SUM(C18:F18)</f>
        <v>9.3948533357006564E-2</v>
      </c>
      <c r="H18" s="1">
        <f t="shared" si="1"/>
        <v>0.90605146664299352</v>
      </c>
      <c r="I18" s="7"/>
      <c r="N18" s="8"/>
    </row>
    <row r="19" spans="1:14" x14ac:dyDescent="0.3">
      <c r="A19" s="10" t="s">
        <v>195</v>
      </c>
      <c r="B19" s="30">
        <f t="shared" si="0"/>
        <v>25266103905.238503</v>
      </c>
      <c r="C19" s="4">
        <f>INDEX('1.1 Y_FR_imports'!$B$4:$B$203, MATCH(Summary!A19, '1.1 Y_FR_imports'!$A$4:$A$203, 0))</f>
        <v>0</v>
      </c>
      <c r="D19" s="4">
        <f>INDEX('1.2 Z_FR_imports'!$B$4:$B$203, MATCH(Summary!A19, '1.2 Z_FR_imports'!$A$4:$A$203, 0))</f>
        <v>1880963108.04793</v>
      </c>
      <c r="E19" s="4">
        <f>INDEX('2.1 Y_FR_production'!$B$4:$B$203, MATCH(Summary!A19, '2.1 Y_FR_production'!$A$4:$A$203, 0))</f>
        <v>8506504797.8271704</v>
      </c>
      <c r="F19" s="4">
        <f>INDEX('2.2 Z_FR_production'!$B$4:$B$203, MATCH(Summary!A19, '2.2 Z_FR_production'!$A$4:$A$203, 0))</f>
        <v>14878635999.3634</v>
      </c>
      <c r="G19" s="1">
        <f>SUM(C19:D19)/SUM(C19:F19)</f>
        <v>7.444610831581136E-2</v>
      </c>
      <c r="H19" s="1">
        <f t="shared" si="1"/>
        <v>0.92555389168418856</v>
      </c>
      <c r="N19" s="8"/>
    </row>
    <row r="20" spans="1:14" x14ac:dyDescent="0.3">
      <c r="A20" s="10" t="s">
        <v>148</v>
      </c>
      <c r="B20" s="30">
        <f t="shared" si="0"/>
        <v>23395457793.333649</v>
      </c>
      <c r="C20" s="4">
        <f>INDEX('1.1 Y_FR_imports'!$B$4:$B$203, MATCH(Summary!A20, '1.1 Y_FR_imports'!$A$4:$A$203, 0))</f>
        <v>30673179.116432901</v>
      </c>
      <c r="D20" s="4">
        <f>INDEX('1.2 Z_FR_imports'!$B$4:$B$203, MATCH(Summary!A20, '1.2 Z_FR_imports'!$A$4:$A$203, 0))</f>
        <v>822951132.79217505</v>
      </c>
      <c r="E20" s="4">
        <f>INDEX('2.1 Y_FR_production'!$B$4:$B$203, MATCH(Summary!A20, '2.1 Y_FR_production'!$A$4:$A$203, 0))</f>
        <v>22476130011.358898</v>
      </c>
      <c r="F20" s="4">
        <f>INDEX('2.2 Z_FR_production'!$B$4:$B$203, MATCH(Summary!A20, '2.2 Z_FR_production'!$A$4:$A$203, 0))</f>
        <v>65703470.066142797</v>
      </c>
      <c r="G20" s="1">
        <f>SUM(C20:D20)/SUM(C20:F20)</f>
        <v>3.6486753943829282E-2</v>
      </c>
      <c r="H20" s="1">
        <f t="shared" si="1"/>
        <v>0.96351324605617072</v>
      </c>
      <c r="N20" s="8"/>
    </row>
    <row r="21" spans="1:14" x14ac:dyDescent="0.3">
      <c r="A21" s="10" t="s">
        <v>57</v>
      </c>
      <c r="B21" s="30">
        <f t="shared" si="0"/>
        <v>22737079270.266621</v>
      </c>
      <c r="C21" s="4">
        <f>INDEX('1.1 Y_FR_imports'!$B$4:$B$203, MATCH(Summary!A21, '1.1 Y_FR_imports'!$A$4:$A$203, 0))</f>
        <v>3437194109.42208</v>
      </c>
      <c r="D21" s="4">
        <f>INDEX('1.2 Z_FR_imports'!$B$4:$B$203, MATCH(Summary!A21, '1.2 Z_FR_imports'!$A$4:$A$203, 0))</f>
        <v>6638402889.45895</v>
      </c>
      <c r="E21" s="4">
        <f>INDEX('2.1 Y_FR_production'!$B$4:$B$203, MATCH(Summary!A21, '2.1 Y_FR_production'!$A$4:$A$203, 0))</f>
        <v>1557109381.11429</v>
      </c>
      <c r="F21" s="4">
        <f>INDEX('2.2 Z_FR_production'!$B$4:$B$203, MATCH(Summary!A21, '2.2 Z_FR_production'!$A$4:$A$203, 0))</f>
        <v>11104372890.271299</v>
      </c>
      <c r="G21" s="1">
        <f>SUM(C21:D21)/SUM(C21:F21)</f>
        <v>0.44313506053774171</v>
      </c>
      <c r="H21" s="1">
        <f t="shared" si="1"/>
        <v>0.55686493946225823</v>
      </c>
      <c r="N21" s="8"/>
    </row>
    <row r="22" spans="1:14" x14ac:dyDescent="0.3">
      <c r="A22" s="10" t="s">
        <v>118</v>
      </c>
      <c r="B22" s="30">
        <f t="shared" si="0"/>
        <v>22360832580.017719</v>
      </c>
      <c r="C22" s="4">
        <f>INDEX('1.1 Y_FR_imports'!$B$4:$B$203, MATCH(Summary!A22, '1.1 Y_FR_imports'!$A$4:$A$203, 0))</f>
        <v>3816903835.0556502</v>
      </c>
      <c r="D22" s="4">
        <f>INDEX('1.2 Z_FR_imports'!$B$4:$B$203, MATCH(Summary!A22, '1.2 Z_FR_imports'!$A$4:$A$203, 0))</f>
        <v>4795266823.13239</v>
      </c>
      <c r="E22" s="4">
        <f>INDEX('2.1 Y_FR_production'!$B$4:$B$203, MATCH(Summary!A22, '2.1 Y_FR_production'!$A$4:$A$203, 0))</f>
        <v>7230881100.4422102</v>
      </c>
      <c r="F22" s="4">
        <f>INDEX('2.2 Z_FR_production'!$B$4:$B$203, MATCH(Summary!A22, '2.2 Z_FR_production'!$A$4:$A$203, 0))</f>
        <v>6517780821.3874702</v>
      </c>
      <c r="G22" s="1">
        <f>SUM(C22:D22)/SUM(C22:F22)</f>
        <v>0.38514534856292076</v>
      </c>
      <c r="H22" s="1">
        <f t="shared" si="1"/>
        <v>0.61485465143707929</v>
      </c>
      <c r="K22" s="7"/>
      <c r="N22" s="8"/>
    </row>
    <row r="23" spans="1:14" x14ac:dyDescent="0.3">
      <c r="A23" s="10" t="s">
        <v>26</v>
      </c>
      <c r="B23" s="30">
        <f t="shared" si="0"/>
        <v>21095195640.19175</v>
      </c>
      <c r="C23" s="4">
        <f>INDEX('1.1 Y_FR_imports'!$B$4:$B$203, MATCH(Summary!A23, '1.1 Y_FR_imports'!$A$4:$A$203, 0))</f>
        <v>2310629402.52247</v>
      </c>
      <c r="D23" s="4">
        <f>INDEX('1.2 Z_FR_imports'!$B$4:$B$203, MATCH(Summary!A23, '1.2 Z_FR_imports'!$A$4:$A$203, 0))</f>
        <v>9242047504.5767899</v>
      </c>
      <c r="E23" s="4">
        <f>INDEX('2.1 Y_FR_production'!$B$4:$B$203, MATCH(Summary!A23, '2.1 Y_FR_production'!$A$4:$A$203, 0))</f>
        <v>1911854857.8366301</v>
      </c>
      <c r="F23" s="4">
        <f>INDEX('2.2 Z_FR_production'!$B$4:$B$203, MATCH(Summary!A23, '2.2 Z_FR_production'!$A$4:$A$203, 0))</f>
        <v>7630663875.2558603</v>
      </c>
      <c r="G23" s="1">
        <f>SUM(C23:D23)/SUM(C23:F23)</f>
        <v>0.54764492845415724</v>
      </c>
      <c r="H23" s="1">
        <f t="shared" si="1"/>
        <v>0.45235507154584287</v>
      </c>
      <c r="K23" s="7"/>
      <c r="N23" s="8"/>
    </row>
    <row r="24" spans="1:14" x14ac:dyDescent="0.3">
      <c r="A24" s="10" t="s">
        <v>68</v>
      </c>
      <c r="B24" s="30">
        <f t="shared" si="0"/>
        <v>19745320914.790722</v>
      </c>
      <c r="C24" s="4">
        <f>INDEX('1.1 Y_FR_imports'!$B$4:$B$203, MATCH(Summary!A24, '1.1 Y_FR_imports'!$A$4:$A$203, 0))</f>
        <v>9967051645.4773102</v>
      </c>
      <c r="D24" s="4">
        <f>INDEX('1.2 Z_FR_imports'!$B$4:$B$203, MATCH(Summary!A24, '1.2 Z_FR_imports'!$A$4:$A$203, 0))</f>
        <v>3526536430.9952002</v>
      </c>
      <c r="E24" s="4">
        <f>INDEX('2.1 Y_FR_production'!$B$4:$B$203, MATCH(Summary!A24, '2.1 Y_FR_production'!$A$4:$A$203, 0))</f>
        <v>4772351879.1930504</v>
      </c>
      <c r="F24" s="4">
        <f>INDEX('2.2 Z_FR_production'!$B$4:$B$203, MATCH(Summary!A24, '2.2 Z_FR_production'!$A$4:$A$203, 0))</f>
        <v>1479380959.12516</v>
      </c>
      <c r="G24" s="1">
        <f>SUM(C24:D24)/SUM(C24:F24)</f>
        <v>0.68338155326535133</v>
      </c>
      <c r="H24" s="1">
        <f t="shared" si="1"/>
        <v>0.31661844673464867</v>
      </c>
      <c r="K24" s="7"/>
      <c r="N24" s="8"/>
    </row>
    <row r="25" spans="1:14" x14ac:dyDescent="0.3">
      <c r="A25" s="10" t="s">
        <v>159</v>
      </c>
      <c r="B25" s="30">
        <f t="shared" si="0"/>
        <v>17558165425.681644</v>
      </c>
      <c r="C25" s="4">
        <f>INDEX('1.1 Y_FR_imports'!$B$4:$B$203, MATCH(Summary!A25, '1.1 Y_FR_imports'!$A$4:$A$203, 0))</f>
        <v>9684657.6924510393</v>
      </c>
      <c r="D25" s="4">
        <f>INDEX('1.2 Z_FR_imports'!$B$4:$B$203, MATCH(Summary!A25, '1.2 Z_FR_imports'!$A$4:$A$203, 0))</f>
        <v>607788061.01414394</v>
      </c>
      <c r="E25" s="4">
        <f>INDEX('2.1 Y_FR_production'!$B$4:$B$203, MATCH(Summary!A25, '2.1 Y_FR_production'!$A$4:$A$203, 0))</f>
        <v>15358481768.49</v>
      </c>
      <c r="F25" s="4">
        <f>INDEX('2.2 Z_FR_production'!$B$4:$B$203, MATCH(Summary!A25, '2.2 Z_FR_production'!$A$4:$A$203, 0))</f>
        <v>1582210938.48505</v>
      </c>
      <c r="G25" s="1">
        <f>SUM(C25:D25)/SUM(C25:F25)</f>
        <v>3.5167268546373399E-2</v>
      </c>
      <c r="H25" s="1">
        <f t="shared" si="1"/>
        <v>0.96483273145362658</v>
      </c>
      <c r="N25" s="8"/>
    </row>
    <row r="26" spans="1:14" x14ac:dyDescent="0.3">
      <c r="A26" s="10" t="s">
        <v>90</v>
      </c>
      <c r="B26" s="30">
        <f t="shared" si="0"/>
        <v>17172971349.15971</v>
      </c>
      <c r="C26" s="4">
        <f>INDEX('1.1 Y_FR_imports'!$B$4:$B$203, MATCH(Summary!A26, '1.1 Y_FR_imports'!$A$4:$A$203, 0))</f>
        <v>4328633793.6965504</v>
      </c>
      <c r="D26" s="4">
        <f>INDEX('1.2 Z_FR_imports'!$B$4:$B$203, MATCH(Summary!A26, '1.2 Z_FR_imports'!$A$4:$A$203, 0))</f>
        <v>3873963286.2735</v>
      </c>
      <c r="E26" s="4">
        <f>INDEX('2.1 Y_FR_production'!$B$4:$B$203, MATCH(Summary!A26, '2.1 Y_FR_production'!$A$4:$A$203, 0))</f>
        <v>4345326076.9369898</v>
      </c>
      <c r="F26" s="4">
        <f>INDEX('2.2 Z_FR_production'!$B$4:$B$203, MATCH(Summary!A26, '2.2 Z_FR_production'!$A$4:$A$203, 0))</f>
        <v>4625048192.2526703</v>
      </c>
      <c r="G26" s="1">
        <f>SUM(C26:D26)/SUM(C26:F26)</f>
        <v>0.47764576747933674</v>
      </c>
      <c r="H26" s="1">
        <f t="shared" si="1"/>
        <v>0.52235423252066326</v>
      </c>
      <c r="N26" s="8"/>
    </row>
    <row r="27" spans="1:14" x14ac:dyDescent="0.3">
      <c r="A27" s="10" t="s">
        <v>46</v>
      </c>
      <c r="B27" s="30">
        <f t="shared" si="0"/>
        <v>16055182921.663</v>
      </c>
      <c r="C27" s="4">
        <f>INDEX('1.1 Y_FR_imports'!$B$4:$B$203, MATCH(Summary!A27, '1.1 Y_FR_imports'!$A$4:$A$203, 0))</f>
        <v>0</v>
      </c>
      <c r="D27" s="4">
        <f>INDEX('1.2 Z_FR_imports'!$B$4:$B$203, MATCH(Summary!A27, '1.2 Z_FR_imports'!$A$4:$A$203, 0))</f>
        <v>1364397870.41834</v>
      </c>
      <c r="E27" s="4">
        <f>INDEX('2.1 Y_FR_production'!$B$4:$B$203, MATCH(Summary!A27, '2.1 Y_FR_production'!$A$4:$A$203, 0))</f>
        <v>1537003987.5002601</v>
      </c>
      <c r="F27" s="4">
        <f>INDEX('2.2 Z_FR_production'!$B$4:$B$203, MATCH(Summary!A27, '2.2 Z_FR_production'!$A$4:$A$203, 0))</f>
        <v>13153781063.7444</v>
      </c>
      <c r="G27" s="1">
        <f>SUM(C27:D27)/SUM(C27:F27)</f>
        <v>8.4981770502121148E-2</v>
      </c>
      <c r="H27" s="1">
        <f t="shared" si="1"/>
        <v>0.91501822949787881</v>
      </c>
      <c r="N27" s="8"/>
    </row>
    <row r="28" spans="1:14" x14ac:dyDescent="0.3">
      <c r="A28" s="10" t="s">
        <v>106</v>
      </c>
      <c r="B28" s="30">
        <f t="shared" si="0"/>
        <v>15684981404.15189</v>
      </c>
      <c r="C28" s="4">
        <f>INDEX('1.1 Y_FR_imports'!$B$4:$B$203, MATCH(Summary!A28, '1.1 Y_FR_imports'!$A$4:$A$203, 0))</f>
        <v>305021089.94917297</v>
      </c>
      <c r="D28" s="4">
        <f>INDEX('1.2 Z_FR_imports'!$B$4:$B$203, MATCH(Summary!A28, '1.2 Z_FR_imports'!$A$4:$A$203, 0))</f>
        <v>6445942648.5955896</v>
      </c>
      <c r="E28" s="4">
        <f>INDEX('2.1 Y_FR_production'!$B$4:$B$203, MATCH(Summary!A28, '2.1 Y_FR_production'!$A$4:$A$203, 0))</f>
        <v>8351073193.3256598</v>
      </c>
      <c r="F28" s="4">
        <f>INDEX('2.2 Z_FR_production'!$B$4:$B$203, MATCH(Summary!A28, '2.2 Z_FR_production'!$A$4:$A$203, 0))</f>
        <v>582944472.28146803</v>
      </c>
      <c r="G28" s="1">
        <f>SUM(C28:D28)/SUM(C28:F28)</f>
        <v>0.43040941934159704</v>
      </c>
      <c r="H28" s="1">
        <f t="shared" si="1"/>
        <v>0.56959058065840296</v>
      </c>
      <c r="N28" s="8"/>
    </row>
    <row r="29" spans="1:14" x14ac:dyDescent="0.3">
      <c r="A29" s="10" t="s">
        <v>113</v>
      </c>
      <c r="B29" s="30">
        <f t="shared" si="0"/>
        <v>15653604384.225189</v>
      </c>
      <c r="C29" s="4">
        <f>INDEX('1.1 Y_FR_imports'!$B$4:$B$203, MATCH(Summary!A29, '1.1 Y_FR_imports'!$A$4:$A$203, 0))</f>
        <v>630540035.37289906</v>
      </c>
      <c r="D29" s="4">
        <f>INDEX('1.2 Z_FR_imports'!$B$4:$B$203, MATCH(Summary!A29, '1.2 Z_FR_imports'!$A$4:$A$203, 0))</f>
        <v>5757462532.0998201</v>
      </c>
      <c r="E29" s="4">
        <f>INDEX('2.1 Y_FR_production'!$B$4:$B$203, MATCH(Summary!A29, '2.1 Y_FR_production'!$A$4:$A$203, 0))</f>
        <v>3320848902.6914401</v>
      </c>
      <c r="F29" s="4">
        <f>INDEX('2.2 Z_FR_production'!$B$4:$B$203, MATCH(Summary!A29, '2.2 Z_FR_production'!$A$4:$A$203, 0))</f>
        <v>5944752914.0610304</v>
      </c>
      <c r="G29" s="1">
        <f>SUM(C29:D29)/SUM(C29:F29)</f>
        <v>0.40808509086317424</v>
      </c>
      <c r="H29" s="1">
        <f t="shared" si="1"/>
        <v>0.59191490913682576</v>
      </c>
      <c r="N29" s="8"/>
    </row>
    <row r="30" spans="1:14" x14ac:dyDescent="0.3">
      <c r="A30" s="10" t="s">
        <v>71</v>
      </c>
      <c r="B30" s="30">
        <f t="shared" si="0"/>
        <v>14973723791.072821</v>
      </c>
      <c r="C30" s="4">
        <f>INDEX('1.1 Y_FR_imports'!$B$4:$B$203, MATCH(Summary!A30, '1.1 Y_FR_imports'!$A$4:$A$203, 0))</f>
        <v>1655932156.79807</v>
      </c>
      <c r="D30" s="4">
        <f>INDEX('1.2 Z_FR_imports'!$B$4:$B$203, MATCH(Summary!A30, '1.2 Z_FR_imports'!$A$4:$A$203, 0))</f>
        <v>4709759291.4492598</v>
      </c>
      <c r="E30" s="4">
        <f>INDEX('2.1 Y_FR_production'!$B$4:$B$203, MATCH(Summary!A30, '2.1 Y_FR_production'!$A$4:$A$203, 0))</f>
        <v>3839035473.3035102</v>
      </c>
      <c r="F30" s="4">
        <f>INDEX('2.2 Z_FR_production'!$B$4:$B$203, MATCH(Summary!A30, '2.2 Z_FR_production'!$A$4:$A$203, 0))</f>
        <v>4768996869.5219803</v>
      </c>
      <c r="G30" s="1">
        <f>SUM(C30:D30)/SUM(C30:F30)</f>
        <v>0.42512413993120995</v>
      </c>
      <c r="H30" s="1">
        <f t="shared" si="1"/>
        <v>0.57487586006878999</v>
      </c>
      <c r="N30" s="8"/>
    </row>
    <row r="31" spans="1:14" x14ac:dyDescent="0.3">
      <c r="A31" s="10" t="s">
        <v>39</v>
      </c>
      <c r="B31" s="30">
        <f t="shared" si="0"/>
        <v>14505644436.168079</v>
      </c>
      <c r="C31" s="4">
        <f>INDEX('1.1 Y_FR_imports'!$B$4:$B$203, MATCH(Summary!A31, '1.1 Y_FR_imports'!$A$4:$A$203, 0))</f>
        <v>0</v>
      </c>
      <c r="D31" s="4">
        <f>INDEX('1.2 Z_FR_imports'!$B$4:$B$203, MATCH(Summary!A31, '1.2 Z_FR_imports'!$A$4:$A$203, 0))</f>
        <v>0</v>
      </c>
      <c r="E31" s="4">
        <f>INDEX('2.1 Y_FR_production'!$B$4:$B$203, MATCH(Summary!A31, '2.1 Y_FR_production'!$A$4:$A$203, 0))</f>
        <v>6036993941.0573702</v>
      </c>
      <c r="F31" s="4">
        <f>INDEX('2.2 Z_FR_production'!$B$4:$B$203, MATCH(Summary!A31, '2.2 Z_FR_production'!$A$4:$A$203, 0))</f>
        <v>8468650495.1107101</v>
      </c>
      <c r="G31" s="1">
        <f>SUM(C31:D31)/SUM(C31:F31)</f>
        <v>0</v>
      </c>
      <c r="H31" s="1">
        <f t="shared" si="1"/>
        <v>1</v>
      </c>
      <c r="N31" s="8"/>
    </row>
    <row r="32" spans="1:14" x14ac:dyDescent="0.3">
      <c r="A32" s="10" t="s">
        <v>12</v>
      </c>
      <c r="B32" s="30">
        <f t="shared" si="0"/>
        <v>13295638274.500805</v>
      </c>
      <c r="C32" s="4">
        <f>INDEX('1.1 Y_FR_imports'!$B$4:$B$203, MATCH(Summary!A32, '1.1 Y_FR_imports'!$A$4:$A$203, 0))</f>
        <v>1236712448.02845</v>
      </c>
      <c r="D32" s="4">
        <f>INDEX('1.2 Z_FR_imports'!$B$4:$B$203, MATCH(Summary!A32, '1.2 Z_FR_imports'!$A$4:$A$203, 0))</f>
        <v>638240276.90105295</v>
      </c>
      <c r="E32" s="4">
        <f>INDEX('2.1 Y_FR_production'!$B$4:$B$203, MATCH(Summary!A32, '2.1 Y_FR_production'!$A$4:$A$203, 0))</f>
        <v>6230599418.6967402</v>
      </c>
      <c r="F32" s="4">
        <f>INDEX('2.2 Z_FR_production'!$B$4:$B$203, MATCH(Summary!A32, '2.2 Z_FR_production'!$A$4:$A$203, 0))</f>
        <v>5190086130.8745604</v>
      </c>
      <c r="G32" s="1">
        <f>SUM(C32:D32)/SUM(C32:F32)</f>
        <v>0.14102013654548673</v>
      </c>
      <c r="H32" s="1">
        <f t="shared" si="1"/>
        <v>0.85897986345451316</v>
      </c>
      <c r="N32" s="8"/>
    </row>
    <row r="33" spans="1:14" x14ac:dyDescent="0.3">
      <c r="A33" s="10" t="s">
        <v>40</v>
      </c>
      <c r="B33" s="30">
        <f t="shared" si="0"/>
        <v>12936908467.6385</v>
      </c>
      <c r="C33" s="4">
        <f>INDEX('1.1 Y_FR_imports'!$B$4:$B$203, MATCH(Summary!A33, '1.1 Y_FR_imports'!$A$4:$A$203, 0))</f>
        <v>0</v>
      </c>
      <c r="D33" s="4">
        <f>INDEX('1.2 Z_FR_imports'!$B$4:$B$203, MATCH(Summary!A33, '1.2 Z_FR_imports'!$A$4:$A$203, 0))</f>
        <v>0</v>
      </c>
      <c r="E33" s="4">
        <f>INDEX('2.1 Y_FR_production'!$B$4:$B$203, MATCH(Summary!A33, '2.1 Y_FR_production'!$A$4:$A$203, 0))</f>
        <v>4935339515.5857801</v>
      </c>
      <c r="F33" s="4">
        <f>INDEX('2.2 Z_FR_production'!$B$4:$B$203, MATCH(Summary!A33, '2.2 Z_FR_production'!$A$4:$A$203, 0))</f>
        <v>8001568952.0527201</v>
      </c>
      <c r="G33" s="1">
        <f>SUM(C33:D33)/SUM(C33:F33)</f>
        <v>0</v>
      </c>
      <c r="H33" s="1">
        <f t="shared" si="1"/>
        <v>1</v>
      </c>
      <c r="N33" s="8"/>
    </row>
    <row r="34" spans="1:14" x14ac:dyDescent="0.3">
      <c r="A34" s="10" t="s">
        <v>192</v>
      </c>
      <c r="B34" s="30">
        <f t="shared" si="0"/>
        <v>12869343599.462044</v>
      </c>
      <c r="C34" s="4">
        <f>INDEX('1.1 Y_FR_imports'!$B$4:$B$203, MATCH(Summary!A34, '1.1 Y_FR_imports'!$A$4:$A$203, 0))</f>
        <v>8889760068.1200294</v>
      </c>
      <c r="D34" s="4">
        <f>INDEX('1.2 Z_FR_imports'!$B$4:$B$203, MATCH(Summary!A34, '1.2 Z_FR_imports'!$A$4:$A$203, 0))</f>
        <v>2423817175.8902502</v>
      </c>
      <c r="E34" s="4">
        <f>INDEX('2.1 Y_FR_production'!$B$4:$B$203, MATCH(Summary!A34, '2.1 Y_FR_production'!$A$4:$A$203, 0))</f>
        <v>1306123376.75859</v>
      </c>
      <c r="F34" s="4">
        <f>INDEX('2.2 Z_FR_production'!$B$4:$B$203, MATCH(Summary!A34, '2.2 Z_FR_production'!$A$4:$A$203, 0))</f>
        <v>249642978.69317299</v>
      </c>
      <c r="G34" s="1">
        <f>SUM(C34:D34)/SUM(C34:F34)</f>
        <v>0.87911066765543533</v>
      </c>
      <c r="H34" s="1">
        <f t="shared" si="1"/>
        <v>0.12088933234456466</v>
      </c>
      <c r="N34" s="8"/>
    </row>
    <row r="35" spans="1:14" x14ac:dyDescent="0.3">
      <c r="A35" s="10" t="s">
        <v>196</v>
      </c>
      <c r="B35" s="30">
        <f t="shared" si="0"/>
        <v>12367583581.734779</v>
      </c>
      <c r="C35" s="4">
        <f>INDEX('1.1 Y_FR_imports'!$B$4:$B$203, MATCH(Summary!A35, '1.1 Y_FR_imports'!$A$4:$A$203, 0))</f>
        <v>366772609.59043801</v>
      </c>
      <c r="D35" s="4">
        <f>INDEX('1.2 Z_FR_imports'!$B$4:$B$203, MATCH(Summary!A35, '1.2 Z_FR_imports'!$A$4:$A$203, 0))</f>
        <v>4072518468.57094</v>
      </c>
      <c r="E35" s="4">
        <f>INDEX('2.1 Y_FR_production'!$B$4:$B$203, MATCH(Summary!A35, '2.1 Y_FR_production'!$A$4:$A$203, 0))</f>
        <v>1143440238.6503799</v>
      </c>
      <c r="F35" s="4">
        <f>INDEX('2.2 Z_FR_production'!$B$4:$B$203, MATCH(Summary!A35, '2.2 Z_FR_production'!$A$4:$A$203, 0))</f>
        <v>6784852264.9230204</v>
      </c>
      <c r="G35" s="1">
        <f>SUM(C35:D35)/SUM(C35:F35)</f>
        <v>0.35894571068172126</v>
      </c>
      <c r="H35" s="1">
        <f t="shared" si="1"/>
        <v>0.64105428931827868</v>
      </c>
      <c r="N35" s="8"/>
    </row>
    <row r="36" spans="1:14" x14ac:dyDescent="0.3">
      <c r="A36" s="10" t="s">
        <v>74</v>
      </c>
      <c r="B36" s="30">
        <f t="shared" si="0"/>
        <v>12286157857.041632</v>
      </c>
      <c r="C36" s="4">
        <f>INDEX('1.1 Y_FR_imports'!$B$4:$B$203, MATCH(Summary!A36, '1.1 Y_FR_imports'!$A$4:$A$203, 0))</f>
        <v>3047621.4885599199</v>
      </c>
      <c r="D36" s="4">
        <f>INDEX('1.2 Z_FR_imports'!$B$4:$B$203, MATCH(Summary!A36, '1.2 Z_FR_imports'!$A$4:$A$203, 0))</f>
        <v>460788700.66713899</v>
      </c>
      <c r="E36" s="4">
        <f>INDEX('2.1 Y_FR_production'!$B$4:$B$203, MATCH(Summary!A36, '2.1 Y_FR_production'!$A$4:$A$203, 0))</f>
        <v>11417406953.4203</v>
      </c>
      <c r="F36" s="4">
        <f>INDEX('2.2 Z_FR_production'!$B$4:$B$203, MATCH(Summary!A36, '2.2 Z_FR_production'!$A$4:$A$203, 0))</f>
        <v>404914581.46563399</v>
      </c>
      <c r="G36" s="1">
        <f>SUM(C36:D36)/SUM(C36:F36)</f>
        <v>3.7752756195449488E-2</v>
      </c>
      <c r="H36" s="1">
        <f t="shared" si="1"/>
        <v>0.96224724380455051</v>
      </c>
      <c r="N36" s="8"/>
    </row>
    <row r="37" spans="1:14" x14ac:dyDescent="0.3">
      <c r="A37" s="10" t="s">
        <v>151</v>
      </c>
      <c r="B37" s="30">
        <f t="shared" si="0"/>
        <v>11797568381.135378</v>
      </c>
      <c r="C37" s="4">
        <f>INDEX('1.1 Y_FR_imports'!$B$4:$B$203, MATCH(Summary!A37, '1.1 Y_FR_imports'!$A$4:$A$203, 0))</f>
        <v>255000444.139889</v>
      </c>
      <c r="D37" s="4">
        <f>INDEX('1.2 Z_FR_imports'!$B$4:$B$203, MATCH(Summary!A37, '1.2 Z_FR_imports'!$A$4:$A$203, 0))</f>
        <v>2398483222.95155</v>
      </c>
      <c r="E37" s="4">
        <f>INDEX('2.1 Y_FR_production'!$B$4:$B$203, MATCH(Summary!A37, '2.1 Y_FR_production'!$A$4:$A$203, 0))</f>
        <v>6250421034.2156296</v>
      </c>
      <c r="F37" s="4">
        <f>INDEX('2.2 Z_FR_production'!$B$4:$B$203, MATCH(Summary!A37, '2.2 Z_FR_production'!$A$4:$A$203, 0))</f>
        <v>2893663679.82831</v>
      </c>
      <c r="G37" s="1">
        <f>SUM(C37:D37)/SUM(C37:F37)</f>
        <v>0.22491784589563638</v>
      </c>
      <c r="H37" s="1">
        <f t="shared" si="1"/>
        <v>0.77508215410436365</v>
      </c>
      <c r="N37" s="8"/>
    </row>
    <row r="38" spans="1:14" x14ac:dyDescent="0.3">
      <c r="A38" s="10" t="s">
        <v>23</v>
      </c>
      <c r="B38" s="30">
        <f t="shared" si="0"/>
        <v>11750599942.453197</v>
      </c>
      <c r="C38" s="4">
        <f>INDEX('1.1 Y_FR_imports'!$B$4:$B$203, MATCH(Summary!A38, '1.1 Y_FR_imports'!$A$4:$A$203, 0))</f>
        <v>1592082.2169271801</v>
      </c>
      <c r="D38" s="4">
        <f>INDEX('1.2 Z_FR_imports'!$B$4:$B$203, MATCH(Summary!A38, '1.2 Z_FR_imports'!$A$4:$A$203, 0))</f>
        <v>582938879.60404897</v>
      </c>
      <c r="E38" s="4">
        <f>INDEX('2.1 Y_FR_production'!$B$4:$B$203, MATCH(Summary!A38, '2.1 Y_FR_production'!$A$4:$A$203, 0))</f>
        <v>1165651824.81002</v>
      </c>
      <c r="F38" s="4">
        <f>INDEX('2.2 Z_FR_production'!$B$4:$B$203, MATCH(Summary!A38, '2.2 Z_FR_production'!$A$4:$A$203, 0))</f>
        <v>10000417155.822201</v>
      </c>
      <c r="G38" s="1">
        <f>SUM(C38:D38)/SUM(C38:F38)</f>
        <v>4.9744775984513892E-2</v>
      </c>
      <c r="H38" s="1">
        <f t="shared" si="1"/>
        <v>0.95025522401548612</v>
      </c>
      <c r="N38" s="8"/>
    </row>
    <row r="39" spans="1:14" x14ac:dyDescent="0.3">
      <c r="A39" s="10" t="s">
        <v>153</v>
      </c>
      <c r="B39" s="30">
        <f t="shared" si="0"/>
        <v>11368432203.999323</v>
      </c>
      <c r="C39" s="4">
        <f>INDEX('1.1 Y_FR_imports'!$B$4:$B$203, MATCH(Summary!A39, '1.1 Y_FR_imports'!$A$4:$A$203, 0))</f>
        <v>24726264.732432202</v>
      </c>
      <c r="D39" s="4">
        <f>INDEX('1.2 Z_FR_imports'!$B$4:$B$203, MATCH(Summary!A39, '1.2 Z_FR_imports'!$A$4:$A$203, 0))</f>
        <v>1625656766.8231101</v>
      </c>
      <c r="E39" s="4">
        <f>INDEX('2.1 Y_FR_production'!$B$4:$B$203, MATCH(Summary!A39, '2.1 Y_FR_production'!$A$4:$A$203, 0))</f>
        <v>7827910268.5124998</v>
      </c>
      <c r="F39" s="4">
        <f>INDEX('2.2 Z_FR_production'!$B$4:$B$203, MATCH(Summary!A39, '2.2 Z_FR_production'!$A$4:$A$203, 0))</f>
        <v>1890138903.9312799</v>
      </c>
      <c r="G39" s="1">
        <f>SUM(C39:D39)/SUM(C39:F39)</f>
        <v>0.1451724390787105</v>
      </c>
      <c r="H39" s="1">
        <f t="shared" si="1"/>
        <v>0.85482756092128931</v>
      </c>
      <c r="N39" s="8"/>
    </row>
    <row r="40" spans="1:14" x14ac:dyDescent="0.3">
      <c r="A40" s="10" t="s">
        <v>37</v>
      </c>
      <c r="B40" s="30">
        <f t="shared" si="0"/>
        <v>11052233130.086731</v>
      </c>
      <c r="C40" s="4">
        <f>INDEX('1.1 Y_FR_imports'!$B$4:$B$203, MATCH(Summary!A40, '1.1 Y_FR_imports'!$A$4:$A$203, 0))</f>
        <v>3.7084151007204402E-4</v>
      </c>
      <c r="D40" s="4">
        <f>INDEX('1.2 Z_FR_imports'!$B$4:$B$203, MATCH(Summary!A40, '1.2 Z_FR_imports'!$A$4:$A$203, 0))</f>
        <v>10685797725.369801</v>
      </c>
      <c r="E40" s="4">
        <f>INDEX('2.1 Y_FR_production'!$B$4:$B$203, MATCH(Summary!A40, '2.1 Y_FR_production'!$A$4:$A$203, 0))</f>
        <v>581034.54116745899</v>
      </c>
      <c r="F40" s="4">
        <f>INDEX('2.2 Z_FR_production'!$B$4:$B$203, MATCH(Summary!A40, '2.2 Z_FR_production'!$A$4:$A$203, 0))</f>
        <v>365854370.17539197</v>
      </c>
      <c r="G40" s="1">
        <f>SUM(C40:D40)/SUM(C40:F40)</f>
        <v>0.96684512528793498</v>
      </c>
      <c r="H40" s="1">
        <f t="shared" si="1"/>
        <v>3.3154874712064984E-2</v>
      </c>
      <c r="N40" s="8"/>
    </row>
    <row r="41" spans="1:14" x14ac:dyDescent="0.3">
      <c r="A41" s="10" t="s">
        <v>32</v>
      </c>
      <c r="B41" s="30">
        <f t="shared" si="0"/>
        <v>10886966966.860552</v>
      </c>
      <c r="C41" s="4">
        <f>INDEX('1.1 Y_FR_imports'!$B$4:$B$203, MATCH(Summary!A41, '1.1 Y_FR_imports'!$A$4:$A$203, 0))</f>
        <v>1600592321.4521999</v>
      </c>
      <c r="D41" s="4">
        <f>INDEX('1.2 Z_FR_imports'!$B$4:$B$203, MATCH(Summary!A41, '1.2 Z_FR_imports'!$A$4:$A$203, 0))</f>
        <v>400391196.18447202</v>
      </c>
      <c r="E41" s="4">
        <f>INDEX('2.1 Y_FR_production'!$B$4:$B$203, MATCH(Summary!A41, '2.1 Y_FR_production'!$A$4:$A$203, 0))</f>
        <v>5038653056.7794304</v>
      </c>
      <c r="F41" s="4">
        <f>INDEX('2.2 Z_FR_production'!$B$4:$B$203, MATCH(Summary!A41, '2.2 Z_FR_production'!$A$4:$A$203, 0))</f>
        <v>3847330392.4444499</v>
      </c>
      <c r="G41" s="1">
        <f>SUM(C41:D41)/SUM(C41:F41)</f>
        <v>0.18379623303051967</v>
      </c>
      <c r="H41" s="1">
        <f t="shared" si="1"/>
        <v>0.81620376696948038</v>
      </c>
      <c r="N41" s="8"/>
    </row>
    <row r="42" spans="1:14" x14ac:dyDescent="0.3">
      <c r="A42" s="10" t="s">
        <v>154</v>
      </c>
      <c r="B42" s="30">
        <f t="shared" si="0"/>
        <v>10771282563.151134</v>
      </c>
      <c r="C42" s="4">
        <f>INDEX('1.1 Y_FR_imports'!$B$4:$B$203, MATCH(Summary!A42, '1.1 Y_FR_imports'!$A$4:$A$203, 0))</f>
        <v>512766314.93212301</v>
      </c>
      <c r="D42" s="4">
        <f>INDEX('1.2 Z_FR_imports'!$B$4:$B$203, MATCH(Summary!A42, '1.2 Z_FR_imports'!$A$4:$A$203, 0))</f>
        <v>383154160.51093203</v>
      </c>
      <c r="E42" s="4">
        <f>INDEX('2.1 Y_FR_production'!$B$4:$B$203, MATCH(Summary!A42, '2.1 Y_FR_production'!$A$4:$A$203, 0))</f>
        <v>6955600703.5770197</v>
      </c>
      <c r="F42" s="4">
        <f>INDEX('2.2 Z_FR_production'!$B$4:$B$203, MATCH(Summary!A42, '2.2 Z_FR_production'!$A$4:$A$203, 0))</f>
        <v>2919761384.1310601</v>
      </c>
      <c r="G42" s="1">
        <f>SUM(C42:D42)/SUM(C42:F42)</f>
        <v>8.3176768429418485E-2</v>
      </c>
      <c r="H42" s="1">
        <f t="shared" si="1"/>
        <v>0.91682323157058165</v>
      </c>
      <c r="N42" s="6"/>
    </row>
    <row r="43" spans="1:14" x14ac:dyDescent="0.3">
      <c r="A43" s="10" t="s">
        <v>97</v>
      </c>
      <c r="B43" s="30">
        <f t="shared" si="0"/>
        <v>10705853007.77132</v>
      </c>
      <c r="C43" s="4">
        <f>INDEX('1.1 Y_FR_imports'!$B$4:$B$203, MATCH(Summary!A43, '1.1 Y_FR_imports'!$A$4:$A$203, 0))</f>
        <v>3189146677.39505</v>
      </c>
      <c r="D43" s="4">
        <f>INDEX('1.2 Z_FR_imports'!$B$4:$B$203, MATCH(Summary!A43, '1.2 Z_FR_imports'!$A$4:$A$203, 0))</f>
        <v>1031344869.56223</v>
      </c>
      <c r="E43" s="4">
        <f>INDEX('2.1 Y_FR_production'!$B$4:$B$203, MATCH(Summary!A43, '2.1 Y_FR_production'!$A$4:$A$203, 0))</f>
        <v>3941599335.50776</v>
      </c>
      <c r="F43" s="4">
        <f>INDEX('2.2 Z_FR_production'!$B$4:$B$203, MATCH(Summary!A43, '2.2 Z_FR_production'!$A$4:$A$203, 0))</f>
        <v>2543762125.3062801</v>
      </c>
      <c r="G43" s="1">
        <f>SUM(C43:D43)/SUM(C43:F43)</f>
        <v>0.39422281848010132</v>
      </c>
      <c r="H43" s="1">
        <f t="shared" si="1"/>
        <v>0.60577718151989868</v>
      </c>
    </row>
    <row r="44" spans="1:14" x14ac:dyDescent="0.3">
      <c r="A44" s="10" t="s">
        <v>21</v>
      </c>
      <c r="B44" s="30">
        <f t="shared" si="0"/>
        <v>10605085767.028364</v>
      </c>
      <c r="C44" s="4">
        <f>INDEX('1.1 Y_FR_imports'!$B$4:$B$203, MATCH(Summary!A44, '1.1 Y_FR_imports'!$A$4:$A$203, 0))</f>
        <v>1258772.2571036599</v>
      </c>
      <c r="D44" s="4">
        <f>INDEX('1.2 Z_FR_imports'!$B$4:$B$203, MATCH(Summary!A44, '1.2 Z_FR_imports'!$A$4:$A$203, 0))</f>
        <v>1722733453.1811399</v>
      </c>
      <c r="E44" s="4">
        <f>INDEX('2.1 Y_FR_production'!$B$4:$B$203, MATCH(Summary!A44, '2.1 Y_FR_production'!$A$4:$A$203, 0))</f>
        <v>50702416.077180699</v>
      </c>
      <c r="F44" s="4">
        <f>INDEX('2.2 Z_FR_production'!$B$4:$B$203, MATCH(Summary!A44, '2.2 Z_FR_production'!$A$4:$A$203, 0))</f>
        <v>8830391125.5129395</v>
      </c>
      <c r="G44" s="1">
        <f>SUM(C44:D44)/SUM(C44:F44)</f>
        <v>0.16256278009539576</v>
      </c>
      <c r="H44" s="1">
        <f t="shared" si="1"/>
        <v>0.83743721990460418</v>
      </c>
    </row>
    <row r="45" spans="1:14" x14ac:dyDescent="0.3">
      <c r="A45" s="10" t="s">
        <v>158</v>
      </c>
      <c r="B45" s="30">
        <f t="shared" si="0"/>
        <v>9892556037.7188396</v>
      </c>
      <c r="C45" s="4">
        <f>INDEX('1.1 Y_FR_imports'!$B$4:$B$203, MATCH(Summary!A45, '1.1 Y_FR_imports'!$A$4:$A$203, 0))</f>
        <v>3552201175.7938499</v>
      </c>
      <c r="D45" s="4">
        <f>INDEX('1.2 Z_FR_imports'!$B$4:$B$203, MATCH(Summary!A45, '1.2 Z_FR_imports'!$A$4:$A$203, 0))</f>
        <v>25964744.014925301</v>
      </c>
      <c r="E45" s="4">
        <f>INDEX('2.1 Y_FR_production'!$B$4:$B$203, MATCH(Summary!A45, '2.1 Y_FR_production'!$A$4:$A$203, 0))</f>
        <v>5680051380.4317999</v>
      </c>
      <c r="F45" s="4">
        <f>INDEX('2.2 Z_FR_production'!$B$4:$B$203, MATCH(Summary!A45, '2.2 Z_FR_production'!$A$4:$A$203, 0))</f>
        <v>634338737.47826302</v>
      </c>
      <c r="G45" s="1">
        <f>SUM(C45:D45)/SUM(C45:F45)</f>
        <v>0.36170287094313774</v>
      </c>
      <c r="H45" s="1">
        <f t="shared" si="1"/>
        <v>0.63829712905686209</v>
      </c>
    </row>
    <row r="46" spans="1:14" x14ac:dyDescent="0.3">
      <c r="A46" s="10" t="s">
        <v>41</v>
      </c>
      <c r="B46" s="30">
        <f t="shared" si="0"/>
        <v>9440337057.7148113</v>
      </c>
      <c r="C46" s="4">
        <f>INDEX('1.1 Y_FR_imports'!$B$4:$B$203, MATCH(Summary!A46, '1.1 Y_FR_imports'!$A$4:$A$203, 0))</f>
        <v>32681306.351228502</v>
      </c>
      <c r="D46" s="4">
        <f>INDEX('1.2 Z_FR_imports'!$B$4:$B$203, MATCH(Summary!A46, '1.2 Z_FR_imports'!$A$4:$A$203, 0))</f>
        <v>672538614.11242294</v>
      </c>
      <c r="E46" s="4">
        <f>INDEX('2.1 Y_FR_production'!$B$4:$B$203, MATCH(Summary!A46, '2.1 Y_FR_production'!$A$4:$A$203, 0))</f>
        <v>7232638235.5899296</v>
      </c>
      <c r="F46" s="4">
        <f>INDEX('2.2 Z_FR_production'!$B$4:$B$203, MATCH(Summary!A46, '2.2 Z_FR_production'!$A$4:$A$203, 0))</f>
        <v>1502478901.6612301</v>
      </c>
      <c r="G46" s="1">
        <f>SUM(C46:D46)/SUM(C46:F46)</f>
        <v>7.4702832764570959E-2</v>
      </c>
      <c r="H46" s="1">
        <f t="shared" si="1"/>
        <v>0.92529716723542899</v>
      </c>
    </row>
    <row r="47" spans="1:14" x14ac:dyDescent="0.3">
      <c r="A47" s="10" t="s">
        <v>193</v>
      </c>
      <c r="B47" s="30">
        <f t="shared" si="0"/>
        <v>9011099245.57164</v>
      </c>
      <c r="C47" s="4">
        <f>INDEX('1.1 Y_FR_imports'!$B$4:$B$203, MATCH(Summary!A47, '1.1 Y_FR_imports'!$A$4:$A$203, 0))</f>
        <v>23793506.061471701</v>
      </c>
      <c r="D47" s="4">
        <f>INDEX('1.2 Z_FR_imports'!$B$4:$B$203, MATCH(Summary!A47, '1.2 Z_FR_imports'!$A$4:$A$203, 0))</f>
        <v>156389157.11063799</v>
      </c>
      <c r="E47" s="4">
        <f>INDEX('2.1 Y_FR_production'!$B$4:$B$203, MATCH(Summary!A47, '2.1 Y_FR_production'!$A$4:$A$203, 0))</f>
        <v>1114130685.1140101</v>
      </c>
      <c r="F47" s="4">
        <f>INDEX('2.2 Z_FR_production'!$B$4:$B$203, MATCH(Summary!A47, '2.2 Z_FR_production'!$A$4:$A$203, 0))</f>
        <v>7716785897.2855196</v>
      </c>
      <c r="G47" s="1">
        <f>SUM(C47:D47)/SUM(C47:F47)</f>
        <v>1.9995636299384625E-2</v>
      </c>
      <c r="H47" s="1">
        <f t="shared" si="1"/>
        <v>0.98000436370061539</v>
      </c>
    </row>
    <row r="48" spans="1:14" x14ac:dyDescent="0.3">
      <c r="A48" s="10" t="s">
        <v>184</v>
      </c>
      <c r="B48" s="30">
        <f t="shared" si="0"/>
        <v>8759415224.0060635</v>
      </c>
      <c r="C48" s="4">
        <f>INDEX('1.1 Y_FR_imports'!$B$4:$B$203, MATCH(Summary!A48, '1.1 Y_FR_imports'!$A$4:$A$203, 0))</f>
        <v>3349935763.54247</v>
      </c>
      <c r="D48" s="4">
        <f>INDEX('1.2 Z_FR_imports'!$B$4:$B$203, MATCH(Summary!A48, '1.2 Z_FR_imports'!$A$4:$A$203, 0))</f>
        <v>3411708600.7011399</v>
      </c>
      <c r="E48" s="4">
        <f>INDEX('2.1 Y_FR_production'!$B$4:$B$203, MATCH(Summary!A48, '2.1 Y_FR_production'!$A$4:$A$203, 0))</f>
        <v>518525043.36235201</v>
      </c>
      <c r="F48" s="4">
        <f>INDEX('2.2 Z_FR_production'!$B$4:$B$203, MATCH(Summary!A48, '2.2 Z_FR_production'!$A$4:$A$203, 0))</f>
        <v>1479245816.4001</v>
      </c>
      <c r="G48" s="1">
        <f>SUM(C48:D48)/SUM(C48:F48)</f>
        <v>0.77192874082651541</v>
      </c>
      <c r="H48" s="1">
        <f t="shared" si="1"/>
        <v>0.22807125917348445</v>
      </c>
    </row>
    <row r="49" spans="1:8" x14ac:dyDescent="0.3">
      <c r="A49" s="10" t="s">
        <v>86</v>
      </c>
      <c r="B49" s="30">
        <f t="shared" si="0"/>
        <v>8209128396.3047333</v>
      </c>
      <c r="C49" s="4">
        <f>INDEX('1.1 Y_FR_imports'!$B$4:$B$203, MATCH(Summary!A49, '1.1 Y_FR_imports'!$A$4:$A$203, 0))</f>
        <v>3896101546.29849</v>
      </c>
      <c r="D49" s="4">
        <f>INDEX('1.2 Z_FR_imports'!$B$4:$B$203, MATCH(Summary!A49, '1.2 Z_FR_imports'!$A$4:$A$203, 0))</f>
        <v>768167991.47796297</v>
      </c>
      <c r="E49" s="4">
        <f>INDEX('2.1 Y_FR_production'!$B$4:$B$203, MATCH(Summary!A49, '2.1 Y_FR_production'!$A$4:$A$203, 0))</f>
        <v>1628640824.9178801</v>
      </c>
      <c r="F49" s="4">
        <f>INDEX('2.2 Z_FR_production'!$B$4:$B$203, MATCH(Summary!A49, '2.2 Z_FR_production'!$A$4:$A$203, 0))</f>
        <v>1916218033.6104</v>
      </c>
      <c r="G49" s="1">
        <f>SUM(C49:D49)/SUM(C49:F49)</f>
        <v>0.5681808485144455</v>
      </c>
      <c r="H49" s="1">
        <f t="shared" si="1"/>
        <v>0.43181915148555444</v>
      </c>
    </row>
    <row r="50" spans="1:8" x14ac:dyDescent="0.3">
      <c r="A50" s="10" t="s">
        <v>4</v>
      </c>
      <c r="B50" s="30">
        <f t="shared" si="0"/>
        <v>7687347075.5773916</v>
      </c>
      <c r="C50" s="4">
        <f>INDEX('1.1 Y_FR_imports'!$B$4:$B$203, MATCH(Summary!A50, '1.1 Y_FR_imports'!$A$4:$A$203, 0))</f>
        <v>18770429.4970074</v>
      </c>
      <c r="D50" s="4">
        <f>INDEX('1.2 Z_FR_imports'!$B$4:$B$203, MATCH(Summary!A50, '1.2 Z_FR_imports'!$A$4:$A$203, 0))</f>
        <v>5356506565.0960197</v>
      </c>
      <c r="E50" s="4">
        <f>INDEX('2.1 Y_FR_production'!$B$4:$B$203, MATCH(Summary!A50, '2.1 Y_FR_production'!$A$4:$A$203, 0))</f>
        <v>80326582.284104601</v>
      </c>
      <c r="F50" s="4">
        <f>INDEX('2.2 Z_FR_production'!$B$4:$B$203, MATCH(Summary!A50, '2.2 Z_FR_production'!$A$4:$A$203, 0))</f>
        <v>2231743498.7002602</v>
      </c>
      <c r="G50" s="1">
        <f>SUM(C50:D50)/SUM(C50:F50)</f>
        <v>0.6992369333329852</v>
      </c>
      <c r="H50" s="1">
        <f t="shared" si="1"/>
        <v>0.30076306666701491</v>
      </c>
    </row>
    <row r="51" spans="1:8" x14ac:dyDescent="0.3">
      <c r="A51" s="10" t="s">
        <v>157</v>
      </c>
      <c r="B51" s="30">
        <f t="shared" si="0"/>
        <v>7496515749.0567446</v>
      </c>
      <c r="C51" s="4">
        <f>INDEX('1.1 Y_FR_imports'!$B$4:$B$203, MATCH(Summary!A51, '1.1 Y_FR_imports'!$A$4:$A$203, 0))</f>
        <v>3844323.5311372201</v>
      </c>
      <c r="D51" s="4">
        <f>INDEX('1.2 Z_FR_imports'!$B$4:$B$203, MATCH(Summary!A51, '1.2 Z_FR_imports'!$A$4:$A$203, 0))</f>
        <v>446405759.393071</v>
      </c>
      <c r="E51" s="4">
        <f>INDEX('2.1 Y_FR_production'!$B$4:$B$203, MATCH(Summary!A51, '2.1 Y_FR_production'!$A$4:$A$203, 0))</f>
        <v>648363049.28067601</v>
      </c>
      <c r="F51" s="4">
        <f>INDEX('2.2 Z_FR_production'!$B$4:$B$203, MATCH(Summary!A51, '2.2 Z_FR_production'!$A$4:$A$203, 0))</f>
        <v>6397902616.85186</v>
      </c>
      <c r="G51" s="1">
        <f>SUM(C51:D51)/SUM(C51:F51)</f>
        <v>6.0061246850693445E-2</v>
      </c>
      <c r="H51" s="1">
        <f t="shared" si="1"/>
        <v>0.93993875314930653</v>
      </c>
    </row>
    <row r="52" spans="1:8" x14ac:dyDescent="0.3">
      <c r="A52" s="10" t="s">
        <v>191</v>
      </c>
      <c r="B52" s="30">
        <f t="shared" si="0"/>
        <v>7212170944.8320665</v>
      </c>
      <c r="C52" s="4">
        <f>INDEX('1.1 Y_FR_imports'!$B$4:$B$203, MATCH(Summary!A52, '1.1 Y_FR_imports'!$A$4:$A$203, 0))</f>
        <v>3171719906.1089902</v>
      </c>
      <c r="D52" s="4">
        <f>INDEX('1.2 Z_FR_imports'!$B$4:$B$203, MATCH(Summary!A52, '1.2 Z_FR_imports'!$A$4:$A$203, 0))</f>
        <v>315468735.240466</v>
      </c>
      <c r="E52" s="4">
        <f>INDEX('2.1 Y_FR_production'!$B$4:$B$203, MATCH(Summary!A52, '2.1 Y_FR_production'!$A$4:$A$203, 0))</f>
        <v>1661635019.1036401</v>
      </c>
      <c r="F52" s="4">
        <f>INDEX('2.2 Z_FR_production'!$B$4:$B$203, MATCH(Summary!A52, '2.2 Z_FR_production'!$A$4:$A$203, 0))</f>
        <v>2063347284.3789699</v>
      </c>
      <c r="G52" s="1">
        <f>SUM(C52:D52)/SUM(C52:F52)</f>
        <v>0.48351441861596844</v>
      </c>
      <c r="H52" s="1">
        <f t="shared" si="1"/>
        <v>0.51648558138403156</v>
      </c>
    </row>
    <row r="53" spans="1:8" x14ac:dyDescent="0.3">
      <c r="A53" s="10" t="s">
        <v>28</v>
      </c>
      <c r="B53" s="30">
        <f t="shared" si="0"/>
        <v>6805435805.3768682</v>
      </c>
      <c r="C53" s="4">
        <f>INDEX('1.1 Y_FR_imports'!$B$4:$B$203, MATCH(Summary!A53, '1.1 Y_FR_imports'!$A$4:$A$203, 0))</f>
        <v>15662228.394270699</v>
      </c>
      <c r="D53" s="4">
        <f>INDEX('1.2 Z_FR_imports'!$B$4:$B$203, MATCH(Summary!A53, '1.2 Z_FR_imports'!$A$4:$A$203, 0))</f>
        <v>1285598052.4466701</v>
      </c>
      <c r="E53" s="4">
        <f>INDEX('2.1 Y_FR_production'!$B$4:$B$203, MATCH(Summary!A53, '2.1 Y_FR_production'!$A$4:$A$203, 0))</f>
        <v>117751792.510398</v>
      </c>
      <c r="F53" s="4">
        <f>INDEX('2.2 Z_FR_production'!$B$4:$B$203, MATCH(Summary!A53, '2.2 Z_FR_production'!$A$4:$A$203, 0))</f>
        <v>5386423732.0255299</v>
      </c>
      <c r="G53" s="1">
        <f>SUM(C53:D53)/SUM(C53:F53)</f>
        <v>0.19120895678904726</v>
      </c>
      <c r="H53" s="1">
        <f t="shared" si="1"/>
        <v>0.80879104321095274</v>
      </c>
    </row>
    <row r="54" spans="1:8" x14ac:dyDescent="0.3">
      <c r="A54" s="10" t="s">
        <v>107</v>
      </c>
      <c r="B54" s="30">
        <f t="shared" si="0"/>
        <v>6748603616.9057617</v>
      </c>
      <c r="C54" s="4">
        <f>INDEX('1.1 Y_FR_imports'!$B$4:$B$203, MATCH(Summary!A54, '1.1 Y_FR_imports'!$A$4:$A$203, 0))</f>
        <v>59137265.781791203</v>
      </c>
      <c r="D54" s="4">
        <f>INDEX('1.2 Z_FR_imports'!$B$4:$B$203, MATCH(Summary!A54, '1.2 Z_FR_imports'!$A$4:$A$203, 0))</f>
        <v>1226884432.03828</v>
      </c>
      <c r="E54" s="4">
        <f>INDEX('2.1 Y_FR_production'!$B$4:$B$203, MATCH(Summary!A54, '2.1 Y_FR_production'!$A$4:$A$203, 0))</f>
        <v>1080245264.9679</v>
      </c>
      <c r="F54" s="4">
        <f>INDEX('2.2 Z_FR_production'!$B$4:$B$203, MATCH(Summary!A54, '2.2 Z_FR_production'!$A$4:$A$203, 0))</f>
        <v>4382336654.1177902</v>
      </c>
      <c r="G54" s="1">
        <f>SUM(C54:D54)/SUM(C54:F54)</f>
        <v>0.19056115469554172</v>
      </c>
      <c r="H54" s="1">
        <f t="shared" si="1"/>
        <v>0.80943884530445831</v>
      </c>
    </row>
    <row r="55" spans="1:8" x14ac:dyDescent="0.3">
      <c r="A55" s="10" t="s">
        <v>83</v>
      </c>
      <c r="B55" s="30">
        <f t="shared" si="0"/>
        <v>6424018732.9254398</v>
      </c>
      <c r="C55" s="4">
        <f>INDEX('1.1 Y_FR_imports'!$B$4:$B$203, MATCH(Summary!A55, '1.1 Y_FR_imports'!$A$4:$A$203, 0))</f>
        <v>9.4844666199611204E-4</v>
      </c>
      <c r="D55" s="4">
        <f>INDEX('1.2 Z_FR_imports'!$B$4:$B$203, MATCH(Summary!A55, '1.2 Z_FR_imports'!$A$4:$A$203, 0))</f>
        <v>3820399082.1959701</v>
      </c>
      <c r="E55" s="4">
        <f>INDEX('2.1 Y_FR_production'!$B$4:$B$203, MATCH(Summary!A55, '2.1 Y_FR_production'!$A$4:$A$203, 0))</f>
        <v>369719191.30966097</v>
      </c>
      <c r="F55" s="4">
        <f>INDEX('2.2 Z_FR_production'!$B$4:$B$203, MATCH(Summary!A55, '2.2 Z_FR_production'!$A$4:$A$203, 0))</f>
        <v>2233900459.41886</v>
      </c>
      <c r="G55" s="1">
        <f>SUM(C55:D55)/SUM(C55:F55)</f>
        <v>0.59470547036483246</v>
      </c>
      <c r="H55" s="1">
        <f t="shared" si="1"/>
        <v>0.40529452963516749</v>
      </c>
    </row>
    <row r="56" spans="1:8" x14ac:dyDescent="0.3">
      <c r="A56" s="10" t="s">
        <v>42</v>
      </c>
      <c r="B56" s="30">
        <f t="shared" si="0"/>
        <v>6206529379.1820745</v>
      </c>
      <c r="C56" s="4">
        <f>INDEX('1.1 Y_FR_imports'!$B$4:$B$203, MATCH(Summary!A56, '1.1 Y_FR_imports'!$A$4:$A$203, 0))</f>
        <v>0</v>
      </c>
      <c r="D56" s="4">
        <f>INDEX('1.2 Z_FR_imports'!$B$4:$B$203, MATCH(Summary!A56, '1.2 Z_FR_imports'!$A$4:$A$203, 0))</f>
        <v>6003762601.81497</v>
      </c>
      <c r="E56" s="4">
        <f>INDEX('2.1 Y_FR_production'!$B$4:$B$203, MATCH(Summary!A56, '2.1 Y_FR_production'!$A$4:$A$203, 0))</f>
        <v>121118.73157575401</v>
      </c>
      <c r="F56" s="4">
        <f>INDEX('2.2 Z_FR_production'!$B$4:$B$203, MATCH(Summary!A56, '2.2 Z_FR_production'!$A$4:$A$203, 0))</f>
        <v>202645658.63552901</v>
      </c>
      <c r="G56" s="1">
        <f>SUM(C56:D56)/SUM(C56:F56)</f>
        <v>0.96733008659441388</v>
      </c>
      <c r="H56" s="1">
        <f t="shared" si="1"/>
        <v>3.2669913405586157E-2</v>
      </c>
    </row>
    <row r="57" spans="1:8" x14ac:dyDescent="0.3">
      <c r="A57" s="10" t="s">
        <v>58</v>
      </c>
      <c r="B57" s="30">
        <f t="shared" si="0"/>
        <v>6185374084.6113119</v>
      </c>
      <c r="C57" s="4">
        <f>INDEX('1.1 Y_FR_imports'!$B$4:$B$203, MATCH(Summary!A57, '1.1 Y_FR_imports'!$A$4:$A$203, 0))</f>
        <v>0</v>
      </c>
      <c r="D57" s="4">
        <f>INDEX('1.2 Z_FR_imports'!$B$4:$B$203, MATCH(Summary!A57, '1.2 Z_FR_imports'!$A$4:$A$203, 0))</f>
        <v>960806837.94088697</v>
      </c>
      <c r="E57" s="4">
        <f>INDEX('2.1 Y_FR_production'!$B$4:$B$203, MATCH(Summary!A57, '2.1 Y_FR_production'!$A$4:$A$203, 0))</f>
        <v>828500992.16457498</v>
      </c>
      <c r="F57" s="4">
        <f>INDEX('2.2 Z_FR_production'!$B$4:$B$203, MATCH(Summary!A57, '2.2 Z_FR_production'!$A$4:$A$203, 0))</f>
        <v>4396066254.5058498</v>
      </c>
      <c r="G57" s="1">
        <f>SUM(C57:D57)/SUM(C57:F57)</f>
        <v>0.15533528365427293</v>
      </c>
      <c r="H57" s="1">
        <f t="shared" si="1"/>
        <v>0.84466471634572693</v>
      </c>
    </row>
    <row r="58" spans="1:8" x14ac:dyDescent="0.3">
      <c r="A58" s="10" t="s">
        <v>137</v>
      </c>
      <c r="B58" s="30">
        <f t="shared" si="0"/>
        <v>6130948987.0142097</v>
      </c>
      <c r="C58" s="4">
        <f>INDEX('1.1 Y_FR_imports'!$B$4:$B$203, MATCH(Summary!A58, '1.1 Y_FR_imports'!$A$4:$A$203, 0))</f>
        <v>339343791.381253</v>
      </c>
      <c r="D58" s="4">
        <f>INDEX('1.2 Z_FR_imports'!$B$4:$B$203, MATCH(Summary!A58, '1.2 Z_FR_imports'!$A$4:$A$203, 0))</f>
        <v>507223864.60890698</v>
      </c>
      <c r="E58" s="4">
        <f>INDEX('2.1 Y_FR_production'!$B$4:$B$203, MATCH(Summary!A58, '2.1 Y_FR_production'!$A$4:$A$203, 0))</f>
        <v>2564662063.6268001</v>
      </c>
      <c r="F58" s="4">
        <f>INDEX('2.2 Z_FR_production'!$B$4:$B$203, MATCH(Summary!A58, '2.2 Z_FR_production'!$A$4:$A$203, 0))</f>
        <v>2719719267.3972502</v>
      </c>
      <c r="G58" s="1">
        <f>SUM(C58:D58)/SUM(C58:F58)</f>
        <v>0.13808101450252663</v>
      </c>
      <c r="H58" s="1">
        <f t="shared" si="1"/>
        <v>0.86191898549747337</v>
      </c>
    </row>
    <row r="59" spans="1:8" x14ac:dyDescent="0.3">
      <c r="A59" s="10" t="s">
        <v>48</v>
      </c>
      <c r="B59" s="30">
        <f t="shared" si="0"/>
        <v>6000488900.8283062</v>
      </c>
      <c r="C59" s="4">
        <f>INDEX('1.1 Y_FR_imports'!$B$4:$B$203, MATCH(Summary!A59, '1.1 Y_FR_imports'!$A$4:$A$203, 0))</f>
        <v>0</v>
      </c>
      <c r="D59" s="4">
        <f>INDEX('1.2 Z_FR_imports'!$B$4:$B$203, MATCH(Summary!A59, '1.2 Z_FR_imports'!$A$4:$A$203, 0))</f>
        <v>61850174.224666402</v>
      </c>
      <c r="E59" s="4">
        <f>INDEX('2.1 Y_FR_production'!$B$4:$B$203, MATCH(Summary!A59, '2.1 Y_FR_production'!$A$4:$A$203, 0))</f>
        <v>1931019645.5044899</v>
      </c>
      <c r="F59" s="4">
        <f>INDEX('2.2 Z_FR_production'!$B$4:$B$203, MATCH(Summary!A59, '2.2 Z_FR_production'!$A$4:$A$203, 0))</f>
        <v>4007619081.0991502</v>
      </c>
      <c r="G59" s="1">
        <f>SUM(C59:D59)/SUM(C59:F59)</f>
        <v>1.0307522478064849E-2</v>
      </c>
      <c r="H59" s="1">
        <f t="shared" si="1"/>
        <v>0.98969247752193512</v>
      </c>
    </row>
    <row r="60" spans="1:8" x14ac:dyDescent="0.3">
      <c r="A60" s="10" t="s">
        <v>162</v>
      </c>
      <c r="B60" s="30">
        <f t="shared" si="0"/>
        <v>5973324228.524004</v>
      </c>
      <c r="C60" s="4">
        <f>INDEX('1.1 Y_FR_imports'!$B$4:$B$203, MATCH(Summary!A60, '1.1 Y_FR_imports'!$A$4:$A$203, 0))</f>
        <v>36039254.986249097</v>
      </c>
      <c r="D60" s="4">
        <f>INDEX('1.2 Z_FR_imports'!$B$4:$B$203, MATCH(Summary!A60, '1.2 Z_FR_imports'!$A$4:$A$203, 0))</f>
        <v>386895302.287606</v>
      </c>
      <c r="E60" s="4">
        <f>INDEX('2.1 Y_FR_production'!$B$4:$B$203, MATCH(Summary!A60, '2.1 Y_FR_production'!$A$4:$A$203, 0))</f>
        <v>4559589240.1945601</v>
      </c>
      <c r="F60" s="4">
        <f>INDEX('2.2 Z_FR_production'!$B$4:$B$203, MATCH(Summary!A60, '2.2 Z_FR_production'!$A$4:$A$203, 0))</f>
        <v>990800431.05558896</v>
      </c>
      <c r="G60" s="1">
        <f>SUM(C60:D60)/SUM(C60:F60)</f>
        <v>7.0803884251627397E-2</v>
      </c>
      <c r="H60" s="1">
        <f t="shared" si="1"/>
        <v>0.92919611574837258</v>
      </c>
    </row>
    <row r="61" spans="1:8" x14ac:dyDescent="0.3">
      <c r="A61" s="10" t="s">
        <v>123</v>
      </c>
      <c r="B61" s="30">
        <f t="shared" si="0"/>
        <v>5731297522.847271</v>
      </c>
      <c r="C61" s="4">
        <f>INDEX('1.1 Y_FR_imports'!$B$4:$B$203, MATCH(Summary!A61, '1.1 Y_FR_imports'!$A$4:$A$203, 0))</f>
        <v>205652785.53993899</v>
      </c>
      <c r="D61" s="4">
        <f>INDEX('1.2 Z_FR_imports'!$B$4:$B$203, MATCH(Summary!A61, '1.2 Z_FR_imports'!$A$4:$A$203, 0))</f>
        <v>3235535350.4580202</v>
      </c>
      <c r="E61" s="4">
        <f>INDEX('2.1 Y_FR_production'!$B$4:$B$203, MATCH(Summary!A61, '2.1 Y_FR_production'!$A$4:$A$203, 0))</f>
        <v>410638632.05463201</v>
      </c>
      <c r="F61" s="4">
        <f>INDEX('2.2 Z_FR_production'!$B$4:$B$203, MATCH(Summary!A61, '2.2 Z_FR_production'!$A$4:$A$203, 0))</f>
        <v>1879470754.7946801</v>
      </c>
      <c r="G61" s="1">
        <f>SUM(C61:D61)/SUM(C61:F61)</f>
        <v>0.60042043224592523</v>
      </c>
      <c r="H61" s="1">
        <f t="shared" si="1"/>
        <v>0.39957956775407483</v>
      </c>
    </row>
    <row r="62" spans="1:8" x14ac:dyDescent="0.3">
      <c r="A62" s="10" t="s">
        <v>141</v>
      </c>
      <c r="B62" s="30">
        <f t="shared" si="0"/>
        <v>5631573460.6931305</v>
      </c>
      <c r="C62" s="4">
        <f>INDEX('1.1 Y_FR_imports'!$B$4:$B$203, MATCH(Summary!A62, '1.1 Y_FR_imports'!$A$4:$A$203, 0))</f>
        <v>329622877.34055102</v>
      </c>
      <c r="D62" s="4">
        <f>INDEX('1.2 Z_FR_imports'!$B$4:$B$203, MATCH(Summary!A62, '1.2 Z_FR_imports'!$A$4:$A$203, 0))</f>
        <v>307463704.912489</v>
      </c>
      <c r="E62" s="4">
        <f>INDEX('2.1 Y_FR_production'!$B$4:$B$203, MATCH(Summary!A62, '2.1 Y_FR_production'!$A$4:$A$203, 0))</f>
        <v>3232929739.5522699</v>
      </c>
      <c r="F62" s="4">
        <f>INDEX('2.2 Z_FR_production'!$B$4:$B$203, MATCH(Summary!A62, '2.2 Z_FR_production'!$A$4:$A$203, 0))</f>
        <v>1761557138.88782</v>
      </c>
      <c r="G62" s="1">
        <f>SUM(C62:D62)/SUM(C62:F62)</f>
        <v>0.11312763416827167</v>
      </c>
      <c r="H62" s="1">
        <f t="shared" si="1"/>
        <v>0.88687236583172835</v>
      </c>
    </row>
    <row r="63" spans="1:8" x14ac:dyDescent="0.3">
      <c r="A63" s="10" t="s">
        <v>178</v>
      </c>
      <c r="B63" s="30">
        <f t="shared" si="0"/>
        <v>5423928939.3084402</v>
      </c>
      <c r="C63" s="4">
        <f>INDEX('1.1 Y_FR_imports'!$B$4:$B$203, MATCH(Summary!A63, '1.1 Y_FR_imports'!$A$4:$A$203, 0))</f>
        <v>0</v>
      </c>
      <c r="D63" s="4">
        <f>INDEX('1.2 Z_FR_imports'!$B$4:$B$203, MATCH(Summary!A63, '1.2 Z_FR_imports'!$A$4:$A$203, 0))</f>
        <v>0</v>
      </c>
      <c r="E63" s="4">
        <f>INDEX('2.1 Y_FR_production'!$B$4:$B$203, MATCH(Summary!A63, '2.1 Y_FR_production'!$A$4:$A$203, 0))</f>
        <v>0</v>
      </c>
      <c r="F63" s="4">
        <f>INDEX('2.2 Z_FR_production'!$B$4:$B$203, MATCH(Summary!A63, '2.2 Z_FR_production'!$A$4:$A$203, 0))</f>
        <v>5423928939.3084402</v>
      </c>
      <c r="G63" s="1">
        <f>SUM(C63:D63)/SUM(C63:F63)</f>
        <v>0</v>
      </c>
      <c r="H63" s="1">
        <f t="shared" si="1"/>
        <v>1</v>
      </c>
    </row>
    <row r="64" spans="1:8" x14ac:dyDescent="0.3">
      <c r="A64" s="10" t="s">
        <v>60</v>
      </c>
      <c r="B64" s="30">
        <f t="shared" si="0"/>
        <v>5418642662.9419937</v>
      </c>
      <c r="C64" s="4">
        <f>INDEX('1.1 Y_FR_imports'!$B$4:$B$203, MATCH(Summary!A64, '1.1 Y_FR_imports'!$A$4:$A$203, 0))</f>
        <v>571698866.05673397</v>
      </c>
      <c r="D64" s="4">
        <f>INDEX('1.2 Z_FR_imports'!$B$4:$B$203, MATCH(Summary!A64, '1.2 Z_FR_imports'!$A$4:$A$203, 0))</f>
        <v>1697207661.3668599</v>
      </c>
      <c r="E64" s="4">
        <f>INDEX('2.1 Y_FR_production'!$B$4:$B$203, MATCH(Summary!A64, '2.1 Y_FR_production'!$A$4:$A$203, 0))</f>
        <v>1609157802.63309</v>
      </c>
      <c r="F64" s="4">
        <f>INDEX('2.2 Z_FR_production'!$B$4:$B$203, MATCH(Summary!A64, '2.2 Z_FR_production'!$A$4:$A$203, 0))</f>
        <v>1540578332.8853099</v>
      </c>
      <c r="G64" s="1">
        <f>SUM(C64:D64)/SUM(C64:F64)</f>
        <v>0.4187223016089634</v>
      </c>
      <c r="H64" s="1">
        <f t="shared" si="1"/>
        <v>0.58127769839103671</v>
      </c>
    </row>
    <row r="65" spans="1:8" x14ac:dyDescent="0.3">
      <c r="A65" s="10" t="s">
        <v>93</v>
      </c>
      <c r="B65" s="30">
        <f t="shared" si="0"/>
        <v>4996317339.2677155</v>
      </c>
      <c r="C65" s="4">
        <f>INDEX('1.1 Y_FR_imports'!$B$4:$B$203, MATCH(Summary!A65, '1.1 Y_FR_imports'!$A$4:$A$203, 0))</f>
        <v>377863320.43544298</v>
      </c>
      <c r="D65" s="4">
        <f>INDEX('1.2 Z_FR_imports'!$B$4:$B$203, MATCH(Summary!A65, '1.2 Z_FR_imports'!$A$4:$A$203, 0))</f>
        <v>316145531.15642202</v>
      </c>
      <c r="E65" s="4">
        <f>INDEX('2.1 Y_FR_production'!$B$4:$B$203, MATCH(Summary!A65, '2.1 Y_FR_production'!$A$4:$A$203, 0))</f>
        <v>2718065000.7627301</v>
      </c>
      <c r="F65" s="4">
        <f>INDEX('2.2 Z_FR_production'!$B$4:$B$203, MATCH(Summary!A65, '2.2 Z_FR_production'!$A$4:$A$203, 0))</f>
        <v>1584243486.91312</v>
      </c>
      <c r="G65" s="1">
        <f>SUM(C65:D65)/SUM(C65:F65)</f>
        <v>0.1389040776368265</v>
      </c>
      <c r="H65" s="1">
        <f t="shared" si="1"/>
        <v>0.86109592236317345</v>
      </c>
    </row>
    <row r="66" spans="1:8" x14ac:dyDescent="0.3">
      <c r="A66" s="10" t="s">
        <v>79</v>
      </c>
      <c r="B66" s="30">
        <f t="shared" si="0"/>
        <v>4695737582.6393442</v>
      </c>
      <c r="C66" s="4">
        <f>INDEX('1.1 Y_FR_imports'!$B$4:$B$203, MATCH(Summary!A66, '1.1 Y_FR_imports'!$A$4:$A$203, 0))</f>
        <v>119126997.135635</v>
      </c>
      <c r="D66" s="4">
        <f>INDEX('1.2 Z_FR_imports'!$B$4:$B$203, MATCH(Summary!A66, '1.2 Z_FR_imports'!$A$4:$A$203, 0))</f>
        <v>420569237.70925897</v>
      </c>
      <c r="E66" s="4">
        <f>INDEX('2.1 Y_FR_production'!$B$4:$B$203, MATCH(Summary!A66, '2.1 Y_FR_production'!$A$4:$A$203, 0))</f>
        <v>2905464237.0914001</v>
      </c>
      <c r="F66" s="4">
        <f>INDEX('2.2 Z_FR_production'!$B$4:$B$203, MATCH(Summary!A66, '2.2 Z_FR_production'!$A$4:$A$203, 0))</f>
        <v>1250577110.7030499</v>
      </c>
      <c r="G66" s="1">
        <f>SUM(C66:D66)/SUM(C66:F66)</f>
        <v>0.1149332187642278</v>
      </c>
      <c r="H66" s="1">
        <f t="shared" si="1"/>
        <v>0.88506678123577209</v>
      </c>
    </row>
    <row r="67" spans="1:8" x14ac:dyDescent="0.3">
      <c r="A67" s="10" t="s">
        <v>73</v>
      </c>
      <c r="B67" s="30">
        <f t="shared" si="0"/>
        <v>4617385196.2281523</v>
      </c>
      <c r="C67" s="4">
        <f>INDEX('1.1 Y_FR_imports'!$B$4:$B$203, MATCH(Summary!A67, '1.1 Y_FR_imports'!$A$4:$A$203, 0))</f>
        <v>7.5246066611947895E-4</v>
      </c>
      <c r="D67" s="4">
        <f>INDEX('1.2 Z_FR_imports'!$B$4:$B$203, MATCH(Summary!A67, '1.2 Z_FR_imports'!$A$4:$A$203, 0))</f>
        <v>2719546603.7951102</v>
      </c>
      <c r="E67" s="4">
        <f>INDEX('2.1 Y_FR_production'!$B$4:$B$203, MATCH(Summary!A67, '2.1 Y_FR_production'!$A$4:$A$203, 0))</f>
        <v>84304071.014129698</v>
      </c>
      <c r="F67" s="4">
        <f>INDEX('2.2 Z_FR_production'!$B$4:$B$203, MATCH(Summary!A67, '2.2 Z_FR_production'!$A$4:$A$203, 0))</f>
        <v>1813534521.41816</v>
      </c>
      <c r="G67" s="1">
        <f>SUM(C67:D67)/SUM(C67:F67)</f>
        <v>0.58897979878685558</v>
      </c>
      <c r="H67" s="1">
        <f t="shared" si="1"/>
        <v>0.41102020121314442</v>
      </c>
    </row>
    <row r="68" spans="1:8" x14ac:dyDescent="0.3">
      <c r="A68" s="10" t="s">
        <v>146</v>
      </c>
      <c r="B68" s="30">
        <f t="shared" si="0"/>
        <v>4585038288.9214525</v>
      </c>
      <c r="C68" s="4">
        <f>INDEX('1.1 Y_FR_imports'!$B$4:$B$203, MATCH(Summary!A68, '1.1 Y_FR_imports'!$A$4:$A$203, 0))</f>
        <v>300669329.82463598</v>
      </c>
      <c r="D68" s="4">
        <f>INDEX('1.2 Z_FR_imports'!$B$4:$B$203, MATCH(Summary!A68, '1.2 Z_FR_imports'!$A$4:$A$203, 0))</f>
        <v>321237844.570656</v>
      </c>
      <c r="E68" s="4">
        <f>INDEX('2.1 Y_FR_production'!$B$4:$B$203, MATCH(Summary!A68, '2.1 Y_FR_production'!$A$4:$A$203, 0))</f>
        <v>2558953300.5510702</v>
      </c>
      <c r="F68" s="4">
        <f>INDEX('2.2 Z_FR_production'!$B$4:$B$203, MATCH(Summary!A68, '2.2 Z_FR_production'!$A$4:$A$203, 0))</f>
        <v>1404177813.97509</v>
      </c>
      <c r="G68" s="1">
        <f>SUM(C68:D68)/SUM(C68:F68)</f>
        <v>0.13563838188613786</v>
      </c>
      <c r="H68" s="1">
        <f t="shared" si="1"/>
        <v>0.86436161811386214</v>
      </c>
    </row>
    <row r="69" spans="1:8" x14ac:dyDescent="0.3">
      <c r="A69" s="10" t="s">
        <v>132</v>
      </c>
      <c r="B69" s="30">
        <f t="shared" ref="B69:B132" si="2">SUM(C69:F69)</f>
        <v>4430953042.8268595</v>
      </c>
      <c r="C69" s="4">
        <f>INDEX('1.1 Y_FR_imports'!$B$4:$B$203, MATCH(Summary!A69, '1.1 Y_FR_imports'!$A$4:$A$203, 0))</f>
        <v>1.3423027844164501E-3</v>
      </c>
      <c r="D69" s="4">
        <f>INDEX('1.2 Z_FR_imports'!$B$4:$B$203, MATCH(Summary!A69, '1.2 Z_FR_imports'!$A$4:$A$203, 0))</f>
        <v>20061623.0767373</v>
      </c>
      <c r="E69" s="4">
        <f>INDEX('2.1 Y_FR_production'!$B$4:$B$203, MATCH(Summary!A69, '2.1 Y_FR_production'!$A$4:$A$203, 0))</f>
        <v>1252065448.7585199</v>
      </c>
      <c r="F69" s="4">
        <f>INDEX('2.2 Z_FR_production'!$B$4:$B$203, MATCH(Summary!A69, '2.2 Z_FR_production'!$A$4:$A$203, 0))</f>
        <v>3158825970.9902601</v>
      </c>
      <c r="G69" s="1">
        <f>SUM(C69:D69)/SUM(C69:F69)</f>
        <v>4.527609045768783E-3</v>
      </c>
      <c r="H69" s="1">
        <f t="shared" ref="H69:H132" si="3">SUM(E69:F69)/SUM(C69:F69)</f>
        <v>0.99547239095423135</v>
      </c>
    </row>
    <row r="70" spans="1:8" x14ac:dyDescent="0.3">
      <c r="A70" s="10" t="s">
        <v>138</v>
      </c>
      <c r="B70" s="30">
        <f t="shared" si="2"/>
        <v>4029533106.0935946</v>
      </c>
      <c r="C70" s="4">
        <f>INDEX('1.1 Y_FR_imports'!$B$4:$B$203, MATCH(Summary!A70, '1.1 Y_FR_imports'!$A$4:$A$203, 0))</f>
        <v>7086341.3272470897</v>
      </c>
      <c r="D70" s="4">
        <f>INDEX('1.2 Z_FR_imports'!$B$4:$B$203, MATCH(Summary!A70, '1.2 Z_FR_imports'!$A$4:$A$203, 0))</f>
        <v>47615750.2890075</v>
      </c>
      <c r="E70" s="4">
        <f>INDEX('2.1 Y_FR_production'!$B$4:$B$203, MATCH(Summary!A70, '2.1 Y_FR_production'!$A$4:$A$203, 0))</f>
        <v>2423984302.0877299</v>
      </c>
      <c r="F70" s="4">
        <f>INDEX('2.2 Z_FR_production'!$B$4:$B$203, MATCH(Summary!A70, '2.2 Z_FR_production'!$A$4:$A$203, 0))</f>
        <v>1550846712.3896101</v>
      </c>
      <c r="G70" s="1">
        <f>SUM(C70:D70)/SUM(C70:F70)</f>
        <v>1.3575292763703135E-2</v>
      </c>
      <c r="H70" s="1">
        <f t="shared" si="3"/>
        <v>0.98642470723629683</v>
      </c>
    </row>
    <row r="71" spans="1:8" x14ac:dyDescent="0.3">
      <c r="A71" s="10" t="s">
        <v>94</v>
      </c>
      <c r="B71" s="30">
        <f t="shared" si="2"/>
        <v>3989077344.1044073</v>
      </c>
      <c r="C71" s="4">
        <f>INDEX('1.1 Y_FR_imports'!$B$4:$B$203, MATCH(Summary!A71, '1.1 Y_FR_imports'!$A$4:$A$203, 0))</f>
        <v>589013387.61632097</v>
      </c>
      <c r="D71" s="4">
        <f>INDEX('1.2 Z_FR_imports'!$B$4:$B$203, MATCH(Summary!A71, '1.2 Z_FR_imports'!$A$4:$A$203, 0))</f>
        <v>63969079.566676296</v>
      </c>
      <c r="E71" s="4">
        <f>INDEX('2.1 Y_FR_production'!$B$4:$B$203, MATCH(Summary!A71, '2.1 Y_FR_production'!$A$4:$A$203, 0))</f>
        <v>1295045402.9056399</v>
      </c>
      <c r="F71" s="4">
        <f>INDEX('2.2 Z_FR_production'!$B$4:$B$203, MATCH(Summary!A71, '2.2 Z_FR_production'!$A$4:$A$203, 0))</f>
        <v>2041049474.01577</v>
      </c>
      <c r="G71" s="1">
        <f>SUM(C71:D71)/SUM(C71:F71)</f>
        <v>0.16369260629856228</v>
      </c>
      <c r="H71" s="1">
        <f t="shared" si="3"/>
        <v>0.83630739370143758</v>
      </c>
    </row>
    <row r="72" spans="1:8" x14ac:dyDescent="0.3">
      <c r="A72" s="10" t="s">
        <v>116</v>
      </c>
      <c r="B72" s="30">
        <f t="shared" si="2"/>
        <v>3873396479.7300549</v>
      </c>
      <c r="C72" s="4">
        <f>INDEX('1.1 Y_FR_imports'!$B$4:$B$203, MATCH(Summary!A72, '1.1 Y_FR_imports'!$A$4:$A$203, 0))</f>
        <v>491907242.58534801</v>
      </c>
      <c r="D72" s="4">
        <f>INDEX('1.2 Z_FR_imports'!$B$4:$B$203, MATCH(Summary!A72, '1.2 Z_FR_imports'!$A$4:$A$203, 0))</f>
        <v>1513032825.49194</v>
      </c>
      <c r="E72" s="4">
        <f>INDEX('2.1 Y_FR_production'!$B$4:$B$203, MATCH(Summary!A72, '2.1 Y_FR_production'!$A$4:$A$203, 0))</f>
        <v>228936455.44460699</v>
      </c>
      <c r="F72" s="4">
        <f>INDEX('2.2 Z_FR_production'!$B$4:$B$203, MATCH(Summary!A72, '2.2 Z_FR_production'!$A$4:$A$203, 0))</f>
        <v>1639519956.2081599</v>
      </c>
      <c r="G72" s="1">
        <f>SUM(C72:D72)/SUM(C72:F72)</f>
        <v>0.517618084946733</v>
      </c>
      <c r="H72" s="1">
        <f t="shared" si="3"/>
        <v>0.48238191505326705</v>
      </c>
    </row>
    <row r="73" spans="1:8" x14ac:dyDescent="0.3">
      <c r="A73" s="10" t="s">
        <v>49</v>
      </c>
      <c r="B73" s="30">
        <f t="shared" si="2"/>
        <v>3839879859.8436813</v>
      </c>
      <c r="C73" s="4">
        <f>INDEX('1.1 Y_FR_imports'!$B$4:$B$203, MATCH(Summary!A73, '1.1 Y_FR_imports'!$A$4:$A$203, 0))</f>
        <v>0</v>
      </c>
      <c r="D73" s="4">
        <f>INDEX('1.2 Z_FR_imports'!$B$4:$B$203, MATCH(Summary!A73, '1.2 Z_FR_imports'!$A$4:$A$203, 0))</f>
        <v>183825331.32479</v>
      </c>
      <c r="E73" s="4">
        <f>INDEX('2.1 Y_FR_production'!$B$4:$B$203, MATCH(Summary!A73, '2.1 Y_FR_production'!$A$4:$A$203, 0))</f>
        <v>900912997.58690095</v>
      </c>
      <c r="F73" s="4">
        <f>INDEX('2.2 Z_FR_production'!$B$4:$B$203, MATCH(Summary!A73, '2.2 Z_FR_production'!$A$4:$A$203, 0))</f>
        <v>2755141530.9319901</v>
      </c>
      <c r="G73" s="1">
        <f>SUM(C73:D73)/SUM(C73:F73)</f>
        <v>4.7872677800985523E-2</v>
      </c>
      <c r="H73" s="1">
        <f t="shared" si="3"/>
        <v>0.95212732219901453</v>
      </c>
    </row>
    <row r="74" spans="1:8" x14ac:dyDescent="0.3">
      <c r="A74" s="10" t="s">
        <v>95</v>
      </c>
      <c r="B74" s="30">
        <f t="shared" si="2"/>
        <v>3806041681.5480089</v>
      </c>
      <c r="C74" s="4">
        <f>INDEX('1.1 Y_FR_imports'!$B$4:$B$203, MATCH(Summary!A74, '1.1 Y_FR_imports'!$A$4:$A$203, 0))</f>
        <v>599112768.30000901</v>
      </c>
      <c r="D74" s="4">
        <f>INDEX('1.2 Z_FR_imports'!$B$4:$B$203, MATCH(Summary!A74, '1.2 Z_FR_imports'!$A$4:$A$203, 0))</f>
        <v>3206928913.2480001</v>
      </c>
      <c r="E74" s="4">
        <f>INDEX('2.1 Y_FR_production'!$B$4:$B$203, MATCH(Summary!A74, '2.1 Y_FR_production'!$A$4:$A$203, 0))</f>
        <v>0</v>
      </c>
      <c r="F74" s="4">
        <f>INDEX('2.2 Z_FR_production'!$B$4:$B$203, MATCH(Summary!A74, '2.2 Z_FR_production'!$A$4:$A$203, 0))</f>
        <v>0</v>
      </c>
      <c r="G74" s="1">
        <f>SUM(C74:D74)/SUM(C74:F74)</f>
        <v>1</v>
      </c>
      <c r="H74" s="1">
        <f t="shared" si="3"/>
        <v>0</v>
      </c>
    </row>
    <row r="75" spans="1:8" x14ac:dyDescent="0.3">
      <c r="A75" s="10" t="s">
        <v>35</v>
      </c>
      <c r="B75" s="30">
        <f t="shared" si="2"/>
        <v>3762471475.7181783</v>
      </c>
      <c r="C75" s="4">
        <f>INDEX('1.1 Y_FR_imports'!$B$4:$B$203, MATCH(Summary!A75, '1.1 Y_FR_imports'!$A$4:$A$203, 0))</f>
        <v>516107.49430656299</v>
      </c>
      <c r="D75" s="4">
        <f>INDEX('1.2 Z_FR_imports'!$B$4:$B$203, MATCH(Summary!A75, '1.2 Z_FR_imports'!$A$4:$A$203, 0))</f>
        <v>1903719203.9960101</v>
      </c>
      <c r="E75" s="4">
        <f>INDEX('2.1 Y_FR_production'!$B$4:$B$203, MATCH(Summary!A75, '2.1 Y_FR_production'!$A$4:$A$203, 0))</f>
        <v>17553127.124121699</v>
      </c>
      <c r="F75" s="4">
        <f>INDEX('2.2 Z_FR_production'!$B$4:$B$203, MATCH(Summary!A75, '2.2 Z_FR_production'!$A$4:$A$203, 0))</f>
        <v>1840683037.10374</v>
      </c>
      <c r="G75" s="1">
        <f>SUM(C75:D75)/SUM(C75:F75)</f>
        <v>0.50611288983309499</v>
      </c>
      <c r="H75" s="1">
        <f t="shared" si="3"/>
        <v>0.49388711016690501</v>
      </c>
    </row>
    <row r="76" spans="1:8" x14ac:dyDescent="0.3">
      <c r="A76" s="10" t="s">
        <v>22</v>
      </c>
      <c r="B76" s="30">
        <f t="shared" si="2"/>
        <v>3655625888.1231217</v>
      </c>
      <c r="C76" s="4">
        <f>INDEX('1.1 Y_FR_imports'!$B$4:$B$203, MATCH(Summary!A76, '1.1 Y_FR_imports'!$A$4:$A$203, 0))</f>
        <v>264483440.12762699</v>
      </c>
      <c r="D76" s="4">
        <f>INDEX('1.2 Z_FR_imports'!$B$4:$B$203, MATCH(Summary!A76, '1.2 Z_FR_imports'!$A$4:$A$203, 0))</f>
        <v>1677665000.49844</v>
      </c>
      <c r="E76" s="4">
        <f>INDEX('2.1 Y_FR_production'!$B$4:$B$203, MATCH(Summary!A76, '2.1 Y_FR_production'!$A$4:$A$203, 0))</f>
        <v>350871658.31766498</v>
      </c>
      <c r="F76" s="4">
        <f>INDEX('2.2 Z_FR_production'!$B$4:$B$203, MATCH(Summary!A76, '2.2 Z_FR_production'!$A$4:$A$203, 0))</f>
        <v>1362605789.17939</v>
      </c>
      <c r="G76" s="1">
        <f>SUM(C76:D76)/SUM(C76:F76)</f>
        <v>0.53127658575128656</v>
      </c>
      <c r="H76" s="1">
        <f t="shared" si="3"/>
        <v>0.46872341424871344</v>
      </c>
    </row>
    <row r="77" spans="1:8" x14ac:dyDescent="0.3">
      <c r="A77" s="10" t="s">
        <v>176</v>
      </c>
      <c r="B77" s="30">
        <f t="shared" si="2"/>
        <v>3497641884.5491319</v>
      </c>
      <c r="C77" s="4">
        <f>INDEX('1.1 Y_FR_imports'!$B$4:$B$203, MATCH(Summary!A77, '1.1 Y_FR_imports'!$A$4:$A$203, 0))</f>
        <v>25300869.096232601</v>
      </c>
      <c r="D77" s="4">
        <f>INDEX('1.2 Z_FR_imports'!$B$4:$B$203, MATCH(Summary!A77, '1.2 Z_FR_imports'!$A$4:$A$203, 0))</f>
        <v>349347678.28474498</v>
      </c>
      <c r="E77" s="4">
        <f>INDEX('2.1 Y_FR_production'!$B$4:$B$203, MATCH(Summary!A77, '2.1 Y_FR_production'!$A$4:$A$203, 0))</f>
        <v>1948277.63777468</v>
      </c>
      <c r="F77" s="4">
        <f>INDEX('2.2 Z_FR_production'!$B$4:$B$203, MATCH(Summary!A77, '2.2 Z_FR_production'!$A$4:$A$203, 0))</f>
        <v>3121045059.5303798</v>
      </c>
      <c r="G77" s="1">
        <f>SUM(C77:D77)/SUM(C77:F77)</f>
        <v>0.10711461028528715</v>
      </c>
      <c r="H77" s="1">
        <f t="shared" si="3"/>
        <v>0.89288538971471287</v>
      </c>
    </row>
    <row r="78" spans="1:8" x14ac:dyDescent="0.3">
      <c r="A78" s="10" t="s">
        <v>59</v>
      </c>
      <c r="B78" s="30">
        <f t="shared" si="2"/>
        <v>3396085624.3262272</v>
      </c>
      <c r="C78" s="4">
        <f>INDEX('1.1 Y_FR_imports'!$B$4:$B$203, MATCH(Summary!A78, '1.1 Y_FR_imports'!$A$4:$A$203, 0))</f>
        <v>490071859.696091</v>
      </c>
      <c r="D78" s="4">
        <f>INDEX('1.2 Z_FR_imports'!$B$4:$B$203, MATCH(Summary!A78, '1.2 Z_FR_imports'!$A$4:$A$203, 0))</f>
        <v>718991956.09135997</v>
      </c>
      <c r="E78" s="4">
        <f>INDEX('2.1 Y_FR_production'!$B$4:$B$203, MATCH(Summary!A78, '2.1 Y_FR_production'!$A$4:$A$203, 0))</f>
        <v>542559426.38130605</v>
      </c>
      <c r="F78" s="4">
        <f>INDEX('2.2 Z_FR_production'!$B$4:$B$203, MATCH(Summary!A78, '2.2 Z_FR_production'!$A$4:$A$203, 0))</f>
        <v>1644462382.15747</v>
      </c>
      <c r="G78" s="1">
        <f>SUM(C78:D78)/SUM(C78:F78)</f>
        <v>0.35601688223845224</v>
      </c>
      <c r="H78" s="1">
        <f t="shared" si="3"/>
        <v>0.64398311776154771</v>
      </c>
    </row>
    <row r="79" spans="1:8" x14ac:dyDescent="0.3">
      <c r="A79" s="10" t="s">
        <v>163</v>
      </c>
      <c r="B79" s="30">
        <f t="shared" si="2"/>
        <v>3345710517.2717218</v>
      </c>
      <c r="C79" s="4">
        <f>INDEX('1.1 Y_FR_imports'!$B$4:$B$203, MATCH(Summary!A79, '1.1 Y_FR_imports'!$A$4:$A$203, 0))</f>
        <v>3391916.4112976701</v>
      </c>
      <c r="D79" s="4">
        <f>INDEX('1.2 Z_FR_imports'!$B$4:$B$203, MATCH(Summary!A79, '1.2 Z_FR_imports'!$A$4:$A$203, 0))</f>
        <v>437174533.11368901</v>
      </c>
      <c r="E79" s="4">
        <f>INDEX('2.1 Y_FR_production'!$B$4:$B$203, MATCH(Summary!A79, '2.1 Y_FR_production'!$A$4:$A$203, 0))</f>
        <v>139398643.12250501</v>
      </c>
      <c r="F79" s="4">
        <f>INDEX('2.2 Z_FR_production'!$B$4:$B$203, MATCH(Summary!A79, '2.2 Z_FR_production'!$A$4:$A$203, 0))</f>
        <v>2765745424.6242299</v>
      </c>
      <c r="G79" s="1">
        <f>SUM(C79:D79)/SUM(C79:F79)</f>
        <v>0.13168098293340963</v>
      </c>
      <c r="H79" s="1">
        <f t="shared" si="3"/>
        <v>0.86831901706659032</v>
      </c>
    </row>
    <row r="80" spans="1:8" x14ac:dyDescent="0.3">
      <c r="A80" s="10" t="s">
        <v>75</v>
      </c>
      <c r="B80" s="30">
        <f t="shared" si="2"/>
        <v>3305008831.3626966</v>
      </c>
      <c r="C80" s="4">
        <f>INDEX('1.1 Y_FR_imports'!$B$4:$B$203, MATCH(Summary!A80, '1.1 Y_FR_imports'!$A$4:$A$203, 0))</f>
        <v>103799243.335862</v>
      </c>
      <c r="D80" s="4">
        <f>INDEX('1.2 Z_FR_imports'!$B$4:$B$203, MATCH(Summary!A80, '1.2 Z_FR_imports'!$A$4:$A$203, 0))</f>
        <v>2171285240.4465299</v>
      </c>
      <c r="E80" s="4">
        <f>INDEX('2.1 Y_FR_production'!$B$4:$B$203, MATCH(Summary!A80, '2.1 Y_FR_production'!$A$4:$A$203, 0))</f>
        <v>257517802.29781401</v>
      </c>
      <c r="F80" s="4">
        <f>INDEX('2.2 Z_FR_production'!$B$4:$B$203, MATCH(Summary!A80, '2.2 Z_FR_production'!$A$4:$A$203, 0))</f>
        <v>772406545.28249097</v>
      </c>
      <c r="G80" s="1">
        <f>SUM(C80:D80)/SUM(C80:F80)</f>
        <v>0.6883747063527047</v>
      </c>
      <c r="H80" s="1">
        <f t="shared" si="3"/>
        <v>0.31162529364729541</v>
      </c>
    </row>
    <row r="81" spans="1:8" x14ac:dyDescent="0.3">
      <c r="A81" s="10" t="s">
        <v>147</v>
      </c>
      <c r="B81" s="30">
        <f t="shared" si="2"/>
        <v>3200458442.6471176</v>
      </c>
      <c r="C81" s="4">
        <f>INDEX('1.1 Y_FR_imports'!$B$4:$B$203, MATCH(Summary!A81, '1.1 Y_FR_imports'!$A$4:$A$203, 0))</f>
        <v>651508600.40213704</v>
      </c>
      <c r="D81" s="4">
        <f>INDEX('1.2 Z_FR_imports'!$B$4:$B$203, MATCH(Summary!A81, '1.2 Z_FR_imports'!$A$4:$A$203, 0))</f>
        <v>83588710.030464694</v>
      </c>
      <c r="E81" s="4">
        <f>INDEX('2.1 Y_FR_production'!$B$4:$B$203, MATCH(Summary!A81, '2.1 Y_FR_production'!$A$4:$A$203, 0))</f>
        <v>1957956525.1733301</v>
      </c>
      <c r="F81" s="4">
        <f>INDEX('2.2 Z_FR_production'!$B$4:$B$203, MATCH(Summary!A81, '2.2 Z_FR_production'!$A$4:$A$203, 0))</f>
        <v>507404607.04118598</v>
      </c>
      <c r="G81" s="1">
        <f>SUM(C81:D81)/SUM(C81:F81)</f>
        <v>0.22968500407229112</v>
      </c>
      <c r="H81" s="1">
        <f t="shared" si="3"/>
        <v>0.77031499592770891</v>
      </c>
    </row>
    <row r="82" spans="1:8" x14ac:dyDescent="0.3">
      <c r="A82" s="10" t="s">
        <v>142</v>
      </c>
      <c r="B82" s="30">
        <f t="shared" si="2"/>
        <v>2941211206.9696112</v>
      </c>
      <c r="C82" s="4">
        <f>INDEX('1.1 Y_FR_imports'!$B$4:$B$203, MATCH(Summary!A82, '1.1 Y_FR_imports'!$A$4:$A$203, 0))</f>
        <v>0.28095038458632099</v>
      </c>
      <c r="D82" s="4">
        <f>INDEX('1.2 Z_FR_imports'!$B$4:$B$203, MATCH(Summary!A82, '1.2 Z_FR_imports'!$A$4:$A$203, 0))</f>
        <v>2922450892.3414102</v>
      </c>
      <c r="E82" s="4">
        <f>INDEX('2.1 Y_FR_production'!$B$4:$B$203, MATCH(Summary!A82, '2.1 Y_FR_production'!$A$4:$A$203, 0))</f>
        <v>17292640.5792602</v>
      </c>
      <c r="F82" s="4">
        <f>INDEX('2.2 Z_FR_production'!$B$4:$B$203, MATCH(Summary!A82, '2.2 Z_FR_production'!$A$4:$A$203, 0))</f>
        <v>1467673.76799011</v>
      </c>
      <c r="G82" s="1">
        <f>SUM(C82:D82)/SUM(C82:F82)</f>
        <v>0.9936215684535693</v>
      </c>
      <c r="H82" s="1">
        <f t="shared" si="3"/>
        <v>6.3784315464306407E-3</v>
      </c>
    </row>
    <row r="83" spans="1:8" x14ac:dyDescent="0.3">
      <c r="A83" s="10" t="s">
        <v>179</v>
      </c>
      <c r="B83" s="30">
        <f t="shared" si="2"/>
        <v>2829859284.059473</v>
      </c>
      <c r="C83" s="4">
        <f>INDEX('1.1 Y_FR_imports'!$B$4:$B$203, MATCH(Summary!A83, '1.1 Y_FR_imports'!$A$4:$A$203, 0))</f>
        <v>169408.61464413701</v>
      </c>
      <c r="D83" s="4">
        <f>INDEX('1.2 Z_FR_imports'!$B$4:$B$203, MATCH(Summary!A83, '1.2 Z_FR_imports'!$A$4:$A$203, 0))</f>
        <v>74888990.681314707</v>
      </c>
      <c r="E83" s="4">
        <f>INDEX('2.1 Y_FR_production'!$B$4:$B$203, MATCH(Summary!A83, '2.1 Y_FR_production'!$A$4:$A$203, 0))</f>
        <v>47911570.459904097</v>
      </c>
      <c r="F83" s="4">
        <f>INDEX('2.2 Z_FR_production'!$B$4:$B$203, MATCH(Summary!A83, '2.2 Z_FR_production'!$A$4:$A$203, 0))</f>
        <v>2706889314.3036098</v>
      </c>
      <c r="G83" s="1">
        <f>SUM(C83:D83)/SUM(C83:F83)</f>
        <v>2.6523721415676372E-2</v>
      </c>
      <c r="H83" s="1">
        <f t="shared" si="3"/>
        <v>0.97347627858432362</v>
      </c>
    </row>
    <row r="84" spans="1:8" x14ac:dyDescent="0.3">
      <c r="A84" s="10" t="s">
        <v>45</v>
      </c>
      <c r="B84" s="30">
        <f t="shared" si="2"/>
        <v>2634439004.1454878</v>
      </c>
      <c r="C84" s="4">
        <f>INDEX('1.1 Y_FR_imports'!$B$4:$B$203, MATCH(Summary!A84, '1.1 Y_FR_imports'!$A$4:$A$203, 0))</f>
        <v>0</v>
      </c>
      <c r="D84" s="4">
        <f>INDEX('1.2 Z_FR_imports'!$B$4:$B$203, MATCH(Summary!A84, '1.2 Z_FR_imports'!$A$4:$A$203, 0))</f>
        <v>684885171.63288701</v>
      </c>
      <c r="E84" s="4">
        <f>INDEX('2.1 Y_FR_production'!$B$4:$B$203, MATCH(Summary!A84, '2.1 Y_FR_production'!$A$4:$A$203, 0))</f>
        <v>424597125.30319101</v>
      </c>
      <c r="F84" s="4">
        <f>INDEX('2.2 Z_FR_production'!$B$4:$B$203, MATCH(Summary!A84, '2.2 Z_FR_production'!$A$4:$A$203, 0))</f>
        <v>1524956707.20941</v>
      </c>
      <c r="G84" s="1">
        <f>SUM(C84:D84)/SUM(C84:F84)</f>
        <v>0.25997382006384234</v>
      </c>
      <c r="H84" s="1">
        <f t="shared" si="3"/>
        <v>0.74002617993615771</v>
      </c>
    </row>
    <row r="85" spans="1:8" x14ac:dyDescent="0.3">
      <c r="A85" s="10" t="s">
        <v>6</v>
      </c>
      <c r="B85" s="30">
        <f t="shared" si="2"/>
        <v>2453460319.3142066</v>
      </c>
      <c r="C85" s="4">
        <f>INDEX('1.1 Y_FR_imports'!$B$4:$B$203, MATCH(Summary!A85, '1.1 Y_FR_imports'!$A$4:$A$203, 0))</f>
        <v>249457688.18088701</v>
      </c>
      <c r="D85" s="4">
        <f>INDEX('1.2 Z_FR_imports'!$B$4:$B$203, MATCH(Summary!A85, '1.2 Z_FR_imports'!$A$4:$A$203, 0))</f>
        <v>12891759.1335434</v>
      </c>
      <c r="E85" s="4">
        <f>INDEX('2.1 Y_FR_production'!$B$4:$B$203, MATCH(Summary!A85, '2.1 Y_FR_production'!$A$4:$A$203, 0))</f>
        <v>1594195971.27144</v>
      </c>
      <c r="F85" s="4">
        <f>INDEX('2.2 Z_FR_production'!$B$4:$B$203, MATCH(Summary!A85, '2.2 Z_FR_production'!$A$4:$A$203, 0))</f>
        <v>596914900.72833598</v>
      </c>
      <c r="G85" s="1">
        <f>SUM(C85:D85)/SUM(C85:F85)</f>
        <v>0.10693038124527833</v>
      </c>
      <c r="H85" s="1">
        <f t="shared" si="3"/>
        <v>0.89306961875472157</v>
      </c>
    </row>
    <row r="86" spans="1:8" x14ac:dyDescent="0.3">
      <c r="A86" s="10" t="s">
        <v>119</v>
      </c>
      <c r="B86" s="30">
        <f t="shared" si="2"/>
        <v>2231485679.7298746</v>
      </c>
      <c r="C86" s="4">
        <f>INDEX('1.1 Y_FR_imports'!$B$4:$B$203, MATCH(Summary!A86, '1.1 Y_FR_imports'!$A$4:$A$203, 0))</f>
        <v>0</v>
      </c>
      <c r="D86" s="4">
        <f>INDEX('1.2 Z_FR_imports'!$B$4:$B$203, MATCH(Summary!A86, '1.2 Z_FR_imports'!$A$4:$A$203, 0))</f>
        <v>15339626.2233296</v>
      </c>
      <c r="E86" s="4">
        <f>INDEX('2.1 Y_FR_production'!$B$4:$B$203, MATCH(Summary!A86, '2.1 Y_FR_production'!$A$4:$A$203, 0))</f>
        <v>523245025.412875</v>
      </c>
      <c r="F86" s="4">
        <f>INDEX('2.2 Z_FR_production'!$B$4:$B$203, MATCH(Summary!A86, '2.2 Z_FR_production'!$A$4:$A$203, 0))</f>
        <v>1692901028.0936699</v>
      </c>
      <c r="G86" s="1">
        <f>SUM(C86:D86)/SUM(C86:F86)</f>
        <v>6.8741764120065921E-3</v>
      </c>
      <c r="H86" s="1">
        <f t="shared" si="3"/>
        <v>0.99312582358799339</v>
      </c>
    </row>
    <row r="87" spans="1:8" x14ac:dyDescent="0.3">
      <c r="A87" s="10" t="s">
        <v>67</v>
      </c>
      <c r="B87" s="30">
        <f t="shared" si="2"/>
        <v>2139833459.8715775</v>
      </c>
      <c r="C87" s="4">
        <f>INDEX('1.1 Y_FR_imports'!$B$4:$B$203, MATCH(Summary!A87, '1.1 Y_FR_imports'!$A$4:$A$203, 0))</f>
        <v>0</v>
      </c>
      <c r="D87" s="4">
        <f>INDEX('1.2 Z_FR_imports'!$B$4:$B$203, MATCH(Summary!A87, '1.2 Z_FR_imports'!$A$4:$A$203, 0))</f>
        <v>0</v>
      </c>
      <c r="E87" s="4">
        <f>INDEX('2.1 Y_FR_production'!$B$4:$B$203, MATCH(Summary!A87, '2.1 Y_FR_production'!$A$4:$A$203, 0))</f>
        <v>1993493.8328774499</v>
      </c>
      <c r="F87" s="4">
        <f>INDEX('2.2 Z_FR_production'!$B$4:$B$203, MATCH(Summary!A87, '2.2 Z_FR_production'!$A$4:$A$203, 0))</f>
        <v>2137839966.0387001</v>
      </c>
      <c r="G87" s="1">
        <f>SUM(C87:D87)/SUM(C87:F87)</f>
        <v>0</v>
      </c>
      <c r="H87" s="1">
        <f t="shared" si="3"/>
        <v>1</v>
      </c>
    </row>
    <row r="88" spans="1:8" x14ac:dyDescent="0.3">
      <c r="A88" s="10" t="s">
        <v>181</v>
      </c>
      <c r="B88" s="30">
        <f t="shared" si="2"/>
        <v>2103417825.6579344</v>
      </c>
      <c r="C88" s="4">
        <f>INDEX('1.1 Y_FR_imports'!$B$4:$B$203, MATCH(Summary!A88, '1.1 Y_FR_imports'!$A$4:$A$203, 0))</f>
        <v>22898260.328087401</v>
      </c>
      <c r="D88" s="4">
        <f>INDEX('1.2 Z_FR_imports'!$B$4:$B$203, MATCH(Summary!A88, '1.2 Z_FR_imports'!$A$4:$A$203, 0))</f>
        <v>130736830.947826</v>
      </c>
      <c r="E88" s="4">
        <f>INDEX('2.1 Y_FR_production'!$B$4:$B$203, MATCH(Summary!A88, '2.1 Y_FR_production'!$A$4:$A$203, 0))</f>
        <v>263984689.755101</v>
      </c>
      <c r="F88" s="4">
        <f>INDEX('2.2 Z_FR_production'!$B$4:$B$203, MATCH(Summary!A88, '2.2 Z_FR_production'!$A$4:$A$203, 0))</f>
        <v>1685798044.62692</v>
      </c>
      <c r="G88" s="1">
        <f>SUM(C88:D88)/SUM(C88:F88)</f>
        <v>7.3040690918295043E-2</v>
      </c>
      <c r="H88" s="1">
        <f t="shared" si="3"/>
        <v>0.92695930908170487</v>
      </c>
    </row>
    <row r="89" spans="1:8" x14ac:dyDescent="0.3">
      <c r="A89" s="10" t="s">
        <v>182</v>
      </c>
      <c r="B89" s="30">
        <f t="shared" si="2"/>
        <v>2045871868.1433923</v>
      </c>
      <c r="C89" s="4">
        <f>INDEX('1.1 Y_FR_imports'!$B$4:$B$203, MATCH(Summary!A89, '1.1 Y_FR_imports'!$A$4:$A$203, 0))</f>
        <v>1.07493274177337E-2</v>
      </c>
      <c r="D89" s="4">
        <f>INDEX('1.2 Z_FR_imports'!$B$4:$B$203, MATCH(Summary!A89, '1.2 Z_FR_imports'!$A$4:$A$203, 0))</f>
        <v>463166.52570522099</v>
      </c>
      <c r="E89" s="4">
        <f>INDEX('2.1 Y_FR_production'!$B$4:$B$203, MATCH(Summary!A89, '2.1 Y_FR_production'!$A$4:$A$203, 0))</f>
        <v>70450.156237613104</v>
      </c>
      <c r="F89" s="4">
        <f>INDEX('2.2 Z_FR_production'!$B$4:$B$203, MATCH(Summary!A89, '2.2 Z_FR_production'!$A$4:$A$203, 0))</f>
        <v>2045338251.4507</v>
      </c>
      <c r="G89" s="1">
        <f>SUM(C89:D89)/SUM(C89:F89)</f>
        <v>2.2639078412807313E-4</v>
      </c>
      <c r="H89" s="1">
        <f t="shared" si="3"/>
        <v>0.99977360921587188</v>
      </c>
    </row>
    <row r="90" spans="1:8" x14ac:dyDescent="0.3">
      <c r="A90" s="10" t="s">
        <v>121</v>
      </c>
      <c r="B90" s="30">
        <f t="shared" si="2"/>
        <v>1969461427.6674559</v>
      </c>
      <c r="C90" s="4">
        <f>INDEX('1.1 Y_FR_imports'!$B$4:$B$203, MATCH(Summary!A90, '1.1 Y_FR_imports'!$A$4:$A$203, 0))</f>
        <v>5.4848148271099898E-10</v>
      </c>
      <c r="D90" s="4">
        <f>INDEX('1.2 Z_FR_imports'!$B$4:$B$203, MATCH(Summary!A90, '1.2 Z_FR_imports'!$A$4:$A$203, 0))</f>
        <v>1579915613.4387</v>
      </c>
      <c r="E90" s="4">
        <f>INDEX('2.1 Y_FR_production'!$B$4:$B$203, MATCH(Summary!A90, '2.1 Y_FR_production'!$A$4:$A$203, 0))</f>
        <v>142981888.917752</v>
      </c>
      <c r="F90" s="4">
        <f>INDEX('2.2 Z_FR_production'!$B$4:$B$203, MATCH(Summary!A90, '2.2 Z_FR_production'!$A$4:$A$203, 0))</f>
        <v>246563925.31100401</v>
      </c>
      <c r="G90" s="1">
        <f>SUM(C90:D90)/SUM(C90:F90)</f>
        <v>0.80220693395853049</v>
      </c>
      <c r="H90" s="1">
        <f t="shared" si="3"/>
        <v>0.19779306604146954</v>
      </c>
    </row>
    <row r="91" spans="1:8" x14ac:dyDescent="0.3">
      <c r="A91" s="10" t="s">
        <v>188</v>
      </c>
      <c r="B91" s="30">
        <f t="shared" si="2"/>
        <v>1956873235.6515822</v>
      </c>
      <c r="C91" s="4">
        <f>INDEX('1.1 Y_FR_imports'!$B$4:$B$203, MATCH(Summary!A91, '1.1 Y_FR_imports'!$A$4:$A$203, 0))</f>
        <v>0</v>
      </c>
      <c r="D91" s="4">
        <f>INDEX('1.2 Z_FR_imports'!$B$4:$B$203, MATCH(Summary!A91, '1.2 Z_FR_imports'!$A$4:$A$203, 0))</f>
        <v>0</v>
      </c>
      <c r="E91" s="4">
        <f>INDEX('2.1 Y_FR_production'!$B$4:$B$203, MATCH(Summary!A91, '2.1 Y_FR_production'!$A$4:$A$203, 0))</f>
        <v>778589344.40538204</v>
      </c>
      <c r="F91" s="4">
        <f>INDEX('2.2 Z_FR_production'!$B$4:$B$203, MATCH(Summary!A91, '2.2 Z_FR_production'!$A$4:$A$203, 0))</f>
        <v>1178283891.2462001</v>
      </c>
      <c r="G91" s="1">
        <f>SUM(C91:D91)/SUM(C91:F91)</f>
        <v>0</v>
      </c>
      <c r="H91" s="1">
        <f t="shared" si="3"/>
        <v>1</v>
      </c>
    </row>
    <row r="92" spans="1:8" x14ac:dyDescent="0.3">
      <c r="A92" s="10" t="s">
        <v>101</v>
      </c>
      <c r="B92" s="30">
        <f t="shared" si="2"/>
        <v>1794558678.55285</v>
      </c>
      <c r="C92" s="4">
        <f>INDEX('1.1 Y_FR_imports'!$B$4:$B$203, MATCH(Summary!A92, '1.1 Y_FR_imports'!$A$4:$A$203, 0))</f>
        <v>0</v>
      </c>
      <c r="D92" s="4">
        <f>INDEX('1.2 Z_FR_imports'!$B$4:$B$203, MATCH(Summary!A92, '1.2 Z_FR_imports'!$A$4:$A$203, 0))</f>
        <v>1794558678.55285</v>
      </c>
      <c r="E92" s="4">
        <f>INDEX('2.1 Y_FR_production'!$B$4:$B$203, MATCH(Summary!A92, '2.1 Y_FR_production'!$A$4:$A$203, 0))</f>
        <v>0</v>
      </c>
      <c r="F92" s="4">
        <f>INDEX('2.2 Z_FR_production'!$B$4:$B$203, MATCH(Summary!A92, '2.2 Z_FR_production'!$A$4:$A$203, 0))</f>
        <v>0</v>
      </c>
      <c r="G92" s="1">
        <f>SUM(C92:D92)/SUM(C92:F92)</f>
        <v>1</v>
      </c>
      <c r="H92" s="1">
        <f t="shared" si="3"/>
        <v>0</v>
      </c>
    </row>
    <row r="93" spans="1:8" x14ac:dyDescent="0.3">
      <c r="A93" s="10" t="s">
        <v>88</v>
      </c>
      <c r="B93" s="30">
        <f t="shared" si="2"/>
        <v>1786175983.6012521</v>
      </c>
      <c r="C93" s="4">
        <f>INDEX('1.1 Y_FR_imports'!$B$4:$B$203, MATCH(Summary!A93, '1.1 Y_FR_imports'!$A$4:$A$203, 0))</f>
        <v>388474673.21038699</v>
      </c>
      <c r="D93" s="4">
        <f>INDEX('1.2 Z_FR_imports'!$B$4:$B$203, MATCH(Summary!A93, '1.2 Z_FR_imports'!$A$4:$A$203, 0))</f>
        <v>601936122.43810701</v>
      </c>
      <c r="E93" s="4">
        <f>INDEX('2.1 Y_FR_production'!$B$4:$B$203, MATCH(Summary!A93, '2.1 Y_FR_production'!$A$4:$A$203, 0))</f>
        <v>144131050.62184501</v>
      </c>
      <c r="F93" s="4">
        <f>INDEX('2.2 Z_FR_production'!$B$4:$B$203, MATCH(Summary!A93, '2.2 Z_FR_production'!$A$4:$A$203, 0))</f>
        <v>651634137.33091295</v>
      </c>
      <c r="G93" s="1">
        <f>SUM(C93:D93)/SUM(C93:F93)</f>
        <v>0.55448668257852607</v>
      </c>
      <c r="H93" s="1">
        <f t="shared" si="3"/>
        <v>0.44551331742147388</v>
      </c>
    </row>
    <row r="94" spans="1:8" x14ac:dyDescent="0.3">
      <c r="A94" s="10" t="s">
        <v>102</v>
      </c>
      <c r="B94" s="30">
        <f t="shared" si="2"/>
        <v>1742444673.939059</v>
      </c>
      <c r="C94" s="4">
        <f>INDEX('1.1 Y_FR_imports'!$B$4:$B$203, MATCH(Summary!A94, '1.1 Y_FR_imports'!$A$4:$A$203, 0))</f>
        <v>49820752.378482997</v>
      </c>
      <c r="D94" s="4">
        <f>INDEX('1.2 Z_FR_imports'!$B$4:$B$203, MATCH(Summary!A94, '1.2 Z_FR_imports'!$A$4:$A$203, 0))</f>
        <v>1430038976.3780899</v>
      </c>
      <c r="E94" s="4">
        <f>INDEX('2.1 Y_FR_production'!$B$4:$B$203, MATCH(Summary!A94, '2.1 Y_FR_production'!$A$4:$A$203, 0))</f>
        <v>56775206.187585101</v>
      </c>
      <c r="F94" s="4">
        <f>INDEX('2.2 Z_FR_production'!$B$4:$B$203, MATCH(Summary!A94, '2.2 Z_FR_production'!$A$4:$A$203, 0))</f>
        <v>205809738.994901</v>
      </c>
      <c r="G94" s="1">
        <f>SUM(C94:D94)/SUM(C94:F94)</f>
        <v>0.84930084202394029</v>
      </c>
      <c r="H94" s="1">
        <f t="shared" si="3"/>
        <v>0.15069915797605971</v>
      </c>
    </row>
    <row r="95" spans="1:8" x14ac:dyDescent="0.3">
      <c r="A95" s="10" t="s">
        <v>144</v>
      </c>
      <c r="B95" s="30">
        <f t="shared" si="2"/>
        <v>1581665857.6294479</v>
      </c>
      <c r="C95" s="4">
        <f>INDEX('1.1 Y_FR_imports'!$B$4:$B$203, MATCH(Summary!A95, '1.1 Y_FR_imports'!$A$4:$A$203, 0))</f>
        <v>86028436.806775793</v>
      </c>
      <c r="D95" s="4">
        <f>INDEX('1.2 Z_FR_imports'!$B$4:$B$203, MATCH(Summary!A95, '1.2 Z_FR_imports'!$A$4:$A$203, 0))</f>
        <v>199733742.86969501</v>
      </c>
      <c r="E95" s="4">
        <f>INDEX('2.1 Y_FR_production'!$B$4:$B$203, MATCH(Summary!A95, '2.1 Y_FR_production'!$A$4:$A$203, 0))</f>
        <v>643835681.90392804</v>
      </c>
      <c r="F95" s="4">
        <f>INDEX('2.2 Z_FR_production'!$B$4:$B$203, MATCH(Summary!A95, '2.2 Z_FR_production'!$A$4:$A$203, 0))</f>
        <v>652067996.04904902</v>
      </c>
      <c r="G95" s="1">
        <f>SUM(C95:D95)/SUM(C95:F95)</f>
        <v>0.18067164963955304</v>
      </c>
      <c r="H95" s="1">
        <f t="shared" si="3"/>
        <v>0.81932835036044693</v>
      </c>
    </row>
    <row r="96" spans="1:8" x14ac:dyDescent="0.3">
      <c r="A96" s="10" t="s">
        <v>19</v>
      </c>
      <c r="B96" s="30">
        <f t="shared" si="2"/>
        <v>1524167809.4760039</v>
      </c>
      <c r="C96" s="4">
        <f>INDEX('1.1 Y_FR_imports'!$B$4:$B$203, MATCH(Summary!A96, '1.1 Y_FR_imports'!$A$4:$A$203, 0))</f>
        <v>240548.09313306201</v>
      </c>
      <c r="D96" s="4">
        <f>INDEX('1.2 Z_FR_imports'!$B$4:$B$203, MATCH(Summary!A96, '1.2 Z_FR_imports'!$A$4:$A$203, 0))</f>
        <v>63561693.675846003</v>
      </c>
      <c r="E96" s="4">
        <f>INDEX('2.1 Y_FR_production'!$B$4:$B$203, MATCH(Summary!A96, '2.1 Y_FR_production'!$A$4:$A$203, 0))</f>
        <v>5276090.0516147297</v>
      </c>
      <c r="F96" s="4">
        <f>INDEX('2.2 Z_FR_production'!$B$4:$B$203, MATCH(Summary!A96, '2.2 Z_FR_production'!$A$4:$A$203, 0))</f>
        <v>1455089477.6554101</v>
      </c>
      <c r="G96" s="1">
        <f>SUM(C96:D96)/SUM(C96:F96)</f>
        <v>4.1860378740654375E-2</v>
      </c>
      <c r="H96" s="1">
        <f t="shared" si="3"/>
        <v>0.9581396212593456</v>
      </c>
    </row>
    <row r="97" spans="1:9" x14ac:dyDescent="0.3">
      <c r="A97" s="10" t="s">
        <v>31</v>
      </c>
      <c r="B97" s="30">
        <f t="shared" si="2"/>
        <v>1517913769.0098219</v>
      </c>
      <c r="C97" s="4">
        <f>INDEX('1.1 Y_FR_imports'!$B$4:$B$203, MATCH(Summary!A97, '1.1 Y_FR_imports'!$A$4:$A$203, 0))</f>
        <v>0</v>
      </c>
      <c r="D97" s="4">
        <f>INDEX('1.2 Z_FR_imports'!$B$4:$B$203, MATCH(Summary!A97, '1.2 Z_FR_imports'!$A$4:$A$203, 0))</f>
        <v>0</v>
      </c>
      <c r="E97" s="4">
        <f>INDEX('2.1 Y_FR_production'!$B$4:$B$203, MATCH(Summary!A97, '2.1 Y_FR_production'!$A$4:$A$203, 0))</f>
        <v>806482008.91389298</v>
      </c>
      <c r="F97" s="4">
        <f>INDEX('2.2 Z_FR_production'!$B$4:$B$203, MATCH(Summary!A97, '2.2 Z_FR_production'!$A$4:$A$203, 0))</f>
        <v>711431760.09592903</v>
      </c>
      <c r="G97" s="1">
        <f>SUM(C97:D97)/SUM(C97:F97)</f>
        <v>0</v>
      </c>
      <c r="H97" s="1">
        <f t="shared" si="3"/>
        <v>1</v>
      </c>
    </row>
    <row r="98" spans="1:9" x14ac:dyDescent="0.3">
      <c r="A98" s="10" t="s">
        <v>77</v>
      </c>
      <c r="B98" s="30">
        <f t="shared" si="2"/>
        <v>1516683667.7799313</v>
      </c>
      <c r="C98" s="4">
        <f>INDEX('1.1 Y_FR_imports'!$B$4:$B$203, MATCH(Summary!A98, '1.1 Y_FR_imports'!$A$4:$A$203, 0))</f>
        <v>0</v>
      </c>
      <c r="D98" s="4">
        <f>INDEX('1.2 Z_FR_imports'!$B$4:$B$203, MATCH(Summary!A98, '1.2 Z_FR_imports'!$A$4:$A$203, 0))</f>
        <v>10831491.5976102</v>
      </c>
      <c r="E98" s="4">
        <f>INDEX('2.1 Y_FR_production'!$B$4:$B$203, MATCH(Summary!A98, '2.1 Y_FR_production'!$A$4:$A$203, 0))</f>
        <v>511345228.55340803</v>
      </c>
      <c r="F98" s="4">
        <f>INDEX('2.2 Z_FR_production'!$B$4:$B$203, MATCH(Summary!A98, '2.2 Z_FR_production'!$A$4:$A$203, 0))</f>
        <v>994506947.62891304</v>
      </c>
      <c r="G98" s="1">
        <f>SUM(C98:D98)/SUM(C98:F98)</f>
        <v>7.1415627580832062E-3</v>
      </c>
      <c r="H98" s="1">
        <f t="shared" si="3"/>
        <v>0.9928584372419168</v>
      </c>
    </row>
    <row r="99" spans="1:9" x14ac:dyDescent="0.3">
      <c r="A99" s="10" t="s">
        <v>65</v>
      </c>
      <c r="B99" s="30">
        <f t="shared" si="2"/>
        <v>1477254128.7648664</v>
      </c>
      <c r="C99" s="4">
        <f>INDEX('1.1 Y_FR_imports'!$B$4:$B$203, MATCH(Summary!A99, '1.1 Y_FR_imports'!$A$4:$A$203, 0))</f>
        <v>0</v>
      </c>
      <c r="D99" s="4">
        <f>INDEX('1.2 Z_FR_imports'!$B$4:$B$203, MATCH(Summary!A99, '1.2 Z_FR_imports'!$A$4:$A$203, 0))</f>
        <v>11718651.0584323</v>
      </c>
      <c r="E99" s="4">
        <f>INDEX('2.1 Y_FR_production'!$B$4:$B$203, MATCH(Summary!A99, '2.1 Y_FR_production'!$A$4:$A$203, 0))</f>
        <v>342019625.55257398</v>
      </c>
      <c r="F99" s="4">
        <f>INDEX('2.2 Z_FR_production'!$B$4:$B$203, MATCH(Summary!A99, '2.2 Z_FR_production'!$A$4:$A$203, 0))</f>
        <v>1123515852.1538601</v>
      </c>
      <c r="G99" s="1">
        <f>SUM(C99:D99)/SUM(C99:F99)</f>
        <v>7.9327252029617115E-3</v>
      </c>
      <c r="H99" s="1">
        <f t="shared" si="3"/>
        <v>0.99206727479703827</v>
      </c>
    </row>
    <row r="100" spans="1:9" x14ac:dyDescent="0.3">
      <c r="A100" s="10" t="s">
        <v>189</v>
      </c>
      <c r="B100" s="30">
        <f t="shared" si="2"/>
        <v>1446059462.1680574</v>
      </c>
      <c r="C100" s="4">
        <f>INDEX('1.1 Y_FR_imports'!$B$4:$B$203, MATCH(Summary!A100, '1.1 Y_FR_imports'!$A$4:$A$203, 0))</f>
        <v>2579348.0001278799</v>
      </c>
      <c r="D100" s="4">
        <f>INDEX('1.2 Z_FR_imports'!$B$4:$B$203, MATCH(Summary!A100, '1.2 Z_FR_imports'!$A$4:$A$203, 0))</f>
        <v>582098289.573035</v>
      </c>
      <c r="E100" s="4">
        <f>INDEX('2.1 Y_FR_production'!$B$4:$B$203, MATCH(Summary!A100, '2.1 Y_FR_production'!$A$4:$A$203, 0))</f>
        <v>23570640.0155675</v>
      </c>
      <c r="F100" s="4">
        <f>INDEX('2.2 Z_FR_production'!$B$4:$B$203, MATCH(Summary!A100, '2.2 Z_FR_production'!$A$4:$A$203, 0))</f>
        <v>837811184.57932699</v>
      </c>
      <c r="G100" s="1">
        <f>SUM(C100:D100)/SUM(C100:F100)</f>
        <v>0.40432475487319425</v>
      </c>
      <c r="H100" s="1">
        <f t="shared" si="3"/>
        <v>0.59567524512680581</v>
      </c>
    </row>
    <row r="101" spans="1:9" x14ac:dyDescent="0.3">
      <c r="A101" s="10" t="s">
        <v>100</v>
      </c>
      <c r="B101" s="30">
        <f t="shared" si="2"/>
        <v>1311100004.3200502</v>
      </c>
      <c r="C101" s="4">
        <f>INDEX('1.1 Y_FR_imports'!$B$4:$B$203, MATCH(Summary!A101, '1.1 Y_FR_imports'!$A$4:$A$203, 0))</f>
        <v>5836938.0701382197</v>
      </c>
      <c r="D101" s="4">
        <f>INDEX('1.2 Z_FR_imports'!$B$4:$B$203, MATCH(Summary!A101, '1.2 Z_FR_imports'!$A$4:$A$203, 0))</f>
        <v>666879866.69247901</v>
      </c>
      <c r="E101" s="4">
        <f>INDEX('2.1 Y_FR_production'!$B$4:$B$203, MATCH(Summary!A101, '2.1 Y_FR_production'!$A$4:$A$203, 0))</f>
        <v>11134461.741601899</v>
      </c>
      <c r="F101" s="4">
        <f>INDEX('2.2 Z_FR_production'!$B$4:$B$203, MATCH(Summary!A101, '2.2 Z_FR_production'!$A$4:$A$203, 0))</f>
        <v>627248737.81583095</v>
      </c>
      <c r="G101" s="1">
        <f>SUM(C101:D101)/SUM(C101:F101)</f>
        <v>0.51309343493709691</v>
      </c>
      <c r="H101" s="1">
        <f t="shared" si="3"/>
        <v>0.48690656506290297</v>
      </c>
    </row>
    <row r="102" spans="1:9" x14ac:dyDescent="0.3">
      <c r="A102" s="10" t="s">
        <v>96</v>
      </c>
      <c r="B102" s="30">
        <f t="shared" si="2"/>
        <v>1293174949.8431029</v>
      </c>
      <c r="C102" s="4">
        <f>INDEX('1.1 Y_FR_imports'!$B$4:$B$203, MATCH(Summary!A102, '1.1 Y_FR_imports'!$A$4:$A$203, 0))</f>
        <v>100989.718897673</v>
      </c>
      <c r="D102" s="4">
        <f>INDEX('1.2 Z_FR_imports'!$B$4:$B$203, MATCH(Summary!A102, '1.2 Z_FR_imports'!$A$4:$A$203, 0))</f>
        <v>37249404.604231201</v>
      </c>
      <c r="E102" s="4">
        <f>INDEX('2.1 Y_FR_production'!$B$4:$B$203, MATCH(Summary!A102, '2.1 Y_FR_production'!$A$4:$A$203, 0))</f>
        <v>970177796.70988202</v>
      </c>
      <c r="F102" s="4">
        <f>INDEX('2.2 Z_FR_production'!$B$4:$B$203, MATCH(Summary!A102, '2.2 Z_FR_production'!$A$4:$A$203, 0))</f>
        <v>285646758.81009197</v>
      </c>
      <c r="G102" s="1">
        <f>SUM(C102:D102)/SUM(C102:F102)</f>
        <v>2.8882707887019063E-2</v>
      </c>
      <c r="H102" s="1">
        <f t="shared" si="3"/>
        <v>0.97111729211298092</v>
      </c>
    </row>
    <row r="103" spans="1:9" x14ac:dyDescent="0.3">
      <c r="A103" s="10" t="s">
        <v>117</v>
      </c>
      <c r="B103" s="30">
        <f t="shared" si="2"/>
        <v>1288751708.6018414</v>
      </c>
      <c r="C103" s="4">
        <f>INDEX('1.1 Y_FR_imports'!$B$4:$B$203, MATCH(Summary!A103, '1.1 Y_FR_imports'!$A$4:$A$203, 0))</f>
        <v>71492203.930441901</v>
      </c>
      <c r="D103" s="4">
        <f>INDEX('1.2 Z_FR_imports'!$B$4:$B$203, MATCH(Summary!A103, '1.2 Z_FR_imports'!$A$4:$A$203, 0))</f>
        <v>92392533.9179077</v>
      </c>
      <c r="E103" s="4">
        <f>INDEX('2.1 Y_FR_production'!$B$4:$B$203, MATCH(Summary!A103, '2.1 Y_FR_production'!$A$4:$A$203, 0))</f>
        <v>943159741.76560998</v>
      </c>
      <c r="F103" s="4">
        <f>INDEX('2.2 Z_FR_production'!$B$4:$B$203, MATCH(Summary!A103, '2.2 Z_FR_production'!$A$4:$A$203, 0))</f>
        <v>181707228.98788199</v>
      </c>
      <c r="G103" s="1">
        <f>SUM(C103:D103)/SUM(C103:F103)</f>
        <v>0.12716548638072969</v>
      </c>
      <c r="H103" s="1">
        <f t="shared" si="3"/>
        <v>0.87283451361927034</v>
      </c>
    </row>
    <row r="104" spans="1:9" x14ac:dyDescent="0.3">
      <c r="A104" s="10" t="s">
        <v>36</v>
      </c>
      <c r="B104" s="30">
        <f t="shared" si="2"/>
        <v>1234273767.713927</v>
      </c>
      <c r="C104" s="4">
        <f>INDEX('1.1 Y_FR_imports'!$B$4:$B$203, MATCH(Summary!A104, '1.1 Y_FR_imports'!$A$4:$A$203, 0))</f>
        <v>319317963.66828001</v>
      </c>
      <c r="D104" s="4">
        <f>INDEX('1.2 Z_FR_imports'!$B$4:$B$203, MATCH(Summary!A104, '1.2 Z_FR_imports'!$A$4:$A$203, 0))</f>
        <v>615045017.24996305</v>
      </c>
      <c r="E104" s="4">
        <f>INDEX('2.1 Y_FR_production'!$B$4:$B$203, MATCH(Summary!A104, '2.1 Y_FR_production'!$A$4:$A$203, 0))</f>
        <v>15630297.839656901</v>
      </c>
      <c r="F104" s="4">
        <f>INDEX('2.2 Z_FR_production'!$B$4:$B$203, MATCH(Summary!A104, '2.2 Z_FR_production'!$A$4:$A$203, 0))</f>
        <v>284280488.95602697</v>
      </c>
      <c r="G104" s="1">
        <f>SUM(C104:D104)/SUM(C104:F104)</f>
        <v>0.75701437181868747</v>
      </c>
      <c r="H104" s="1">
        <f t="shared" si="3"/>
        <v>0.24298562818131242</v>
      </c>
    </row>
    <row r="105" spans="1:9" x14ac:dyDescent="0.3">
      <c r="A105" s="10" t="s">
        <v>115</v>
      </c>
      <c r="B105" s="30">
        <f t="shared" si="2"/>
        <v>1214261286.6810906</v>
      </c>
      <c r="C105" s="4">
        <f>INDEX('1.1 Y_FR_imports'!$B$4:$B$203, MATCH(Summary!A105, '1.1 Y_FR_imports'!$A$4:$A$203, 0))</f>
        <v>4591015.4635680197</v>
      </c>
      <c r="D105" s="4">
        <f>INDEX('1.2 Z_FR_imports'!$B$4:$B$203, MATCH(Summary!A105, '1.2 Z_FR_imports'!$A$4:$A$203, 0))</f>
        <v>1075091152.31124</v>
      </c>
      <c r="E105" s="4">
        <f>INDEX('2.1 Y_FR_production'!$B$4:$B$203, MATCH(Summary!A105, '2.1 Y_FR_production'!$A$4:$A$203, 0))</f>
        <v>4131177.83585863</v>
      </c>
      <c r="F105" s="4">
        <f>INDEX('2.2 Z_FR_production'!$B$4:$B$203, MATCH(Summary!A105, '2.2 Z_FR_production'!$A$4:$A$203, 0))</f>
        <v>130447941.07042401</v>
      </c>
      <c r="G105" s="1">
        <f>SUM(C105:D105)/SUM(C105:F105)</f>
        <v>0.8891679077786262</v>
      </c>
      <c r="H105" s="1">
        <f t="shared" si="3"/>
        <v>0.11083209222137379</v>
      </c>
    </row>
    <row r="106" spans="1:9" x14ac:dyDescent="0.3">
      <c r="A106" s="10" t="s">
        <v>66</v>
      </c>
      <c r="B106" s="30">
        <f t="shared" si="2"/>
        <v>1157953365.2235632</v>
      </c>
      <c r="C106" s="4">
        <f>INDEX('1.1 Y_FR_imports'!$B$4:$B$203, MATCH(Summary!A106, '1.1 Y_FR_imports'!$A$4:$A$203, 0))</f>
        <v>0</v>
      </c>
      <c r="D106" s="4">
        <f>INDEX('1.2 Z_FR_imports'!$B$4:$B$203, MATCH(Summary!A106, '1.2 Z_FR_imports'!$A$4:$A$203, 0))</f>
        <v>10696676.229518101</v>
      </c>
      <c r="E106" s="4">
        <f>INDEX('2.1 Y_FR_production'!$B$4:$B$203, MATCH(Summary!A106, '2.1 Y_FR_production'!$A$4:$A$203, 0))</f>
        <v>273684720.28991002</v>
      </c>
      <c r="F106" s="4">
        <f>INDEX('2.2 Z_FR_production'!$B$4:$B$203, MATCH(Summary!A106, '2.2 Z_FR_production'!$A$4:$A$203, 0))</f>
        <v>873571968.70413494</v>
      </c>
      <c r="G106" s="1">
        <f>SUM(C106:D106)/SUM(C106:F106)</f>
        <v>9.2375708303701152E-3</v>
      </c>
      <c r="H106" s="1">
        <f t="shared" si="3"/>
        <v>0.99076242916962987</v>
      </c>
      <c r="I106" s="6"/>
    </row>
    <row r="107" spans="1:9" x14ac:dyDescent="0.3">
      <c r="A107" s="10" t="s">
        <v>13</v>
      </c>
      <c r="B107" s="30">
        <f t="shared" si="2"/>
        <v>1153808281.6284103</v>
      </c>
      <c r="C107" s="4">
        <f>INDEX('1.1 Y_FR_imports'!$B$4:$B$203, MATCH(Summary!A107, '1.1 Y_FR_imports'!$A$4:$A$203, 0))</f>
        <v>2682387.7772107399</v>
      </c>
      <c r="D107" s="4">
        <f>INDEX('1.2 Z_FR_imports'!$B$4:$B$203, MATCH(Summary!A107, '1.2 Z_FR_imports'!$A$4:$A$203, 0))</f>
        <v>96334960.624817893</v>
      </c>
      <c r="E107" s="4">
        <f>INDEX('2.1 Y_FR_production'!$B$4:$B$203, MATCH(Summary!A107, '2.1 Y_FR_production'!$A$4:$A$203, 0))</f>
        <v>55085072.955677703</v>
      </c>
      <c r="F107" s="4">
        <f>INDEX('2.2 Z_FR_production'!$B$4:$B$203, MATCH(Summary!A107, '2.2 Z_FR_production'!$A$4:$A$203, 0))</f>
        <v>999705860.27070403</v>
      </c>
      <c r="G107" s="1">
        <f>SUM(C107:D107)/SUM(C107:F107)</f>
        <v>8.5817852045819917E-2</v>
      </c>
      <c r="H107" s="1">
        <f t="shared" si="3"/>
        <v>0.91418214795418018</v>
      </c>
      <c r="I107" s="6"/>
    </row>
    <row r="108" spans="1:9" x14ac:dyDescent="0.3">
      <c r="A108" s="10" t="s">
        <v>140</v>
      </c>
      <c r="B108" s="30">
        <f t="shared" si="2"/>
        <v>1115875959.6088853</v>
      </c>
      <c r="C108" s="4">
        <f>INDEX('1.1 Y_FR_imports'!$B$4:$B$203, MATCH(Summary!A108, '1.1 Y_FR_imports'!$A$4:$A$203, 0))</f>
        <v>1387663.39216132</v>
      </c>
      <c r="D108" s="4">
        <f>INDEX('1.2 Z_FR_imports'!$B$4:$B$203, MATCH(Summary!A108, '1.2 Z_FR_imports'!$A$4:$A$203, 0))</f>
        <v>314201383.68713599</v>
      </c>
      <c r="E108" s="4">
        <f>INDEX('2.1 Y_FR_production'!$B$4:$B$203, MATCH(Summary!A108, '2.1 Y_FR_production'!$A$4:$A$203, 0))</f>
        <v>17776406.874310099</v>
      </c>
      <c r="F108" s="4">
        <f>INDEX('2.2 Z_FR_production'!$B$4:$B$203, MATCH(Summary!A108, '2.2 Z_FR_production'!$A$4:$A$203, 0))</f>
        <v>782510505.65527797</v>
      </c>
      <c r="G108" s="1">
        <f>SUM(C108:D108)/SUM(C108:F108)</f>
        <v>0.28281731886213529</v>
      </c>
      <c r="H108" s="1">
        <f t="shared" si="3"/>
        <v>0.71718268113786487</v>
      </c>
      <c r="I108" s="6"/>
    </row>
    <row r="109" spans="1:9" x14ac:dyDescent="0.3">
      <c r="A109" s="10" t="s">
        <v>105</v>
      </c>
      <c r="B109" s="30">
        <f t="shared" si="2"/>
        <v>1079394863.8797679</v>
      </c>
      <c r="C109" s="4">
        <f>INDEX('1.1 Y_FR_imports'!$B$4:$B$203, MATCH(Summary!A109, '1.1 Y_FR_imports'!$A$4:$A$203, 0))</f>
        <v>5435456.1028659204</v>
      </c>
      <c r="D109" s="4">
        <f>INDEX('1.2 Z_FR_imports'!$B$4:$B$203, MATCH(Summary!A109, '1.2 Z_FR_imports'!$A$4:$A$203, 0))</f>
        <v>91924275.261286005</v>
      </c>
      <c r="E109" s="4">
        <f>INDEX('2.1 Y_FR_production'!$B$4:$B$203, MATCH(Summary!A109, '2.1 Y_FR_production'!$A$4:$A$203, 0))</f>
        <v>743901052.47691298</v>
      </c>
      <c r="F109" s="4">
        <f>INDEX('2.2 Z_FR_production'!$B$4:$B$203, MATCH(Summary!A109, '2.2 Z_FR_production'!$A$4:$A$203, 0))</f>
        <v>238134080.03870299</v>
      </c>
      <c r="G109" s="1">
        <f>SUM(C109:D109)/SUM(C109:F109)</f>
        <v>9.0198438608650511E-2</v>
      </c>
      <c r="H109" s="1">
        <f t="shared" si="3"/>
        <v>0.90980156139134949</v>
      </c>
      <c r="I109" s="6"/>
    </row>
    <row r="110" spans="1:9" x14ac:dyDescent="0.3">
      <c r="A110" s="10" t="s">
        <v>149</v>
      </c>
      <c r="B110" s="30">
        <f t="shared" si="2"/>
        <v>1049527560.0061212</v>
      </c>
      <c r="C110" s="4">
        <f>INDEX('1.1 Y_FR_imports'!$B$4:$B$203, MATCH(Summary!A110, '1.1 Y_FR_imports'!$A$4:$A$203, 0))</f>
        <v>1110307.3772402799</v>
      </c>
      <c r="D110" s="4">
        <f>INDEX('1.2 Z_FR_imports'!$B$4:$B$203, MATCH(Summary!A110, '1.2 Z_FR_imports'!$A$4:$A$203, 0))</f>
        <v>414723627.29435599</v>
      </c>
      <c r="E110" s="4">
        <f>INDEX('2.1 Y_FR_production'!$B$4:$B$203, MATCH(Summary!A110, '2.1 Y_FR_production'!$A$4:$A$203, 0))</f>
        <v>27204566.211112902</v>
      </c>
      <c r="F110" s="4">
        <f>INDEX('2.2 Z_FR_production'!$B$4:$B$203, MATCH(Summary!A110, '2.2 Z_FR_production'!$A$4:$A$203, 0))</f>
        <v>606489059.12341201</v>
      </c>
      <c r="G110" s="1">
        <f>SUM(C110:D110)/SUM(C110:F110)</f>
        <v>0.39621059085782467</v>
      </c>
      <c r="H110" s="1">
        <f t="shared" si="3"/>
        <v>0.60378940914217538</v>
      </c>
      <c r="I110" s="6"/>
    </row>
    <row r="111" spans="1:9" x14ac:dyDescent="0.3">
      <c r="A111" s="10" t="s">
        <v>27</v>
      </c>
      <c r="B111" s="30">
        <f t="shared" si="2"/>
        <v>1024867778.5708427</v>
      </c>
      <c r="C111" s="4">
        <f>INDEX('1.1 Y_FR_imports'!$B$4:$B$203, MATCH(Summary!A111, '1.1 Y_FR_imports'!$A$4:$A$203, 0))</f>
        <v>0</v>
      </c>
      <c r="D111" s="4">
        <f>INDEX('1.2 Z_FR_imports'!$B$4:$B$203, MATCH(Summary!A111, '1.2 Z_FR_imports'!$A$4:$A$203, 0))</f>
        <v>818292.446741333</v>
      </c>
      <c r="E111" s="4">
        <f>INDEX('2.1 Y_FR_production'!$B$4:$B$203, MATCH(Summary!A111, '2.1 Y_FR_production'!$A$4:$A$203, 0))</f>
        <v>19666376.124941401</v>
      </c>
      <c r="F111" s="4">
        <f>INDEX('2.2 Z_FR_production'!$B$4:$B$203, MATCH(Summary!A111, '2.2 Z_FR_production'!$A$4:$A$203, 0))</f>
        <v>1004383109.9991601</v>
      </c>
      <c r="G111" s="1">
        <f>SUM(C111:D111)/SUM(C111:F111)</f>
        <v>7.9843708998484188E-4</v>
      </c>
      <c r="H111" s="1">
        <f t="shared" si="3"/>
        <v>0.99920156291001516</v>
      </c>
      <c r="I111" s="6"/>
    </row>
    <row r="112" spans="1:9" x14ac:dyDescent="0.3">
      <c r="A112" s="10" t="s">
        <v>109</v>
      </c>
      <c r="B112" s="30">
        <f t="shared" si="2"/>
        <v>1002476710.3897372</v>
      </c>
      <c r="C112" s="4">
        <f>INDEX('1.1 Y_FR_imports'!$B$4:$B$203, MATCH(Summary!A112, '1.1 Y_FR_imports'!$A$4:$A$203, 0))</f>
        <v>105173.79418728</v>
      </c>
      <c r="D112" s="4">
        <f>INDEX('1.2 Z_FR_imports'!$B$4:$B$203, MATCH(Summary!A112, '1.2 Z_FR_imports'!$A$4:$A$203, 0))</f>
        <v>1002371536.5955499</v>
      </c>
      <c r="E112" s="4">
        <f>INDEX('2.1 Y_FR_production'!$B$4:$B$203, MATCH(Summary!A112, '2.1 Y_FR_production'!$A$4:$A$203, 0))</f>
        <v>0</v>
      </c>
      <c r="F112" s="4">
        <f>INDEX('2.2 Z_FR_production'!$B$4:$B$203, MATCH(Summary!A112, '2.2 Z_FR_production'!$A$4:$A$203, 0))</f>
        <v>0</v>
      </c>
      <c r="G112" s="1">
        <f>SUM(C112:D112)/SUM(C112:F112)</f>
        <v>1</v>
      </c>
      <c r="H112" s="1">
        <f t="shared" si="3"/>
        <v>0</v>
      </c>
      <c r="I112" s="6"/>
    </row>
    <row r="113" spans="1:9" x14ac:dyDescent="0.3">
      <c r="A113" s="10" t="s">
        <v>84</v>
      </c>
      <c r="B113" s="30">
        <f t="shared" si="2"/>
        <v>946758075.03584433</v>
      </c>
      <c r="C113" s="4">
        <f>INDEX('1.1 Y_FR_imports'!$B$4:$B$203, MATCH(Summary!A113, '1.1 Y_FR_imports'!$A$4:$A$203, 0))</f>
        <v>115052.355217032</v>
      </c>
      <c r="D113" s="4">
        <f>INDEX('1.2 Z_FR_imports'!$B$4:$B$203, MATCH(Summary!A113, '1.2 Z_FR_imports'!$A$4:$A$203, 0))</f>
        <v>471785970.03504598</v>
      </c>
      <c r="E113" s="4">
        <f>INDEX('2.1 Y_FR_production'!$B$4:$B$203, MATCH(Summary!A113, '2.1 Y_FR_production'!$A$4:$A$203, 0))</f>
        <v>9999102.6313753892</v>
      </c>
      <c r="F113" s="4">
        <f>INDEX('2.2 Z_FR_production'!$B$4:$B$203, MATCH(Summary!A113, '2.2 Z_FR_production'!$A$4:$A$203, 0))</f>
        <v>464857950.01420599</v>
      </c>
      <c r="G113" s="1">
        <f>SUM(C113:D113)/SUM(C113:F113)</f>
        <v>0.4984388671545229</v>
      </c>
      <c r="H113" s="1">
        <f t="shared" si="3"/>
        <v>0.50156113284547721</v>
      </c>
      <c r="I113" s="6"/>
    </row>
    <row r="114" spans="1:9" x14ac:dyDescent="0.3">
      <c r="A114" s="10" t="s">
        <v>201</v>
      </c>
      <c r="B114" s="30">
        <f t="shared" si="2"/>
        <v>942679897.64496064</v>
      </c>
      <c r="C114" s="4">
        <f>INDEX('1.1 Y_FR_imports'!$B$4:$B$203, MATCH(Summary!A114, '1.1 Y_FR_imports'!$A$4:$A$203, 0))</f>
        <v>206189342.07271099</v>
      </c>
      <c r="D114" s="4">
        <f>INDEX('1.2 Z_FR_imports'!$B$4:$B$203, MATCH(Summary!A114, '1.2 Z_FR_imports'!$A$4:$A$203, 0))</f>
        <v>644111294.15133595</v>
      </c>
      <c r="E114" s="4">
        <f>INDEX('2.1 Y_FR_production'!$B$4:$B$203, MATCH(Summary!A114, '2.1 Y_FR_production'!$A$4:$A$203, 0))</f>
        <v>12136452.3394507</v>
      </c>
      <c r="F114" s="4">
        <f>INDEX('2.2 Z_FR_production'!$B$4:$B$203, MATCH(Summary!A114, '2.2 Z_FR_production'!$A$4:$A$203, 0))</f>
        <v>80242809.081462994</v>
      </c>
      <c r="G114" s="1">
        <f>SUM(C114:D114)/SUM(C114:F114)</f>
        <v>0.90200357337448356</v>
      </c>
      <c r="H114" s="1">
        <f t="shared" si="3"/>
        <v>9.79964266255164E-2</v>
      </c>
      <c r="I114" s="6"/>
    </row>
    <row r="115" spans="1:9" x14ac:dyDescent="0.3">
      <c r="A115" s="10" t="s">
        <v>80</v>
      </c>
      <c r="B115" s="30">
        <f t="shared" si="2"/>
        <v>934032047.3721633</v>
      </c>
      <c r="C115" s="4">
        <f>INDEX('1.1 Y_FR_imports'!$B$4:$B$203, MATCH(Summary!A115, '1.1 Y_FR_imports'!$A$4:$A$203, 0))</f>
        <v>0</v>
      </c>
      <c r="D115" s="4">
        <f>INDEX('1.2 Z_FR_imports'!$B$4:$B$203, MATCH(Summary!A115, '1.2 Z_FR_imports'!$A$4:$A$203, 0))</f>
        <v>22439139.551322799</v>
      </c>
      <c r="E115" s="4">
        <f>INDEX('2.1 Y_FR_production'!$B$4:$B$203, MATCH(Summary!A115, '2.1 Y_FR_production'!$A$4:$A$203, 0))</f>
        <v>61084470.092544504</v>
      </c>
      <c r="F115" s="4">
        <f>INDEX('2.2 Z_FR_production'!$B$4:$B$203, MATCH(Summary!A115, '2.2 Z_FR_production'!$A$4:$A$203, 0))</f>
        <v>850508437.72829604</v>
      </c>
      <c r="G115" s="1">
        <f>SUM(C115:D115)/SUM(C115:F115)</f>
        <v>2.4023950371353766E-2</v>
      </c>
      <c r="H115" s="1">
        <f t="shared" si="3"/>
        <v>0.97597604962864637</v>
      </c>
      <c r="I115" s="6"/>
    </row>
    <row r="116" spans="1:9" x14ac:dyDescent="0.3">
      <c r="A116" s="10" t="s">
        <v>177</v>
      </c>
      <c r="B116" s="30">
        <f t="shared" si="2"/>
        <v>863384631.45094037</v>
      </c>
      <c r="C116" s="4">
        <f>INDEX('1.1 Y_FR_imports'!$B$4:$B$203, MATCH(Summary!A116, '1.1 Y_FR_imports'!$A$4:$A$203, 0))</f>
        <v>0</v>
      </c>
      <c r="D116" s="4">
        <f>INDEX('1.2 Z_FR_imports'!$B$4:$B$203, MATCH(Summary!A116, '1.2 Z_FR_imports'!$A$4:$A$203, 0))</f>
        <v>12611969.5114263</v>
      </c>
      <c r="E116" s="4">
        <f>INDEX('2.1 Y_FR_production'!$B$4:$B$203, MATCH(Summary!A116, '2.1 Y_FR_production'!$A$4:$A$203, 0))</f>
        <v>171547952.82699201</v>
      </c>
      <c r="F116" s="4">
        <f>INDEX('2.2 Z_FR_production'!$B$4:$B$203, MATCH(Summary!A116, '2.2 Z_FR_production'!$A$4:$A$203, 0))</f>
        <v>679224709.11252201</v>
      </c>
      <c r="G116" s="1">
        <f>SUM(C116:D116)/SUM(C116:F116)</f>
        <v>1.4607590929932997E-2</v>
      </c>
      <c r="H116" s="1">
        <f t="shared" si="3"/>
        <v>0.98539240907006698</v>
      </c>
      <c r="I116" s="6"/>
    </row>
    <row r="117" spans="1:9" x14ac:dyDescent="0.3">
      <c r="A117" s="10" t="s">
        <v>108</v>
      </c>
      <c r="B117" s="30">
        <f t="shared" si="2"/>
        <v>840010765.4561491</v>
      </c>
      <c r="C117" s="4">
        <f>INDEX('1.1 Y_FR_imports'!$B$4:$B$203, MATCH(Summary!A117, '1.1 Y_FR_imports'!$A$4:$A$203, 0))</f>
        <v>0</v>
      </c>
      <c r="D117" s="4">
        <f>INDEX('1.2 Z_FR_imports'!$B$4:$B$203, MATCH(Summary!A117, '1.2 Z_FR_imports'!$A$4:$A$203, 0))</f>
        <v>10307199.661420099</v>
      </c>
      <c r="E117" s="4">
        <f>INDEX('2.1 Y_FR_production'!$B$4:$B$203, MATCH(Summary!A117, '2.1 Y_FR_production'!$A$4:$A$203, 0))</f>
        <v>172193795.40075099</v>
      </c>
      <c r="F117" s="4">
        <f>INDEX('2.2 Z_FR_production'!$B$4:$B$203, MATCH(Summary!A117, '2.2 Z_FR_production'!$A$4:$A$203, 0))</f>
        <v>657509770.393978</v>
      </c>
      <c r="G117" s="1">
        <f>SUM(C117:D117)/SUM(C117:F117)</f>
        <v>1.2270318530766692E-2</v>
      </c>
      <c r="H117" s="1">
        <f t="shared" si="3"/>
        <v>0.98772968146923334</v>
      </c>
      <c r="I117" s="6"/>
    </row>
    <row r="118" spans="1:9" x14ac:dyDescent="0.3">
      <c r="A118" s="10" t="s">
        <v>64</v>
      </c>
      <c r="B118" s="30">
        <f t="shared" si="2"/>
        <v>734997697.7413187</v>
      </c>
      <c r="C118" s="4">
        <f>INDEX('1.1 Y_FR_imports'!$B$4:$B$203, MATCH(Summary!A118, '1.1 Y_FR_imports'!$A$4:$A$203, 0))</f>
        <v>0</v>
      </c>
      <c r="D118" s="4">
        <f>INDEX('1.2 Z_FR_imports'!$B$4:$B$203, MATCH(Summary!A118, '1.2 Z_FR_imports'!$A$4:$A$203, 0))</f>
        <v>6592745.6218467401</v>
      </c>
      <c r="E118" s="4">
        <f>INDEX('2.1 Y_FR_production'!$B$4:$B$203, MATCH(Summary!A118, '2.1 Y_FR_production'!$A$4:$A$203, 0))</f>
        <v>206415456.534264</v>
      </c>
      <c r="F118" s="4">
        <f>INDEX('2.2 Z_FR_production'!$B$4:$B$203, MATCH(Summary!A118, '2.2 Z_FR_production'!$A$4:$A$203, 0))</f>
        <v>521989495.585208</v>
      </c>
      <c r="G118" s="1">
        <f>SUM(C118:D118)/SUM(C118:F118)</f>
        <v>8.9697500306552616E-3</v>
      </c>
      <c r="H118" s="1">
        <f t="shared" si="3"/>
        <v>0.99103024996934486</v>
      </c>
      <c r="I118" s="6"/>
    </row>
    <row r="119" spans="1:9" x14ac:dyDescent="0.3">
      <c r="A119" s="10" t="s">
        <v>127</v>
      </c>
      <c r="B119" s="30">
        <f t="shared" si="2"/>
        <v>688873948.13290548</v>
      </c>
      <c r="C119" s="4">
        <f>INDEX('1.1 Y_FR_imports'!$B$4:$B$203, MATCH(Summary!A119, '1.1 Y_FR_imports'!$A$4:$A$203, 0))</f>
        <v>0</v>
      </c>
      <c r="D119" s="4">
        <f>INDEX('1.2 Z_FR_imports'!$B$4:$B$203, MATCH(Summary!A119, '1.2 Z_FR_imports'!$A$4:$A$203, 0))</f>
        <v>6176337.49933853</v>
      </c>
      <c r="E119" s="4">
        <f>INDEX('2.1 Y_FR_production'!$B$4:$B$203, MATCH(Summary!A119, '2.1 Y_FR_production'!$A$4:$A$203, 0))</f>
        <v>159785723.617376</v>
      </c>
      <c r="F119" s="4">
        <f>INDEX('2.2 Z_FR_production'!$B$4:$B$203, MATCH(Summary!A119, '2.2 Z_FR_production'!$A$4:$A$203, 0))</f>
        <v>522911887.01619101</v>
      </c>
      <c r="G119" s="1">
        <f>SUM(C119:D119)/SUM(C119:F119)</f>
        <v>8.9658456617188256E-3</v>
      </c>
      <c r="H119" s="1">
        <f t="shared" si="3"/>
        <v>0.99103415433828124</v>
      </c>
      <c r="I119" s="6"/>
    </row>
    <row r="120" spans="1:9" x14ac:dyDescent="0.3">
      <c r="A120" s="10" t="s">
        <v>150</v>
      </c>
      <c r="B120" s="30">
        <f t="shared" si="2"/>
        <v>659306677.8950181</v>
      </c>
      <c r="C120" s="4">
        <f>INDEX('1.1 Y_FR_imports'!$B$4:$B$203, MATCH(Summary!A120, '1.1 Y_FR_imports'!$A$4:$A$203, 0))</f>
        <v>2.11294406297263E-4</v>
      </c>
      <c r="D120" s="4">
        <f>INDEX('1.2 Z_FR_imports'!$B$4:$B$203, MATCH(Summary!A120, '1.2 Z_FR_imports'!$A$4:$A$203, 0))</f>
        <v>535488053.53934503</v>
      </c>
      <c r="E120" s="4">
        <f>INDEX('2.1 Y_FR_production'!$B$4:$B$203, MATCH(Summary!A120, '2.1 Y_FR_production'!$A$4:$A$203, 0))</f>
        <v>106577.964809852</v>
      </c>
      <c r="F120" s="4">
        <f>INDEX('2.2 Z_FR_production'!$B$4:$B$203, MATCH(Summary!A120, '2.2 Z_FR_production'!$A$4:$A$203, 0))</f>
        <v>123712046.390652</v>
      </c>
      <c r="G120" s="1">
        <f>SUM(C120:D120)/SUM(C120:F120)</f>
        <v>0.81219874072748655</v>
      </c>
      <c r="H120" s="1">
        <f t="shared" si="3"/>
        <v>0.18780125927251351</v>
      </c>
      <c r="I120" s="6"/>
    </row>
    <row r="121" spans="1:9" x14ac:dyDescent="0.3">
      <c r="A121" s="10" t="s">
        <v>63</v>
      </c>
      <c r="B121" s="30">
        <f t="shared" si="2"/>
        <v>656400142.41131175</v>
      </c>
      <c r="C121" s="4">
        <f>INDEX('1.1 Y_FR_imports'!$B$4:$B$203, MATCH(Summary!A121, '1.1 Y_FR_imports'!$A$4:$A$203, 0))</f>
        <v>0</v>
      </c>
      <c r="D121" s="4">
        <f>INDEX('1.2 Z_FR_imports'!$B$4:$B$203, MATCH(Summary!A121, '1.2 Z_FR_imports'!$A$4:$A$203, 0))</f>
        <v>11126282.487728801</v>
      </c>
      <c r="E121" s="4">
        <f>INDEX('2.1 Y_FR_production'!$B$4:$B$203, MATCH(Summary!A121, '2.1 Y_FR_production'!$A$4:$A$203, 0))</f>
        <v>100372606.583877</v>
      </c>
      <c r="F121" s="4">
        <f>INDEX('2.2 Z_FR_production'!$B$4:$B$203, MATCH(Summary!A121, '2.2 Z_FR_production'!$A$4:$A$203, 0))</f>
        <v>544901253.33970594</v>
      </c>
      <c r="G121" s="1">
        <f>SUM(C121:D121)/SUM(C121:F121)</f>
        <v>1.6950457150810425E-2</v>
      </c>
      <c r="H121" s="1">
        <f t="shared" si="3"/>
        <v>0.98304954284918955</v>
      </c>
      <c r="I121" s="6"/>
    </row>
    <row r="122" spans="1:9" x14ac:dyDescent="0.3">
      <c r="A122" s="10" t="s">
        <v>47</v>
      </c>
      <c r="B122" s="30">
        <f t="shared" si="2"/>
        <v>647302946.43510437</v>
      </c>
      <c r="C122" s="4">
        <f>INDEX('1.1 Y_FR_imports'!$B$4:$B$203, MATCH(Summary!A122, '1.1 Y_FR_imports'!$A$4:$A$203, 0))</f>
        <v>0</v>
      </c>
      <c r="D122" s="4">
        <f>INDEX('1.2 Z_FR_imports'!$B$4:$B$203, MATCH(Summary!A122, '1.2 Z_FR_imports'!$A$4:$A$203, 0))</f>
        <v>44133739.569858402</v>
      </c>
      <c r="E122" s="4">
        <f>INDEX('2.1 Y_FR_production'!$B$4:$B$203, MATCH(Summary!A122, '2.1 Y_FR_production'!$A$4:$A$203, 0))</f>
        <v>106839161.978135</v>
      </c>
      <c r="F122" s="4">
        <f>INDEX('2.2 Z_FR_production'!$B$4:$B$203, MATCH(Summary!A122, '2.2 Z_FR_production'!$A$4:$A$203, 0))</f>
        <v>496330044.88711101</v>
      </c>
      <c r="G122" s="1">
        <f>SUM(C122:D122)/SUM(C122:F122)</f>
        <v>6.818096505340572E-2</v>
      </c>
      <c r="H122" s="1">
        <f t="shared" si="3"/>
        <v>0.93181903494659446</v>
      </c>
      <c r="I122" s="6"/>
    </row>
    <row r="123" spans="1:9" x14ac:dyDescent="0.3">
      <c r="A123" s="10" t="s">
        <v>78</v>
      </c>
      <c r="B123" s="30">
        <f t="shared" si="2"/>
        <v>643215944.09461796</v>
      </c>
      <c r="C123" s="4">
        <f>INDEX('1.1 Y_FR_imports'!$B$4:$B$203, MATCH(Summary!A123, '1.1 Y_FR_imports'!$A$4:$A$203, 0))</f>
        <v>147233821.94192901</v>
      </c>
      <c r="D123" s="4">
        <f>INDEX('1.2 Z_FR_imports'!$B$4:$B$203, MATCH(Summary!A123, '1.2 Z_FR_imports'!$A$4:$A$203, 0))</f>
        <v>58737396.643698402</v>
      </c>
      <c r="E123" s="4">
        <f>INDEX('2.1 Y_FR_production'!$B$4:$B$203, MATCH(Summary!A123, '2.1 Y_FR_production'!$A$4:$A$203, 0))</f>
        <v>18980321.972997598</v>
      </c>
      <c r="F123" s="4">
        <f>INDEX('2.2 Z_FR_production'!$B$4:$B$203, MATCH(Summary!A123, '2.2 Z_FR_production'!$A$4:$A$203, 0))</f>
        <v>418264403.53599298</v>
      </c>
      <c r="G123" s="1">
        <f>SUM(C123:D123)/SUM(C123:F123)</f>
        <v>0.32022094675459217</v>
      </c>
      <c r="H123" s="1">
        <f t="shared" si="3"/>
        <v>0.67977905324540788</v>
      </c>
      <c r="I123" s="6"/>
    </row>
    <row r="124" spans="1:9" x14ac:dyDescent="0.3">
      <c r="A124" s="10" t="s">
        <v>44</v>
      </c>
      <c r="B124" s="30">
        <f t="shared" si="2"/>
        <v>635381864.55718172</v>
      </c>
      <c r="C124" s="4">
        <f>INDEX('1.1 Y_FR_imports'!$B$4:$B$203, MATCH(Summary!A124, '1.1 Y_FR_imports'!$A$4:$A$203, 0))</f>
        <v>0</v>
      </c>
      <c r="D124" s="4">
        <f>INDEX('1.2 Z_FR_imports'!$B$4:$B$203, MATCH(Summary!A124, '1.2 Z_FR_imports'!$A$4:$A$203, 0))</f>
        <v>45710402.9011769</v>
      </c>
      <c r="E124" s="4">
        <f>INDEX('2.1 Y_FR_production'!$B$4:$B$203, MATCH(Summary!A124, '2.1 Y_FR_production'!$A$4:$A$203, 0))</f>
        <v>77954387.098479807</v>
      </c>
      <c r="F124" s="4">
        <f>INDEX('2.2 Z_FR_production'!$B$4:$B$203, MATCH(Summary!A124, '2.2 Z_FR_production'!$A$4:$A$203, 0))</f>
        <v>511717074.55752498</v>
      </c>
      <c r="G124" s="1">
        <f>SUM(C124:D124)/SUM(C124:F124)</f>
        <v>7.1941623535374227E-2</v>
      </c>
      <c r="H124" s="1">
        <f t="shared" si="3"/>
        <v>0.92805837646462574</v>
      </c>
      <c r="I124" s="6"/>
    </row>
    <row r="125" spans="1:9" x14ac:dyDescent="0.3">
      <c r="A125" s="10" t="s">
        <v>187</v>
      </c>
      <c r="B125" s="30">
        <f t="shared" si="2"/>
        <v>438139478.08301163</v>
      </c>
      <c r="C125" s="4">
        <f>INDEX('1.1 Y_FR_imports'!$B$4:$B$203, MATCH(Summary!A125, '1.1 Y_FR_imports'!$A$4:$A$203, 0))</f>
        <v>381604655.233199</v>
      </c>
      <c r="D125" s="4">
        <f>INDEX('1.2 Z_FR_imports'!$B$4:$B$203, MATCH(Summary!A125, '1.2 Z_FR_imports'!$A$4:$A$203, 0))</f>
        <v>4200326.8080560304</v>
      </c>
      <c r="E125" s="4">
        <f>INDEX('2.1 Y_FR_production'!$B$4:$B$203, MATCH(Summary!A125, '2.1 Y_FR_production'!$A$4:$A$203, 0))</f>
        <v>44819823.114210904</v>
      </c>
      <c r="F125" s="4">
        <f>INDEX('2.2 Z_FR_production'!$B$4:$B$203, MATCH(Summary!A125, '2.2 Z_FR_production'!$A$4:$A$203, 0))</f>
        <v>7514672.9275456704</v>
      </c>
      <c r="G125" s="1">
        <f>SUM(C125:D125)/SUM(C125:F125)</f>
        <v>0.88055288633031814</v>
      </c>
      <c r="H125" s="1">
        <f t="shared" si="3"/>
        <v>0.11944711366968185</v>
      </c>
      <c r="I125" s="6"/>
    </row>
    <row r="126" spans="1:9" x14ac:dyDescent="0.3">
      <c r="A126" s="10" t="s">
        <v>15</v>
      </c>
      <c r="B126" s="30">
        <f t="shared" si="2"/>
        <v>434531716.39572275</v>
      </c>
      <c r="C126" s="4">
        <f>INDEX('1.1 Y_FR_imports'!$B$4:$B$203, MATCH(Summary!A126, '1.1 Y_FR_imports'!$A$4:$A$203, 0))</f>
        <v>2466540.3124040002</v>
      </c>
      <c r="D126" s="4">
        <f>INDEX('1.2 Z_FR_imports'!$B$4:$B$203, MATCH(Summary!A126, '1.2 Z_FR_imports'!$A$4:$A$203, 0))</f>
        <v>7649491.7215748001</v>
      </c>
      <c r="E126" s="4">
        <f>INDEX('2.1 Y_FR_production'!$B$4:$B$203, MATCH(Summary!A126, '2.1 Y_FR_production'!$A$4:$A$203, 0))</f>
        <v>115743771.65810899</v>
      </c>
      <c r="F126" s="4">
        <f>INDEX('2.2 Z_FR_production'!$B$4:$B$203, MATCH(Summary!A126, '2.2 Z_FR_production'!$A$4:$A$203, 0))</f>
        <v>308671912.70363498</v>
      </c>
      <c r="G126" s="1">
        <f>SUM(C126:D126)/SUM(C126:F126)</f>
        <v>2.3280307632978978E-2</v>
      </c>
      <c r="H126" s="1">
        <f t="shared" si="3"/>
        <v>0.97671969236702116</v>
      </c>
    </row>
    <row r="127" spans="1:9" x14ac:dyDescent="0.3">
      <c r="A127" s="10" t="s">
        <v>160</v>
      </c>
      <c r="B127" s="30">
        <f t="shared" si="2"/>
        <v>404410428.76160669</v>
      </c>
      <c r="C127" s="4">
        <f>INDEX('1.1 Y_FR_imports'!$B$4:$B$203, MATCH(Summary!A127, '1.1 Y_FR_imports'!$A$4:$A$203, 0))</f>
        <v>2682907.8517829301</v>
      </c>
      <c r="D127" s="4">
        <f>INDEX('1.2 Z_FR_imports'!$B$4:$B$203, MATCH(Summary!A127, '1.2 Z_FR_imports'!$A$4:$A$203, 0))</f>
        <v>83005350.016409799</v>
      </c>
      <c r="E127" s="4">
        <f>INDEX('2.1 Y_FR_production'!$B$4:$B$203, MATCH(Summary!A127, '2.1 Y_FR_production'!$A$4:$A$203, 0))</f>
        <v>150157336.07731</v>
      </c>
      <c r="F127" s="4">
        <f>INDEX('2.2 Z_FR_production'!$B$4:$B$203, MATCH(Summary!A127, '2.2 Z_FR_production'!$A$4:$A$203, 0))</f>
        <v>168564834.81610399</v>
      </c>
      <c r="G127" s="1">
        <f>SUM(C127:D127)/SUM(C127:F127)</f>
        <v>0.21188439212754465</v>
      </c>
      <c r="H127" s="1">
        <f t="shared" si="3"/>
        <v>0.78811560787245549</v>
      </c>
    </row>
    <row r="128" spans="1:9" x14ac:dyDescent="0.3">
      <c r="A128" s="10" t="s">
        <v>53</v>
      </c>
      <c r="B128" s="30">
        <f t="shared" si="2"/>
        <v>382059953.2230612</v>
      </c>
      <c r="C128" s="4">
        <f>INDEX('1.1 Y_FR_imports'!$B$4:$B$203, MATCH(Summary!A128, '1.1 Y_FR_imports'!$A$4:$A$203, 0))</f>
        <v>0</v>
      </c>
      <c r="D128" s="4">
        <f>INDEX('1.2 Z_FR_imports'!$B$4:$B$203, MATCH(Summary!A128, '1.2 Z_FR_imports'!$A$4:$A$203, 0))</f>
        <v>19422646.0218173</v>
      </c>
      <c r="E128" s="4">
        <f>INDEX('2.1 Y_FR_production'!$B$4:$B$203, MATCH(Summary!A128, '2.1 Y_FR_production'!$A$4:$A$203, 0))</f>
        <v>98582065.183449894</v>
      </c>
      <c r="F128" s="4">
        <f>INDEX('2.2 Z_FR_production'!$B$4:$B$203, MATCH(Summary!A128, '2.2 Z_FR_production'!$A$4:$A$203, 0))</f>
        <v>264055242.01779401</v>
      </c>
      <c r="G128" s="1">
        <f>SUM(C128:D128)/SUM(C128:F128)</f>
        <v>5.0836644505574805E-2</v>
      </c>
      <c r="H128" s="1">
        <f t="shared" si="3"/>
        <v>0.9491633554944251</v>
      </c>
    </row>
    <row r="129" spans="1:8" x14ac:dyDescent="0.3">
      <c r="A129" s="10" t="s">
        <v>125</v>
      </c>
      <c r="B129" s="30">
        <f t="shared" si="2"/>
        <v>360178950.80739218</v>
      </c>
      <c r="C129" s="4">
        <f>INDEX('1.1 Y_FR_imports'!$B$4:$B$203, MATCH(Summary!A129, '1.1 Y_FR_imports'!$A$4:$A$203, 0))</f>
        <v>0</v>
      </c>
      <c r="D129" s="4">
        <f>INDEX('1.2 Z_FR_imports'!$B$4:$B$203, MATCH(Summary!A129, '1.2 Z_FR_imports'!$A$4:$A$203, 0))</f>
        <v>5597918.4869679902</v>
      </c>
      <c r="E129" s="4">
        <f>INDEX('2.1 Y_FR_production'!$B$4:$B$203, MATCH(Summary!A129, '2.1 Y_FR_production'!$A$4:$A$203, 0))</f>
        <v>70501969.234383196</v>
      </c>
      <c r="F129" s="4">
        <f>INDEX('2.2 Z_FR_production'!$B$4:$B$203, MATCH(Summary!A129, '2.2 Z_FR_production'!$A$4:$A$203, 0))</f>
        <v>284079063.08604097</v>
      </c>
      <c r="G129" s="1">
        <f>SUM(C129:D129)/SUM(C129:F129)</f>
        <v>1.5542047847103398E-2</v>
      </c>
      <c r="H129" s="1">
        <f t="shared" si="3"/>
        <v>0.98445795215289666</v>
      </c>
    </row>
    <row r="130" spans="1:8" x14ac:dyDescent="0.3">
      <c r="A130" s="10" t="s">
        <v>16</v>
      </c>
      <c r="B130" s="30">
        <f t="shared" si="2"/>
        <v>288027729.78354734</v>
      </c>
      <c r="C130" s="4">
        <f>INDEX('1.1 Y_FR_imports'!$B$4:$B$203, MATCH(Summary!A130, '1.1 Y_FR_imports'!$A$4:$A$203, 0))</f>
        <v>8.2118041146668204E-4</v>
      </c>
      <c r="D130" s="4">
        <f>INDEX('1.2 Z_FR_imports'!$B$4:$B$203, MATCH(Summary!A130, '1.2 Z_FR_imports'!$A$4:$A$203, 0))</f>
        <v>126557605.04056799</v>
      </c>
      <c r="E130" s="4">
        <f>INDEX('2.1 Y_FR_production'!$B$4:$B$203, MATCH(Summary!A130, '2.1 Y_FR_production'!$A$4:$A$203, 0))</f>
        <v>658099.32230117696</v>
      </c>
      <c r="F130" s="4">
        <f>INDEX('2.2 Z_FR_production'!$B$4:$B$203, MATCH(Summary!A130, '2.2 Z_FR_production'!$A$4:$A$203, 0))</f>
        <v>160812025.419857</v>
      </c>
      <c r="G130" s="1">
        <f>SUM(C130:D130)/SUM(C130:F130)</f>
        <v>0.43939382203406985</v>
      </c>
      <c r="H130" s="1">
        <f t="shared" si="3"/>
        <v>0.56060617796593015</v>
      </c>
    </row>
    <row r="131" spans="1:8" x14ac:dyDescent="0.3">
      <c r="A131" s="10" t="s">
        <v>134</v>
      </c>
      <c r="B131" s="30">
        <f t="shared" si="2"/>
        <v>272786822.92021322</v>
      </c>
      <c r="C131" s="4">
        <f>INDEX('1.1 Y_FR_imports'!$B$4:$B$203, MATCH(Summary!A131, '1.1 Y_FR_imports'!$A$4:$A$203, 0))</f>
        <v>0</v>
      </c>
      <c r="D131" s="4">
        <f>INDEX('1.2 Z_FR_imports'!$B$4:$B$203, MATCH(Summary!A131, '1.2 Z_FR_imports'!$A$4:$A$203, 0))</f>
        <v>4495940.4669876304</v>
      </c>
      <c r="E131" s="4">
        <f>INDEX('2.1 Y_FR_production'!$B$4:$B$203, MATCH(Summary!A131, '2.1 Y_FR_production'!$A$4:$A$203, 0))</f>
        <v>40671446.781016603</v>
      </c>
      <c r="F131" s="4">
        <f>INDEX('2.2 Z_FR_production'!$B$4:$B$203, MATCH(Summary!A131, '2.2 Z_FR_production'!$A$4:$A$203, 0))</f>
        <v>227619435.67220899</v>
      </c>
      <c r="G131" s="1">
        <f>SUM(C131:D131)/SUM(C131:F131)</f>
        <v>1.6481516294878502E-2</v>
      </c>
      <c r="H131" s="1">
        <f t="shared" si="3"/>
        <v>0.98351848370512163</v>
      </c>
    </row>
    <row r="132" spans="1:8" x14ac:dyDescent="0.3">
      <c r="A132" s="10" t="s">
        <v>2</v>
      </c>
      <c r="B132" s="30">
        <f t="shared" si="2"/>
        <v>263484104.9951055</v>
      </c>
      <c r="C132" s="4">
        <f>INDEX('1.1 Y_FR_imports'!$B$4:$B$203, MATCH(Summary!A132, '1.1 Y_FR_imports'!$A$4:$A$203, 0))</f>
        <v>4.4154800608575901E-4</v>
      </c>
      <c r="D132" s="4">
        <f>INDEX('1.2 Z_FR_imports'!$B$4:$B$203, MATCH(Summary!A132, '1.2 Z_FR_imports'!$A$4:$A$203, 0))</f>
        <v>125908226.09973</v>
      </c>
      <c r="E132" s="4">
        <f>INDEX('2.1 Y_FR_production'!$B$4:$B$203, MATCH(Summary!A132, '2.1 Y_FR_production'!$A$4:$A$203, 0))</f>
        <v>393155.260415953</v>
      </c>
      <c r="F132" s="4">
        <f>INDEX('2.2 Z_FR_production'!$B$4:$B$203, MATCH(Summary!A132, '2.2 Z_FR_production'!$A$4:$A$203, 0))</f>
        <v>137182723.634518</v>
      </c>
      <c r="G132" s="1">
        <f>SUM(C132:D132)/SUM(C132:F132)</f>
        <v>0.47785890576780876</v>
      </c>
      <c r="H132" s="1">
        <f t="shared" si="3"/>
        <v>0.52214109423219113</v>
      </c>
    </row>
    <row r="133" spans="1:8" x14ac:dyDescent="0.3">
      <c r="A133" s="10" t="s">
        <v>25</v>
      </c>
      <c r="B133" s="30">
        <f t="shared" ref="B133:B196" si="4">SUM(C133:F133)</f>
        <v>245046206.63229632</v>
      </c>
      <c r="C133" s="4">
        <f>INDEX('1.1 Y_FR_imports'!$B$4:$B$203, MATCH(Summary!A133, '1.1 Y_FR_imports'!$A$4:$A$203, 0))</f>
        <v>12229717.048686501</v>
      </c>
      <c r="D133" s="4">
        <f>INDEX('1.2 Z_FR_imports'!$B$4:$B$203, MATCH(Summary!A133, '1.2 Z_FR_imports'!$A$4:$A$203, 0))</f>
        <v>86381197.909551501</v>
      </c>
      <c r="E133" s="4">
        <f>INDEX('2.1 Y_FR_production'!$B$4:$B$203, MATCH(Summary!A133, '2.1 Y_FR_production'!$A$4:$A$203, 0))</f>
        <v>3490769.1185443299</v>
      </c>
      <c r="F133" s="4">
        <f>INDEX('2.2 Z_FR_production'!$B$4:$B$203, MATCH(Summary!A133, '2.2 Z_FR_production'!$A$4:$A$203, 0))</f>
        <v>142944522.55551401</v>
      </c>
      <c r="G133" s="1">
        <f>SUM(C133:D133)/SUM(C133:F133)</f>
        <v>0.40241763507977274</v>
      </c>
      <c r="H133" s="1">
        <f t="shared" ref="H133:H196" si="5">SUM(E133:F133)/SUM(C133:F133)</f>
        <v>0.59758236492022743</v>
      </c>
    </row>
    <row r="134" spans="1:8" x14ac:dyDescent="0.3">
      <c r="A134" s="10" t="s">
        <v>198</v>
      </c>
      <c r="B134" s="30">
        <f t="shared" si="4"/>
        <v>200119993.76533121</v>
      </c>
      <c r="C134" s="4">
        <f>INDEX('1.1 Y_FR_imports'!$B$4:$B$203, MATCH(Summary!A134, '1.1 Y_FR_imports'!$A$4:$A$203, 0))</f>
        <v>0</v>
      </c>
      <c r="D134" s="4">
        <f>INDEX('1.2 Z_FR_imports'!$B$4:$B$203, MATCH(Summary!A134, '1.2 Z_FR_imports'!$A$4:$A$203, 0))</f>
        <v>5952594.6512081902</v>
      </c>
      <c r="E134" s="4">
        <f>INDEX('2.1 Y_FR_production'!$B$4:$B$203, MATCH(Summary!A134, '2.1 Y_FR_production'!$A$4:$A$203, 0))</f>
        <v>30230136.137070999</v>
      </c>
      <c r="F134" s="4">
        <f>INDEX('2.2 Z_FR_production'!$B$4:$B$203, MATCH(Summary!A134, '2.2 Z_FR_production'!$A$4:$A$203, 0))</f>
        <v>163937262.977052</v>
      </c>
      <c r="G134" s="1">
        <f>SUM(C134:D134)/SUM(C134:F134)</f>
        <v>2.974512710703181E-2</v>
      </c>
      <c r="H134" s="1">
        <f t="shared" si="5"/>
        <v>0.97025487289296808</v>
      </c>
    </row>
    <row r="135" spans="1:8" x14ac:dyDescent="0.3">
      <c r="A135" s="10" t="s">
        <v>199</v>
      </c>
      <c r="B135" s="30">
        <f t="shared" si="4"/>
        <v>190754993.09067175</v>
      </c>
      <c r="C135" s="4">
        <f>INDEX('1.1 Y_FR_imports'!$B$4:$B$203, MATCH(Summary!A135, '1.1 Y_FR_imports'!$A$4:$A$203, 0))</f>
        <v>0</v>
      </c>
      <c r="D135" s="4">
        <f>INDEX('1.2 Z_FR_imports'!$B$4:$B$203, MATCH(Summary!A135, '1.2 Z_FR_imports'!$A$4:$A$203, 0))</f>
        <v>3318530.3778607599</v>
      </c>
      <c r="E135" s="4">
        <f>INDEX('2.1 Y_FR_production'!$B$4:$B$203, MATCH(Summary!A135, '2.1 Y_FR_production'!$A$4:$A$203, 0))</f>
        <v>34085425.028816998</v>
      </c>
      <c r="F135" s="4">
        <f>INDEX('2.2 Z_FR_production'!$B$4:$B$203, MATCH(Summary!A135, '2.2 Z_FR_production'!$A$4:$A$203, 0))</f>
        <v>153351037.683994</v>
      </c>
      <c r="G135" s="1">
        <f>SUM(C135:D135)/SUM(C135:F135)</f>
        <v>1.739682051878642E-2</v>
      </c>
      <c r="H135" s="1">
        <f t="shared" si="5"/>
        <v>0.98260317948121356</v>
      </c>
    </row>
    <row r="136" spans="1:8" x14ac:dyDescent="0.3">
      <c r="A136" s="10" t="s">
        <v>143</v>
      </c>
      <c r="B136" s="30">
        <f t="shared" si="4"/>
        <v>170373513.01703784</v>
      </c>
      <c r="C136" s="4">
        <f>INDEX('1.1 Y_FR_imports'!$B$4:$B$203, MATCH(Summary!A136, '1.1 Y_FR_imports'!$A$4:$A$203, 0))</f>
        <v>87680179.095532596</v>
      </c>
      <c r="D136" s="4">
        <f>INDEX('1.2 Z_FR_imports'!$B$4:$B$203, MATCH(Summary!A136, '1.2 Z_FR_imports'!$A$4:$A$203, 0))</f>
        <v>71409098.251526594</v>
      </c>
      <c r="E136" s="4">
        <f>INDEX('2.1 Y_FR_production'!$B$4:$B$203, MATCH(Summary!A136, '2.1 Y_FR_production'!$A$4:$A$203, 0))</f>
        <v>2946964.8041570098</v>
      </c>
      <c r="F136" s="4">
        <f>INDEX('2.2 Z_FR_production'!$B$4:$B$203, MATCH(Summary!A136, '2.2 Z_FR_production'!$A$4:$A$203, 0))</f>
        <v>8337270.8658216204</v>
      </c>
      <c r="G136" s="1">
        <f>SUM(C136:D136)/SUM(C136:F136)</f>
        <v>0.93376766452629179</v>
      </c>
      <c r="H136" s="1">
        <f t="shared" si="5"/>
        <v>6.6232335473708132E-2</v>
      </c>
    </row>
    <row r="137" spans="1:8" x14ac:dyDescent="0.3">
      <c r="A137" s="10" t="s">
        <v>185</v>
      </c>
      <c r="B137" s="30">
        <f t="shared" si="4"/>
        <v>145645896.39251238</v>
      </c>
      <c r="C137" s="4">
        <f>INDEX('1.1 Y_FR_imports'!$B$4:$B$203, MATCH(Summary!A137, '1.1 Y_FR_imports'!$A$4:$A$203, 0))</f>
        <v>0</v>
      </c>
      <c r="D137" s="4">
        <f>INDEX('1.2 Z_FR_imports'!$B$4:$B$203, MATCH(Summary!A137, '1.2 Z_FR_imports'!$A$4:$A$203, 0))</f>
        <v>2882817.05454918</v>
      </c>
      <c r="E137" s="4">
        <f>INDEX('2.1 Y_FR_production'!$B$4:$B$203, MATCH(Summary!A137, '2.1 Y_FR_production'!$A$4:$A$203, 0))</f>
        <v>29849277.495269202</v>
      </c>
      <c r="F137" s="4">
        <f>INDEX('2.2 Z_FR_production'!$B$4:$B$203, MATCH(Summary!A137, '2.2 Z_FR_production'!$A$4:$A$203, 0))</f>
        <v>112913801.842694</v>
      </c>
      <c r="G137" s="1">
        <f>SUM(C137:D137)/SUM(C137:F137)</f>
        <v>1.9793328380362008E-2</v>
      </c>
      <c r="H137" s="1">
        <f t="shared" si="5"/>
        <v>0.98020667161963793</v>
      </c>
    </row>
    <row r="138" spans="1:8" x14ac:dyDescent="0.3">
      <c r="A138" s="10" t="s">
        <v>50</v>
      </c>
      <c r="B138" s="30">
        <f t="shared" si="4"/>
        <v>137903989.74477613</v>
      </c>
      <c r="C138" s="4">
        <f>INDEX('1.1 Y_FR_imports'!$B$4:$B$203, MATCH(Summary!A138, '1.1 Y_FR_imports'!$A$4:$A$203, 0))</f>
        <v>0</v>
      </c>
      <c r="D138" s="4">
        <f>INDEX('1.2 Z_FR_imports'!$B$4:$B$203, MATCH(Summary!A138, '1.2 Z_FR_imports'!$A$4:$A$203, 0))</f>
        <v>5934286.5039559295</v>
      </c>
      <c r="E138" s="4">
        <f>INDEX('2.1 Y_FR_production'!$B$4:$B$203, MATCH(Summary!A138, '2.1 Y_FR_production'!$A$4:$A$203, 0))</f>
        <v>11756235.224675201</v>
      </c>
      <c r="F138" s="4">
        <f>INDEX('2.2 Z_FR_production'!$B$4:$B$203, MATCH(Summary!A138, '2.2 Z_FR_production'!$A$4:$A$203, 0))</f>
        <v>120213468.01614501</v>
      </c>
      <c r="G138" s="1">
        <f>SUM(C138:D138)/SUM(C138:F138)</f>
        <v>4.3032014627993914E-2</v>
      </c>
      <c r="H138" s="1">
        <f t="shared" si="5"/>
        <v>0.95696798537200611</v>
      </c>
    </row>
    <row r="139" spans="1:8" x14ac:dyDescent="0.3">
      <c r="A139" s="10" t="s">
        <v>133</v>
      </c>
      <c r="B139" s="30">
        <f t="shared" si="4"/>
        <v>136211822.26255983</v>
      </c>
      <c r="C139" s="4">
        <f>INDEX('1.1 Y_FR_imports'!$B$4:$B$203, MATCH(Summary!A139, '1.1 Y_FR_imports'!$A$4:$A$203, 0))</f>
        <v>44472048.3113961</v>
      </c>
      <c r="D139" s="4">
        <f>INDEX('1.2 Z_FR_imports'!$B$4:$B$203, MATCH(Summary!A139, '1.2 Z_FR_imports'!$A$4:$A$203, 0))</f>
        <v>6650358.3068020102</v>
      </c>
      <c r="E139" s="4">
        <f>INDEX('2.1 Y_FR_production'!$B$4:$B$203, MATCH(Summary!A139, '2.1 Y_FR_production'!$A$4:$A$203, 0))</f>
        <v>6558509.9418116203</v>
      </c>
      <c r="F139" s="4">
        <f>INDEX('2.2 Z_FR_production'!$B$4:$B$203, MATCH(Summary!A139, '2.2 Z_FR_production'!$A$4:$A$203, 0))</f>
        <v>78530905.702550098</v>
      </c>
      <c r="G139" s="1">
        <f>SUM(C139:D139)/SUM(C139:F139)</f>
        <v>0.37531548854588659</v>
      </c>
      <c r="H139" s="1">
        <f t="shared" si="5"/>
        <v>0.62468451145411341</v>
      </c>
    </row>
    <row r="140" spans="1:8" x14ac:dyDescent="0.3">
      <c r="A140" s="10" t="s">
        <v>155</v>
      </c>
      <c r="B140" s="30">
        <f t="shared" si="4"/>
        <v>132155199.88223282</v>
      </c>
      <c r="C140" s="4">
        <f>INDEX('1.1 Y_FR_imports'!$B$4:$B$203, MATCH(Summary!A140, '1.1 Y_FR_imports'!$A$4:$A$203, 0))</f>
        <v>0</v>
      </c>
      <c r="D140" s="4">
        <f>INDEX('1.2 Z_FR_imports'!$B$4:$B$203, MATCH(Summary!A140, '1.2 Z_FR_imports'!$A$4:$A$203, 0))</f>
        <v>83895607.475338906</v>
      </c>
      <c r="E140" s="4">
        <f>INDEX('2.1 Y_FR_production'!$B$4:$B$203, MATCH(Summary!A140, '2.1 Y_FR_production'!$A$4:$A$203, 0))</f>
        <v>0</v>
      </c>
      <c r="F140" s="4">
        <f>INDEX('2.2 Z_FR_production'!$B$4:$B$203, MATCH(Summary!A140, '2.2 Z_FR_production'!$A$4:$A$203, 0))</f>
        <v>48259592.406893902</v>
      </c>
      <c r="G140" s="1">
        <f>SUM(C140:D140)/SUM(C140:F140)</f>
        <v>0.63482638254189483</v>
      </c>
      <c r="H140" s="1">
        <f t="shared" si="5"/>
        <v>0.36517361745810512</v>
      </c>
    </row>
    <row r="141" spans="1:8" x14ac:dyDescent="0.3">
      <c r="A141" s="10" t="s">
        <v>194</v>
      </c>
      <c r="B141" s="30">
        <f t="shared" si="4"/>
        <v>124879087.91776483</v>
      </c>
      <c r="C141" s="4">
        <f>INDEX('1.1 Y_FR_imports'!$B$4:$B$203, MATCH(Summary!A141, '1.1 Y_FR_imports'!$A$4:$A$203, 0))</f>
        <v>0</v>
      </c>
      <c r="D141" s="4">
        <f>INDEX('1.2 Z_FR_imports'!$B$4:$B$203, MATCH(Summary!A141, '1.2 Z_FR_imports'!$A$4:$A$203, 0))</f>
        <v>7834154.8900887799</v>
      </c>
      <c r="E141" s="4">
        <f>INDEX('2.1 Y_FR_production'!$B$4:$B$203, MATCH(Summary!A141, '2.1 Y_FR_production'!$A$4:$A$203, 0))</f>
        <v>841153.73070404702</v>
      </c>
      <c r="F141" s="4">
        <f>INDEX('2.2 Z_FR_production'!$B$4:$B$203, MATCH(Summary!A141, '2.2 Z_FR_production'!$A$4:$A$203, 0))</f>
        <v>116203779.29697201</v>
      </c>
      <c r="G141" s="1">
        <f>SUM(C141:D141)/SUM(C141:F141)</f>
        <v>6.2733921433248407E-2</v>
      </c>
      <c r="H141" s="1">
        <f t="shared" si="5"/>
        <v>0.9372660785667517</v>
      </c>
    </row>
    <row r="142" spans="1:8" x14ac:dyDescent="0.3">
      <c r="A142" s="10" t="s">
        <v>89</v>
      </c>
      <c r="B142" s="30">
        <f t="shared" si="4"/>
        <v>123819646.54943992</v>
      </c>
      <c r="C142" s="4">
        <f>INDEX('1.1 Y_FR_imports'!$B$4:$B$203, MATCH(Summary!A142, '1.1 Y_FR_imports'!$A$4:$A$203, 0))</f>
        <v>8.5885885453944701E-4</v>
      </c>
      <c r="D142" s="4">
        <f>INDEX('1.2 Z_FR_imports'!$B$4:$B$203, MATCH(Summary!A142, '1.2 Z_FR_imports'!$A$4:$A$203, 0))</f>
        <v>3515860.10220931</v>
      </c>
      <c r="E142" s="4">
        <f>INDEX('2.1 Y_FR_production'!$B$4:$B$203, MATCH(Summary!A142, '2.1 Y_FR_production'!$A$4:$A$203, 0))</f>
        <v>5703.2594247444304</v>
      </c>
      <c r="F142" s="4">
        <f>INDEX('2.2 Z_FR_production'!$B$4:$B$203, MATCH(Summary!A142, '2.2 Z_FR_production'!$A$4:$A$203, 0))</f>
        <v>120298083.186947</v>
      </c>
      <c r="G142" s="1">
        <f>SUM(C142:D142)/SUM(C142:F142)</f>
        <v>2.8395010008886768E-2</v>
      </c>
      <c r="H142" s="1">
        <f t="shared" si="5"/>
        <v>0.97160498999111322</v>
      </c>
    </row>
    <row r="143" spans="1:8" x14ac:dyDescent="0.3">
      <c r="A143" s="10" t="s">
        <v>104</v>
      </c>
      <c r="B143" s="30">
        <f t="shared" si="4"/>
        <v>117310333.09948131</v>
      </c>
      <c r="C143" s="4">
        <f>INDEX('1.1 Y_FR_imports'!$B$4:$B$203, MATCH(Summary!A143, '1.1 Y_FR_imports'!$A$4:$A$203, 0))</f>
        <v>208020.416477172</v>
      </c>
      <c r="D143" s="4">
        <f>INDEX('1.2 Z_FR_imports'!$B$4:$B$203, MATCH(Summary!A143, '1.2 Z_FR_imports'!$A$4:$A$203, 0))</f>
        <v>62435254.861159503</v>
      </c>
      <c r="E143" s="4">
        <f>INDEX('2.1 Y_FR_production'!$B$4:$B$203, MATCH(Summary!A143, '2.1 Y_FR_production'!$A$4:$A$203, 0))</f>
        <v>8634091.6561803408</v>
      </c>
      <c r="F143" s="4">
        <f>INDEX('2.2 Z_FR_production'!$B$4:$B$203, MATCH(Summary!A143, '2.2 Z_FR_production'!$A$4:$A$203, 0))</f>
        <v>46032966.1656643</v>
      </c>
      <c r="G143" s="1">
        <f>SUM(C143:D143)/SUM(C143:F143)</f>
        <v>0.53399622712275507</v>
      </c>
      <c r="H143" s="1">
        <f t="shared" si="5"/>
        <v>0.46600377287724493</v>
      </c>
    </row>
    <row r="144" spans="1:8" x14ac:dyDescent="0.3">
      <c r="A144" s="10" t="s">
        <v>135</v>
      </c>
      <c r="B144" s="30">
        <f t="shared" si="4"/>
        <v>99292197.620797366</v>
      </c>
      <c r="C144" s="4">
        <f>INDEX('1.1 Y_FR_imports'!$B$4:$B$203, MATCH(Summary!A144, '1.1 Y_FR_imports'!$A$4:$A$203, 0))</f>
        <v>0</v>
      </c>
      <c r="D144" s="4">
        <f>INDEX('1.2 Z_FR_imports'!$B$4:$B$203, MATCH(Summary!A144, '1.2 Z_FR_imports'!$A$4:$A$203, 0))</f>
        <v>2254966.1510983701</v>
      </c>
      <c r="E144" s="4">
        <f>INDEX('2.1 Y_FR_production'!$B$4:$B$203, MATCH(Summary!A144, '2.1 Y_FR_production'!$A$4:$A$203, 0))</f>
        <v>18798333.151284501</v>
      </c>
      <c r="F144" s="4">
        <f>INDEX('2.2 Z_FR_production'!$B$4:$B$203, MATCH(Summary!A144, '2.2 Z_FR_production'!$A$4:$A$203, 0))</f>
        <v>78238898.318414494</v>
      </c>
      <c r="G144" s="1">
        <f>SUM(C144:D144)/SUM(C144:F144)</f>
        <v>2.2710406307152309E-2</v>
      </c>
      <c r="H144" s="1">
        <f t="shared" si="5"/>
        <v>0.97728959369284774</v>
      </c>
    </row>
    <row r="145" spans="1:8" x14ac:dyDescent="0.3">
      <c r="A145" s="10" t="s">
        <v>5</v>
      </c>
      <c r="B145" s="30">
        <f t="shared" si="4"/>
        <v>90988840.833070159</v>
      </c>
      <c r="C145" s="4">
        <f>INDEX('1.1 Y_FR_imports'!$B$4:$B$203, MATCH(Summary!A145, '1.1 Y_FR_imports'!$A$4:$A$203, 0))</f>
        <v>69265.907041712402</v>
      </c>
      <c r="D145" s="4">
        <f>INDEX('1.2 Z_FR_imports'!$B$4:$B$203, MATCH(Summary!A145, '1.2 Z_FR_imports'!$A$4:$A$203, 0))</f>
        <v>73568379.105085999</v>
      </c>
      <c r="E145" s="4">
        <f>INDEX('2.1 Y_FR_production'!$B$4:$B$203, MATCH(Summary!A145, '2.1 Y_FR_production'!$A$4:$A$203, 0))</f>
        <v>51529.206857951402</v>
      </c>
      <c r="F145" s="4">
        <f>INDEX('2.2 Z_FR_production'!$B$4:$B$203, MATCH(Summary!A145, '2.2 Z_FR_production'!$A$4:$A$203, 0))</f>
        <v>17299666.614084501</v>
      </c>
      <c r="G145" s="1">
        <f>SUM(C145:D145)/SUM(C145:F145)</f>
        <v>0.80930413375882793</v>
      </c>
      <c r="H145" s="1">
        <f t="shared" si="5"/>
        <v>0.19069586624117218</v>
      </c>
    </row>
    <row r="146" spans="1:8" x14ac:dyDescent="0.3">
      <c r="A146" s="10" t="s">
        <v>30</v>
      </c>
      <c r="B146" s="30">
        <f t="shared" si="4"/>
        <v>80176463.427565306</v>
      </c>
      <c r="C146" s="4">
        <f>INDEX('1.1 Y_FR_imports'!$B$4:$B$203, MATCH(Summary!A146, '1.1 Y_FR_imports'!$A$4:$A$203, 0))</f>
        <v>1001865.12013442</v>
      </c>
      <c r="D146" s="4">
        <f>INDEX('1.2 Z_FR_imports'!$B$4:$B$203, MATCH(Summary!A146, '1.2 Z_FR_imports'!$A$4:$A$203, 0))</f>
        <v>79174598.307430893</v>
      </c>
      <c r="E146" s="4">
        <f>INDEX('2.1 Y_FR_production'!$B$4:$B$203, MATCH(Summary!A146, '2.1 Y_FR_production'!$A$4:$A$203, 0))</f>
        <v>0</v>
      </c>
      <c r="F146" s="4">
        <f>INDEX('2.2 Z_FR_production'!$B$4:$B$203, MATCH(Summary!A146, '2.2 Z_FR_production'!$A$4:$A$203, 0))</f>
        <v>0</v>
      </c>
      <c r="G146" s="1">
        <f>SUM(C146:D146)/SUM(C146:F146)</f>
        <v>1</v>
      </c>
      <c r="H146" s="1">
        <f t="shared" si="5"/>
        <v>0</v>
      </c>
    </row>
    <row r="147" spans="1:8" x14ac:dyDescent="0.3">
      <c r="A147" s="10" t="s">
        <v>62</v>
      </c>
      <c r="B147" s="30">
        <f t="shared" si="4"/>
        <v>68416429.346649319</v>
      </c>
      <c r="C147" s="4">
        <f>INDEX('1.1 Y_FR_imports'!$B$4:$B$203, MATCH(Summary!A147, '1.1 Y_FR_imports'!$A$4:$A$203, 0))</f>
        <v>0</v>
      </c>
      <c r="D147" s="4">
        <f>INDEX('1.2 Z_FR_imports'!$B$4:$B$203, MATCH(Summary!A147, '1.2 Z_FR_imports'!$A$4:$A$203, 0))</f>
        <v>2478704.7382823098</v>
      </c>
      <c r="E147" s="4">
        <f>INDEX('2.1 Y_FR_production'!$B$4:$B$203, MATCH(Summary!A147, '2.1 Y_FR_production'!$A$4:$A$203, 0))</f>
        <v>12152447.5845358</v>
      </c>
      <c r="F147" s="4">
        <f>INDEX('2.2 Z_FR_production'!$B$4:$B$203, MATCH(Summary!A147, '2.2 Z_FR_production'!$A$4:$A$203, 0))</f>
        <v>53785277.023831204</v>
      </c>
      <c r="G147" s="1">
        <f>SUM(C147:D147)/SUM(C147:F147)</f>
        <v>3.6229671176250942E-2</v>
      </c>
      <c r="H147" s="1">
        <f t="shared" si="5"/>
        <v>0.96377032882374902</v>
      </c>
    </row>
    <row r="148" spans="1:8" x14ac:dyDescent="0.3">
      <c r="A148" s="10" t="s">
        <v>122</v>
      </c>
      <c r="B148" s="30">
        <f t="shared" si="4"/>
        <v>65347353.784834534</v>
      </c>
      <c r="C148" s="4">
        <f>INDEX('1.1 Y_FR_imports'!$B$4:$B$203, MATCH(Summary!A148, '1.1 Y_FR_imports'!$A$4:$A$203, 0))</f>
        <v>0</v>
      </c>
      <c r="D148" s="4">
        <f>INDEX('1.2 Z_FR_imports'!$B$4:$B$203, MATCH(Summary!A148, '1.2 Z_FR_imports'!$A$4:$A$203, 0))</f>
        <v>51729900.368911304</v>
      </c>
      <c r="E148" s="4">
        <f>INDEX('2.1 Y_FR_production'!$B$4:$B$203, MATCH(Summary!A148, '2.1 Y_FR_production'!$A$4:$A$203, 0))</f>
        <v>8274328.7372707697</v>
      </c>
      <c r="F148" s="4">
        <f>INDEX('2.2 Z_FR_production'!$B$4:$B$203, MATCH(Summary!A148, '2.2 Z_FR_production'!$A$4:$A$203, 0))</f>
        <v>5343124.6786524598</v>
      </c>
      <c r="G148" s="1">
        <f>SUM(C148:D148)/SUM(C148:F148)</f>
        <v>0.79161430988069337</v>
      </c>
      <c r="H148" s="1">
        <f t="shared" si="5"/>
        <v>0.20838569011930666</v>
      </c>
    </row>
    <row r="149" spans="1:8" x14ac:dyDescent="0.3">
      <c r="A149" s="10" t="s">
        <v>82</v>
      </c>
      <c r="B149" s="30">
        <f t="shared" si="4"/>
        <v>64081080.187371157</v>
      </c>
      <c r="C149" s="4">
        <f>INDEX('1.1 Y_FR_imports'!$B$4:$B$203, MATCH(Summary!A149, '1.1 Y_FR_imports'!$A$4:$A$203, 0))</f>
        <v>64052060.091713801</v>
      </c>
      <c r="D149" s="4">
        <f>INDEX('1.2 Z_FR_imports'!$B$4:$B$203, MATCH(Summary!A149, '1.2 Z_FR_imports'!$A$4:$A$203, 0))</f>
        <v>0</v>
      </c>
      <c r="E149" s="4">
        <f>INDEX('2.1 Y_FR_production'!$B$4:$B$203, MATCH(Summary!A149, '2.1 Y_FR_production'!$A$4:$A$203, 0))</f>
        <v>29020.095657355399</v>
      </c>
      <c r="F149" s="4">
        <f>INDEX('2.2 Z_FR_production'!$B$4:$B$203, MATCH(Summary!A149, '2.2 Z_FR_production'!$A$4:$A$203, 0))</f>
        <v>0</v>
      </c>
      <c r="G149" s="1">
        <f>SUM(C149:D149)/SUM(C149:F149)</f>
        <v>0.99954713473036816</v>
      </c>
      <c r="H149" s="1">
        <f t="shared" si="5"/>
        <v>4.5286526963187124E-4</v>
      </c>
    </row>
    <row r="150" spans="1:8" x14ac:dyDescent="0.3">
      <c r="A150" s="10" t="s">
        <v>186</v>
      </c>
      <c r="B150" s="30">
        <f t="shared" si="4"/>
        <v>62845670.525073528</v>
      </c>
      <c r="C150" s="4">
        <f>INDEX('1.1 Y_FR_imports'!$B$4:$B$203, MATCH(Summary!A150, '1.1 Y_FR_imports'!$A$4:$A$203, 0))</f>
        <v>0</v>
      </c>
      <c r="D150" s="4">
        <f>INDEX('1.2 Z_FR_imports'!$B$4:$B$203, MATCH(Summary!A150, '1.2 Z_FR_imports'!$A$4:$A$203, 0))</f>
        <v>1400852.7133877301</v>
      </c>
      <c r="E150" s="4">
        <f>INDEX('2.1 Y_FR_production'!$B$4:$B$203, MATCH(Summary!A150, '2.1 Y_FR_production'!$A$4:$A$203, 0))</f>
        <v>11829748.253261</v>
      </c>
      <c r="F150" s="4">
        <f>INDEX('2.2 Z_FR_production'!$B$4:$B$203, MATCH(Summary!A150, '2.2 Z_FR_production'!$A$4:$A$203, 0))</f>
        <v>49615069.558424801</v>
      </c>
      <c r="G150" s="1">
        <f>SUM(C150:D150)/SUM(C150:F150)</f>
        <v>2.2290361478899842E-2</v>
      </c>
      <c r="H150" s="1">
        <f t="shared" si="5"/>
        <v>0.97770963852110016</v>
      </c>
    </row>
    <row r="151" spans="1:8" x14ac:dyDescent="0.3">
      <c r="A151" s="10" t="s">
        <v>131</v>
      </c>
      <c r="B151" s="30">
        <f t="shared" si="4"/>
        <v>62202020.692012884</v>
      </c>
      <c r="C151" s="4">
        <f>INDEX('1.1 Y_FR_imports'!$B$4:$B$203, MATCH(Summary!A151, '1.1 Y_FR_imports'!$A$4:$A$203, 0))</f>
        <v>4910708.3387425402</v>
      </c>
      <c r="D151" s="4">
        <f>INDEX('1.2 Z_FR_imports'!$B$4:$B$203, MATCH(Summary!A151, '1.2 Z_FR_imports'!$A$4:$A$203, 0))</f>
        <v>46074214.935929202</v>
      </c>
      <c r="E151" s="4">
        <f>INDEX('2.1 Y_FR_production'!$B$4:$B$203, MATCH(Summary!A151, '2.1 Y_FR_production'!$A$4:$A$203, 0))</f>
        <v>59788.788422845202</v>
      </c>
      <c r="F151" s="4">
        <f>INDEX('2.2 Z_FR_production'!$B$4:$B$203, MATCH(Summary!A151, '2.2 Z_FR_production'!$A$4:$A$203, 0))</f>
        <v>11157308.628918299</v>
      </c>
      <c r="G151" s="1">
        <f>SUM(C151:D151)/SUM(C151:F151)</f>
        <v>0.81966667171663954</v>
      </c>
      <c r="H151" s="1">
        <f t="shared" si="5"/>
        <v>0.18033332828336054</v>
      </c>
    </row>
    <row r="152" spans="1:8" x14ac:dyDescent="0.3">
      <c r="A152" s="10" t="s">
        <v>24</v>
      </c>
      <c r="B152" s="30">
        <f t="shared" si="4"/>
        <v>53557497.448862046</v>
      </c>
      <c r="C152" s="4">
        <f>INDEX('1.1 Y_FR_imports'!$B$4:$B$203, MATCH(Summary!A152, '1.1 Y_FR_imports'!$A$4:$A$203, 0))</f>
        <v>4.4349460544755902E-3</v>
      </c>
      <c r="D152" s="4">
        <f>INDEX('1.2 Z_FR_imports'!$B$4:$B$203, MATCH(Summary!A152, '1.2 Z_FR_imports'!$A$4:$A$203, 0))</f>
        <v>53557497.444427103</v>
      </c>
      <c r="E152" s="4">
        <f>INDEX('2.1 Y_FR_production'!$B$4:$B$203, MATCH(Summary!A152, '2.1 Y_FR_production'!$A$4:$A$203, 0))</f>
        <v>0</v>
      </c>
      <c r="F152" s="4">
        <f>INDEX('2.2 Z_FR_production'!$B$4:$B$203, MATCH(Summary!A152, '2.2 Z_FR_production'!$A$4:$A$203, 0))</f>
        <v>0</v>
      </c>
      <c r="G152" s="1">
        <f>SUM(C152:D152)/SUM(C152:F152)</f>
        <v>1</v>
      </c>
      <c r="H152" s="1">
        <f t="shared" si="5"/>
        <v>0</v>
      </c>
    </row>
    <row r="153" spans="1:8" x14ac:dyDescent="0.3">
      <c r="A153" s="10" t="s">
        <v>10</v>
      </c>
      <c r="B153" s="30">
        <f t="shared" si="4"/>
        <v>39832048.001903936</v>
      </c>
      <c r="C153" s="4">
        <f>INDEX('1.1 Y_FR_imports'!$B$4:$B$203, MATCH(Summary!A153, '1.1 Y_FR_imports'!$A$4:$A$203, 0))</f>
        <v>1.5820359191801099E-3</v>
      </c>
      <c r="D153" s="4">
        <f>INDEX('1.2 Z_FR_imports'!$B$4:$B$203, MATCH(Summary!A153, '1.2 Z_FR_imports'!$A$4:$A$203, 0))</f>
        <v>39832048.000321902</v>
      </c>
      <c r="E153" s="4">
        <f>INDEX('2.1 Y_FR_production'!$B$4:$B$203, MATCH(Summary!A153, '2.1 Y_FR_production'!$A$4:$A$203, 0))</f>
        <v>0</v>
      </c>
      <c r="F153" s="4">
        <f>INDEX('2.2 Z_FR_production'!$B$4:$B$203, MATCH(Summary!A153, '2.2 Z_FR_production'!$A$4:$A$203, 0))</f>
        <v>0</v>
      </c>
      <c r="G153" s="1">
        <f>SUM(C153:D153)/SUM(C153:F153)</f>
        <v>1</v>
      </c>
      <c r="H153" s="1">
        <f t="shared" si="5"/>
        <v>0</v>
      </c>
    </row>
    <row r="154" spans="1:8" x14ac:dyDescent="0.3">
      <c r="A154" s="10" t="s">
        <v>99</v>
      </c>
      <c r="B154" s="30">
        <f t="shared" si="4"/>
        <v>39344223.371701628</v>
      </c>
      <c r="C154" s="4">
        <f>INDEX('1.1 Y_FR_imports'!$B$4:$B$203, MATCH(Summary!A154, '1.1 Y_FR_imports'!$A$4:$A$203, 0))</f>
        <v>119655.765435265</v>
      </c>
      <c r="D154" s="4">
        <f>INDEX('1.2 Z_FR_imports'!$B$4:$B$203, MATCH(Summary!A154, '1.2 Z_FR_imports'!$A$4:$A$203, 0))</f>
        <v>16204015.832271701</v>
      </c>
      <c r="E154" s="4">
        <f>INDEX('2.1 Y_FR_production'!$B$4:$B$203, MATCH(Summary!A154, '2.1 Y_FR_production'!$A$4:$A$203, 0))</f>
        <v>3240152.5963931601</v>
      </c>
      <c r="F154" s="4">
        <f>INDEX('2.2 Z_FR_production'!$B$4:$B$203, MATCH(Summary!A154, '2.2 Z_FR_production'!$A$4:$A$203, 0))</f>
        <v>19780399.177601501</v>
      </c>
      <c r="G154" s="1">
        <f>SUM(C154:D154)/SUM(C154:F154)</f>
        <v>0.41489373023049131</v>
      </c>
      <c r="H154" s="1">
        <f t="shared" si="5"/>
        <v>0.58510626976950875</v>
      </c>
    </row>
    <row r="155" spans="1:8" x14ac:dyDescent="0.3">
      <c r="A155" s="10" t="s">
        <v>85</v>
      </c>
      <c r="B155" s="30">
        <f t="shared" si="4"/>
        <v>38034836.463205434</v>
      </c>
      <c r="C155" s="4">
        <f>INDEX('1.1 Y_FR_imports'!$B$4:$B$203, MATCH(Summary!A155, '1.1 Y_FR_imports'!$A$4:$A$203, 0))</f>
        <v>939074.43521563499</v>
      </c>
      <c r="D155" s="4">
        <f>INDEX('1.2 Z_FR_imports'!$B$4:$B$203, MATCH(Summary!A155, '1.2 Z_FR_imports'!$A$4:$A$203, 0))</f>
        <v>37095762.027989797</v>
      </c>
      <c r="E155" s="4">
        <f>INDEX('2.1 Y_FR_production'!$B$4:$B$203, MATCH(Summary!A155, '2.1 Y_FR_production'!$A$4:$A$203, 0))</f>
        <v>0</v>
      </c>
      <c r="F155" s="4">
        <f>INDEX('2.2 Z_FR_production'!$B$4:$B$203, MATCH(Summary!A155, '2.2 Z_FR_production'!$A$4:$A$203, 0))</f>
        <v>0</v>
      </c>
      <c r="G155" s="1">
        <f>SUM(C155:D155)/SUM(C155:F155)</f>
        <v>1</v>
      </c>
      <c r="H155" s="1">
        <f t="shared" si="5"/>
        <v>0</v>
      </c>
    </row>
    <row r="156" spans="1:8" x14ac:dyDescent="0.3">
      <c r="A156" s="10" t="s">
        <v>7</v>
      </c>
      <c r="B156" s="30">
        <f t="shared" si="4"/>
        <v>36067798.803541072</v>
      </c>
      <c r="C156" s="4">
        <f>INDEX('1.1 Y_FR_imports'!$B$4:$B$203, MATCH(Summary!A156, '1.1 Y_FR_imports'!$A$4:$A$203, 0))</f>
        <v>5613.6233781739702</v>
      </c>
      <c r="D156" s="4">
        <f>INDEX('1.2 Z_FR_imports'!$B$4:$B$203, MATCH(Summary!A156, '1.2 Z_FR_imports'!$A$4:$A$203, 0))</f>
        <v>36062185.180162899</v>
      </c>
      <c r="E156" s="4">
        <f>INDEX('2.1 Y_FR_production'!$B$4:$B$203, MATCH(Summary!A156, '2.1 Y_FR_production'!$A$4:$A$203, 0))</f>
        <v>0</v>
      </c>
      <c r="F156" s="4">
        <f>INDEX('2.2 Z_FR_production'!$B$4:$B$203, MATCH(Summary!A156, '2.2 Z_FR_production'!$A$4:$A$203, 0))</f>
        <v>0</v>
      </c>
      <c r="G156" s="1">
        <f>SUM(C156:D156)/SUM(C156:F156)</f>
        <v>1</v>
      </c>
      <c r="H156" s="1">
        <f t="shared" si="5"/>
        <v>0</v>
      </c>
    </row>
    <row r="157" spans="1:8" x14ac:dyDescent="0.3">
      <c r="A157" s="10" t="s">
        <v>111</v>
      </c>
      <c r="B157" s="30">
        <f t="shared" si="4"/>
        <v>30391683.802143455</v>
      </c>
      <c r="C157" s="4">
        <f>INDEX('1.1 Y_FR_imports'!$B$4:$B$203, MATCH(Summary!A157, '1.1 Y_FR_imports'!$A$4:$A$203, 0))</f>
        <v>0</v>
      </c>
      <c r="D157" s="4">
        <f>INDEX('1.2 Z_FR_imports'!$B$4:$B$203, MATCH(Summary!A157, '1.2 Z_FR_imports'!$A$4:$A$203, 0))</f>
        <v>400270.46505815402</v>
      </c>
      <c r="E157" s="4">
        <f>INDEX('2.1 Y_FR_production'!$B$4:$B$203, MATCH(Summary!A157, '2.1 Y_FR_production'!$A$4:$A$203, 0))</f>
        <v>0</v>
      </c>
      <c r="F157" s="4">
        <f>INDEX('2.2 Z_FR_production'!$B$4:$B$203, MATCH(Summary!A157, '2.2 Z_FR_production'!$A$4:$A$203, 0))</f>
        <v>29991413.337085299</v>
      </c>
      <c r="G157" s="1">
        <f>SUM(C157:D157)/SUM(C157:F157)</f>
        <v>1.3170394495546965E-2</v>
      </c>
      <c r="H157" s="1">
        <f t="shared" si="5"/>
        <v>0.98682960550445298</v>
      </c>
    </row>
    <row r="158" spans="1:8" x14ac:dyDescent="0.3">
      <c r="A158" s="10" t="s">
        <v>128</v>
      </c>
      <c r="B158" s="30">
        <f t="shared" si="4"/>
        <v>30350277.221663542</v>
      </c>
      <c r="C158" s="4">
        <f>INDEX('1.1 Y_FR_imports'!$B$4:$B$203, MATCH(Summary!A158, '1.1 Y_FR_imports'!$A$4:$A$203, 0))</f>
        <v>2326937.6116799298</v>
      </c>
      <c r="D158" s="4">
        <f>INDEX('1.2 Z_FR_imports'!$B$4:$B$203, MATCH(Summary!A158, '1.2 Z_FR_imports'!$A$4:$A$203, 0))</f>
        <v>14300562.0002474</v>
      </c>
      <c r="E158" s="4">
        <f>INDEX('2.1 Y_FR_production'!$B$4:$B$203, MATCH(Summary!A158, '2.1 Y_FR_production'!$A$4:$A$203, 0))</f>
        <v>353531.58508681197</v>
      </c>
      <c r="F158" s="4">
        <f>INDEX('2.2 Z_FR_production'!$B$4:$B$203, MATCH(Summary!A158, '2.2 Z_FR_production'!$A$4:$A$203, 0))</f>
        <v>13369246.0246494</v>
      </c>
      <c r="G158" s="1">
        <f>SUM(C158:D158)/SUM(C158:F158)</f>
        <v>0.54785330263998011</v>
      </c>
      <c r="H158" s="1">
        <f t="shared" si="5"/>
        <v>0.45214669736001989</v>
      </c>
    </row>
    <row r="159" spans="1:8" x14ac:dyDescent="0.3">
      <c r="A159" s="10" t="s">
        <v>87</v>
      </c>
      <c r="B159" s="30">
        <f t="shared" si="4"/>
        <v>24284496.034228321</v>
      </c>
      <c r="C159" s="4">
        <f>INDEX('1.1 Y_FR_imports'!$B$4:$B$203, MATCH(Summary!A159, '1.1 Y_FR_imports'!$A$4:$A$203, 0))</f>
        <v>1.60433654656053E-3</v>
      </c>
      <c r="D159" s="4">
        <f>INDEX('1.2 Z_FR_imports'!$B$4:$B$203, MATCH(Summary!A159, '1.2 Z_FR_imports'!$A$4:$A$203, 0))</f>
        <v>24100613.088326499</v>
      </c>
      <c r="E159" s="4">
        <f>INDEX('2.1 Y_FR_production'!$B$4:$B$203, MATCH(Summary!A159, '2.1 Y_FR_production'!$A$4:$A$203, 0))</f>
        <v>2.3498263902899299</v>
      </c>
      <c r="F159" s="4">
        <f>INDEX('2.2 Z_FR_production'!$B$4:$B$203, MATCH(Summary!A159, '2.2 Z_FR_production'!$A$4:$A$203, 0))</f>
        <v>183880.59447109301</v>
      </c>
      <c r="G159" s="1">
        <f>SUM(C159:D159)/SUM(C159:F159)</f>
        <v>0.99242796951444634</v>
      </c>
      <c r="H159" s="1">
        <f t="shared" si="5"/>
        <v>7.5720304855536394E-3</v>
      </c>
    </row>
    <row r="160" spans="1:8" x14ac:dyDescent="0.3">
      <c r="A160" s="10" t="s">
        <v>156</v>
      </c>
      <c r="B160" s="30">
        <f t="shared" si="4"/>
        <v>22844492.53551184</v>
      </c>
      <c r="C160" s="4">
        <f>INDEX('1.1 Y_FR_imports'!$B$4:$B$203, MATCH(Summary!A160, '1.1 Y_FR_imports'!$A$4:$A$203, 0))</f>
        <v>0</v>
      </c>
      <c r="D160" s="4">
        <f>INDEX('1.2 Z_FR_imports'!$B$4:$B$203, MATCH(Summary!A160, '1.2 Z_FR_imports'!$A$4:$A$203, 0))</f>
        <v>296914.20315675298</v>
      </c>
      <c r="E160" s="4">
        <f>INDEX('2.1 Y_FR_production'!$B$4:$B$203, MATCH(Summary!A160, '2.1 Y_FR_production'!$A$4:$A$203, 0))</f>
        <v>2029.7053139874099</v>
      </c>
      <c r="F160" s="4">
        <f>INDEX('2.2 Z_FR_production'!$B$4:$B$203, MATCH(Summary!A160, '2.2 Z_FR_production'!$A$4:$A$203, 0))</f>
        <v>22545548.627041101</v>
      </c>
      <c r="G160" s="1">
        <f>SUM(C160:D160)/SUM(C160:F160)</f>
        <v>1.2997189703172388E-2</v>
      </c>
      <c r="H160" s="1">
        <f t="shared" si="5"/>
        <v>0.98700281029682768</v>
      </c>
    </row>
    <row r="161" spans="1:8" x14ac:dyDescent="0.3">
      <c r="A161" s="10" t="s">
        <v>54</v>
      </c>
      <c r="B161" s="30">
        <f t="shared" si="4"/>
        <v>12668496.195559276</v>
      </c>
      <c r="C161" s="4">
        <f>INDEX('1.1 Y_FR_imports'!$B$4:$B$203, MATCH(Summary!A161, '1.1 Y_FR_imports'!$A$4:$A$203, 0))</f>
        <v>0</v>
      </c>
      <c r="D161" s="4">
        <f>INDEX('1.2 Z_FR_imports'!$B$4:$B$203, MATCH(Summary!A161, '1.2 Z_FR_imports'!$A$4:$A$203, 0))</f>
        <v>472982.623098557</v>
      </c>
      <c r="E161" s="4">
        <f>INDEX('2.1 Y_FR_production'!$B$4:$B$203, MATCH(Summary!A161, '2.1 Y_FR_production'!$A$4:$A$203, 0))</f>
        <v>2250831.1856504302</v>
      </c>
      <c r="F161" s="4">
        <f>INDEX('2.2 Z_FR_production'!$B$4:$B$203, MATCH(Summary!A161, '2.2 Z_FR_production'!$A$4:$A$203, 0))</f>
        <v>9944682.3868102897</v>
      </c>
      <c r="G161" s="1">
        <f>SUM(C161:D161)/SUM(C161:F161)</f>
        <v>3.7335340816880294E-2</v>
      </c>
      <c r="H161" s="1">
        <f t="shared" si="5"/>
        <v>0.96266465918311983</v>
      </c>
    </row>
    <row r="162" spans="1:8" x14ac:dyDescent="0.3">
      <c r="A162" s="10" t="s">
        <v>126</v>
      </c>
      <c r="B162" s="30">
        <f t="shared" si="4"/>
        <v>8025499.0782923941</v>
      </c>
      <c r="C162" s="4">
        <f>INDEX('1.1 Y_FR_imports'!$B$4:$B$203, MATCH(Summary!A162, '1.1 Y_FR_imports'!$A$4:$A$203, 0))</f>
        <v>0</v>
      </c>
      <c r="D162" s="4">
        <f>INDEX('1.2 Z_FR_imports'!$B$4:$B$203, MATCH(Summary!A162, '1.2 Z_FR_imports'!$A$4:$A$203, 0))</f>
        <v>273872.20144421398</v>
      </c>
      <c r="E162" s="4">
        <f>INDEX('2.1 Y_FR_production'!$B$4:$B$203, MATCH(Summary!A162, '2.1 Y_FR_production'!$A$4:$A$203, 0))</f>
        <v>1638165.9411023899</v>
      </c>
      <c r="F162" s="4">
        <f>INDEX('2.2 Z_FR_production'!$B$4:$B$203, MATCH(Summary!A162, '2.2 Z_FR_production'!$A$4:$A$203, 0))</f>
        <v>6113460.9357457897</v>
      </c>
      <c r="G162" s="1">
        <f>SUM(C162:D162)/SUM(C162:F162)</f>
        <v>3.4125254862341407E-2</v>
      </c>
      <c r="H162" s="1">
        <f t="shared" si="5"/>
        <v>0.96587474513765859</v>
      </c>
    </row>
    <row r="163" spans="1:8" x14ac:dyDescent="0.3">
      <c r="A163" s="10" t="s">
        <v>52</v>
      </c>
      <c r="B163" s="30">
        <f t="shared" si="4"/>
        <v>6220225.1682260595</v>
      </c>
      <c r="C163" s="4">
        <f>INDEX('1.1 Y_FR_imports'!$B$4:$B$203, MATCH(Summary!A163, '1.1 Y_FR_imports'!$A$4:$A$203, 0))</f>
        <v>0</v>
      </c>
      <c r="D163" s="4">
        <f>INDEX('1.2 Z_FR_imports'!$B$4:$B$203, MATCH(Summary!A163, '1.2 Z_FR_imports'!$A$4:$A$203, 0))</f>
        <v>11636.872994789701</v>
      </c>
      <c r="E163" s="4">
        <f>INDEX('2.1 Y_FR_production'!$B$4:$B$203, MATCH(Summary!A163, '2.1 Y_FR_production'!$A$4:$A$203, 0))</f>
        <v>1731440.4572458901</v>
      </c>
      <c r="F163" s="4">
        <f>INDEX('2.2 Z_FR_production'!$B$4:$B$203, MATCH(Summary!A163, '2.2 Z_FR_production'!$A$4:$A$203, 0))</f>
        <v>4477147.8379853796</v>
      </c>
      <c r="G163" s="1">
        <f>SUM(C163:D163)/SUM(C163:F163)</f>
        <v>1.8708121780273768E-3</v>
      </c>
      <c r="H163" s="1">
        <f t="shared" si="5"/>
        <v>0.99812918782197257</v>
      </c>
    </row>
    <row r="164" spans="1:8" x14ac:dyDescent="0.3">
      <c r="A164" s="10" t="s">
        <v>200</v>
      </c>
      <c r="B164" s="30">
        <f t="shared" si="4"/>
        <v>6172967.5554705597</v>
      </c>
      <c r="C164" s="4">
        <f>INDEX('1.1 Y_FR_imports'!$B$4:$B$203, MATCH(Summary!A164, '1.1 Y_FR_imports'!$A$4:$A$203, 0))</f>
        <v>6.9274498211835097E-3</v>
      </c>
      <c r="D164" s="4">
        <f>INDEX('1.2 Z_FR_imports'!$B$4:$B$203, MATCH(Summary!A164, '1.2 Z_FR_imports'!$A$4:$A$203, 0))</f>
        <v>2335919.79629162</v>
      </c>
      <c r="E164" s="4">
        <f>INDEX('2.1 Y_FR_production'!$B$4:$B$203, MATCH(Summary!A164, '2.1 Y_FR_production'!$A$4:$A$203, 0))</f>
        <v>1774357.05560091</v>
      </c>
      <c r="F164" s="4">
        <f>INDEX('2.2 Z_FR_production'!$B$4:$B$203, MATCH(Summary!A164, '2.2 Z_FR_production'!$A$4:$A$203, 0))</f>
        <v>2062690.69665058</v>
      </c>
      <c r="G164" s="1">
        <f>SUM(C164:D164)/SUM(C164:F164)</f>
        <v>0.37841115836563061</v>
      </c>
      <c r="H164" s="1">
        <f t="shared" si="5"/>
        <v>0.62158884163436934</v>
      </c>
    </row>
    <row r="165" spans="1:8" x14ac:dyDescent="0.3">
      <c r="A165" s="10" t="s">
        <v>17</v>
      </c>
      <c r="B165" s="30">
        <f t="shared" si="4"/>
        <v>5674135.7523916392</v>
      </c>
      <c r="C165" s="4">
        <f>INDEX('1.1 Y_FR_imports'!$B$4:$B$203, MATCH(Summary!A165, '1.1 Y_FR_imports'!$A$4:$A$203, 0))</f>
        <v>0</v>
      </c>
      <c r="D165" s="4">
        <f>INDEX('1.2 Z_FR_imports'!$B$4:$B$203, MATCH(Summary!A165, '1.2 Z_FR_imports'!$A$4:$A$203, 0))</f>
        <v>9608.5598286192599</v>
      </c>
      <c r="E165" s="4">
        <f>INDEX('2.1 Y_FR_production'!$B$4:$B$203, MATCH(Summary!A165, '2.1 Y_FR_production'!$A$4:$A$203, 0))</f>
        <v>0.66105654948689496</v>
      </c>
      <c r="F165" s="4">
        <f>INDEX('2.2 Z_FR_production'!$B$4:$B$203, MATCH(Summary!A165, '2.2 Z_FR_production'!$A$4:$A$203, 0))</f>
        <v>5664526.5315064704</v>
      </c>
      <c r="G165" s="1">
        <f>SUM(C165:D165)/SUM(C165:F165)</f>
        <v>1.6933961836512754E-3</v>
      </c>
      <c r="H165" s="1">
        <f t="shared" si="5"/>
        <v>0.99830660381634873</v>
      </c>
    </row>
    <row r="166" spans="1:8" x14ac:dyDescent="0.3">
      <c r="A166" s="10" t="s">
        <v>14</v>
      </c>
      <c r="B166" s="30">
        <f t="shared" si="4"/>
        <v>5371077.5616012989</v>
      </c>
      <c r="C166" s="4">
        <f>INDEX('1.1 Y_FR_imports'!$B$4:$B$203, MATCH(Summary!A166, '1.1 Y_FR_imports'!$A$4:$A$203, 0))</f>
        <v>0</v>
      </c>
      <c r="D166" s="4">
        <f>INDEX('1.2 Z_FR_imports'!$B$4:$B$203, MATCH(Summary!A166, '1.2 Z_FR_imports'!$A$4:$A$203, 0))</f>
        <v>24677.6076254734</v>
      </c>
      <c r="E166" s="4">
        <f>INDEX('2.1 Y_FR_production'!$B$4:$B$203, MATCH(Summary!A166, '2.1 Y_FR_production'!$A$4:$A$203, 0))</f>
        <v>935.39933496470803</v>
      </c>
      <c r="F166" s="4">
        <f>INDEX('2.2 Z_FR_production'!$B$4:$B$203, MATCH(Summary!A166, '2.2 Z_FR_production'!$A$4:$A$203, 0))</f>
        <v>5345464.5546408603</v>
      </c>
      <c r="G166" s="1">
        <f>SUM(C166:D166)/SUM(C166:F166)</f>
        <v>4.594535703952146E-3</v>
      </c>
      <c r="H166" s="1">
        <f t="shared" si="5"/>
        <v>0.9954054642960477</v>
      </c>
    </row>
    <row r="167" spans="1:8" x14ac:dyDescent="0.3">
      <c r="A167" s="10" t="s">
        <v>180</v>
      </c>
      <c r="B167" s="30">
        <f t="shared" si="4"/>
        <v>3273704.0747251716</v>
      </c>
      <c r="C167" s="4">
        <f>INDEX('1.1 Y_FR_imports'!$B$4:$B$203, MATCH(Summary!A167, '1.1 Y_FR_imports'!$A$4:$A$203, 0))</f>
        <v>1.1314182361623001E-4</v>
      </c>
      <c r="D167" s="4">
        <f>INDEX('1.2 Z_FR_imports'!$B$4:$B$203, MATCH(Summary!A167, '1.2 Z_FR_imports'!$A$4:$A$203, 0))</f>
        <v>3273704.0746120298</v>
      </c>
      <c r="E167" s="4">
        <f>INDEX('2.1 Y_FR_production'!$B$4:$B$203, MATCH(Summary!A167, '2.1 Y_FR_production'!$A$4:$A$203, 0))</f>
        <v>0</v>
      </c>
      <c r="F167" s="4">
        <f>INDEX('2.2 Z_FR_production'!$B$4:$B$203, MATCH(Summary!A167, '2.2 Z_FR_production'!$A$4:$A$203, 0))</f>
        <v>0</v>
      </c>
      <c r="G167" s="1">
        <f>SUM(C167:D167)/SUM(C167:F167)</f>
        <v>1</v>
      </c>
      <c r="H167" s="1">
        <f t="shared" si="5"/>
        <v>0</v>
      </c>
    </row>
    <row r="168" spans="1:8" x14ac:dyDescent="0.3">
      <c r="A168" s="10" t="s">
        <v>9</v>
      </c>
      <c r="B168" s="30">
        <f t="shared" si="4"/>
        <v>3034766.3632987225</v>
      </c>
      <c r="C168" s="4">
        <f>INDEX('1.1 Y_FR_imports'!$B$4:$B$203, MATCH(Summary!A168, '1.1 Y_FR_imports'!$A$4:$A$203, 0))</f>
        <v>7.0866341464102096E-4</v>
      </c>
      <c r="D168" s="4">
        <f>INDEX('1.2 Z_FR_imports'!$B$4:$B$203, MATCH(Summary!A168, '1.2 Z_FR_imports'!$A$4:$A$203, 0))</f>
        <v>804423.61677310499</v>
      </c>
      <c r="E168" s="4">
        <f>INDEX('2.1 Y_FR_production'!$B$4:$B$203, MATCH(Summary!A168, '2.1 Y_FR_production'!$A$4:$A$203, 0))</f>
        <v>20167.6179014441</v>
      </c>
      <c r="F168" s="4">
        <f>INDEX('2.2 Z_FR_production'!$B$4:$B$203, MATCH(Summary!A168, '2.2 Z_FR_production'!$A$4:$A$203, 0))</f>
        <v>2210175.12791551</v>
      </c>
      <c r="G168" s="1">
        <f>SUM(C168:D168)/SUM(C168:F168)</f>
        <v>0.26506937311885126</v>
      </c>
      <c r="H168" s="1">
        <f t="shared" si="5"/>
        <v>0.73493062688114863</v>
      </c>
    </row>
    <row r="169" spans="1:8" x14ac:dyDescent="0.3">
      <c r="A169" s="10" t="s">
        <v>124</v>
      </c>
      <c r="B169" s="30">
        <f t="shared" si="4"/>
        <v>2256528.6019553081</v>
      </c>
      <c r="C169" s="4">
        <f>INDEX('1.1 Y_FR_imports'!$B$4:$B$203, MATCH(Summary!A169, '1.1 Y_FR_imports'!$A$4:$A$203, 0))</f>
        <v>0</v>
      </c>
      <c r="D169" s="4">
        <f>INDEX('1.2 Z_FR_imports'!$B$4:$B$203, MATCH(Summary!A169, '1.2 Z_FR_imports'!$A$4:$A$203, 0))</f>
        <v>45110.340636102403</v>
      </c>
      <c r="E169" s="4">
        <f>INDEX('2.1 Y_FR_production'!$B$4:$B$203, MATCH(Summary!A169, '2.1 Y_FR_production'!$A$4:$A$203, 0))</f>
        <v>342623.37777737598</v>
      </c>
      <c r="F169" s="4">
        <f>INDEX('2.2 Z_FR_production'!$B$4:$B$203, MATCH(Summary!A169, '2.2 Z_FR_production'!$A$4:$A$203, 0))</f>
        <v>1868794.8835418299</v>
      </c>
      <c r="G169" s="1">
        <f>SUM(C169:D169)/SUM(C169:F169)</f>
        <v>1.9991034280271817E-2</v>
      </c>
      <c r="H169" s="1">
        <f t="shared" si="5"/>
        <v>0.9800089657197284</v>
      </c>
    </row>
    <row r="170" spans="1:8" x14ac:dyDescent="0.3">
      <c r="A170" s="10" t="s">
        <v>55</v>
      </c>
      <c r="B170" s="30">
        <f t="shared" si="4"/>
        <v>2057199.6443726462</v>
      </c>
      <c r="C170" s="4">
        <f>INDEX('1.1 Y_FR_imports'!$B$4:$B$203, MATCH(Summary!A170, '1.1 Y_FR_imports'!$A$4:$A$203, 0))</f>
        <v>0</v>
      </c>
      <c r="D170" s="4">
        <f>INDEX('1.2 Z_FR_imports'!$B$4:$B$203, MATCH(Summary!A170, '1.2 Z_FR_imports'!$A$4:$A$203, 0))</f>
        <v>1044143.8975464</v>
      </c>
      <c r="E170" s="4">
        <f>INDEX('2.1 Y_FR_production'!$B$4:$B$203, MATCH(Summary!A170, '2.1 Y_FR_production'!$A$4:$A$203, 0))</f>
        <v>4668.4061204664904</v>
      </c>
      <c r="F170" s="4">
        <f>INDEX('2.2 Z_FR_production'!$B$4:$B$203, MATCH(Summary!A170, '2.2 Z_FR_production'!$A$4:$A$203, 0))</f>
        <v>1008387.34070578</v>
      </c>
      <c r="G170" s="1">
        <f>SUM(C170:D170)/SUM(C170:F170)</f>
        <v>0.50755593916351127</v>
      </c>
      <c r="H170" s="1">
        <f t="shared" si="5"/>
        <v>0.49244406083648878</v>
      </c>
    </row>
    <row r="171" spans="1:8" x14ac:dyDescent="0.3">
      <c r="A171" s="10" t="s">
        <v>43</v>
      </c>
      <c r="B171" s="30">
        <f t="shared" si="4"/>
        <v>996376.95660252695</v>
      </c>
      <c r="C171" s="4">
        <f>INDEX('1.1 Y_FR_imports'!$B$4:$B$203, MATCH(Summary!A171, '1.1 Y_FR_imports'!$A$4:$A$203, 0))</f>
        <v>0</v>
      </c>
      <c r="D171" s="4">
        <f>INDEX('1.2 Z_FR_imports'!$B$4:$B$203, MATCH(Summary!A171, '1.2 Z_FR_imports'!$A$4:$A$203, 0))</f>
        <v>107254.483574996</v>
      </c>
      <c r="E171" s="4">
        <f>INDEX('2.1 Y_FR_production'!$B$4:$B$203, MATCH(Summary!A171, '2.1 Y_FR_production'!$A$4:$A$203, 0))</f>
        <v>3975.3688045660001</v>
      </c>
      <c r="F171" s="4">
        <f>INDEX('2.2 Z_FR_production'!$B$4:$B$203, MATCH(Summary!A171, '2.2 Z_FR_production'!$A$4:$A$203, 0))</f>
        <v>885147.10422296496</v>
      </c>
      <c r="G171" s="1">
        <f>SUM(C171:D171)/SUM(C171:F171)</f>
        <v>0.10764448421279757</v>
      </c>
      <c r="H171" s="1">
        <f t="shared" si="5"/>
        <v>0.8923555157872024</v>
      </c>
    </row>
    <row r="172" spans="1:8" x14ac:dyDescent="0.3">
      <c r="A172" s="10" t="s">
        <v>130</v>
      </c>
      <c r="B172" s="30">
        <f t="shared" si="4"/>
        <v>827563.67826821422</v>
      </c>
      <c r="C172" s="4">
        <f>INDEX('1.1 Y_FR_imports'!$B$4:$B$203, MATCH(Summary!A172, '1.1 Y_FR_imports'!$A$4:$A$203, 0))</f>
        <v>1.53136166842238E-4</v>
      </c>
      <c r="D172" s="4">
        <f>INDEX('1.2 Z_FR_imports'!$B$4:$B$203, MATCH(Summary!A172, '1.2 Z_FR_imports'!$A$4:$A$203, 0))</f>
        <v>827563.67811507802</v>
      </c>
      <c r="E172" s="4">
        <f>INDEX('2.1 Y_FR_production'!$B$4:$B$203, MATCH(Summary!A172, '2.1 Y_FR_production'!$A$4:$A$203, 0))</f>
        <v>0</v>
      </c>
      <c r="F172" s="4">
        <f>INDEX('2.2 Z_FR_production'!$B$4:$B$203, MATCH(Summary!A172, '2.2 Z_FR_production'!$A$4:$A$203, 0))</f>
        <v>0</v>
      </c>
      <c r="G172" s="1">
        <f>SUM(C172:D172)/SUM(C172:F172)</f>
        <v>1</v>
      </c>
      <c r="H172" s="1">
        <f t="shared" si="5"/>
        <v>0</v>
      </c>
    </row>
    <row r="173" spans="1:8" x14ac:dyDescent="0.3">
      <c r="A173" s="10" t="s">
        <v>51</v>
      </c>
      <c r="B173" s="30">
        <f t="shared" si="4"/>
        <v>787621.39469616604</v>
      </c>
      <c r="C173" s="4">
        <f>INDEX('1.1 Y_FR_imports'!$B$4:$B$203, MATCH(Summary!A173, '1.1 Y_FR_imports'!$A$4:$A$203, 0))</f>
        <v>0</v>
      </c>
      <c r="D173" s="4">
        <f>INDEX('1.2 Z_FR_imports'!$B$4:$B$203, MATCH(Summary!A173, '1.2 Z_FR_imports'!$A$4:$A$203, 0))</f>
        <v>787621.39469616604</v>
      </c>
      <c r="E173" s="4">
        <f>INDEX('2.1 Y_FR_production'!$B$4:$B$203, MATCH(Summary!A173, '2.1 Y_FR_production'!$A$4:$A$203, 0))</f>
        <v>0</v>
      </c>
      <c r="F173" s="4">
        <f>INDEX('2.2 Z_FR_production'!$B$4:$B$203, MATCH(Summary!A173, '2.2 Z_FR_production'!$A$4:$A$203, 0))</f>
        <v>0</v>
      </c>
      <c r="G173" s="1">
        <f>SUM(C173:D173)/SUM(C173:F173)</f>
        <v>1</v>
      </c>
      <c r="H173" s="1">
        <f t="shared" si="5"/>
        <v>0</v>
      </c>
    </row>
    <row r="174" spans="1:8" x14ac:dyDescent="0.3">
      <c r="A174" s="10" t="s">
        <v>129</v>
      </c>
      <c r="B174" s="30">
        <f t="shared" si="4"/>
        <v>771792.53892927337</v>
      </c>
      <c r="C174" s="4">
        <f>INDEX('1.1 Y_FR_imports'!$B$4:$B$203, MATCH(Summary!A174, '1.1 Y_FR_imports'!$A$4:$A$203, 0))</f>
        <v>9842.39757092933</v>
      </c>
      <c r="D174" s="4">
        <f>INDEX('1.2 Z_FR_imports'!$B$4:$B$203, MATCH(Summary!A174, '1.2 Z_FR_imports'!$A$4:$A$203, 0))</f>
        <v>761950.141358344</v>
      </c>
      <c r="E174" s="4">
        <f>INDEX('2.1 Y_FR_production'!$B$4:$B$203, MATCH(Summary!A174, '2.1 Y_FR_production'!$A$4:$A$203, 0))</f>
        <v>0</v>
      </c>
      <c r="F174" s="4">
        <f>INDEX('2.2 Z_FR_production'!$B$4:$B$203, MATCH(Summary!A174, '2.2 Z_FR_production'!$A$4:$A$203, 0))</f>
        <v>0</v>
      </c>
      <c r="G174" s="1">
        <f>SUM(C174:D174)/SUM(C174:F174)</f>
        <v>1</v>
      </c>
      <c r="H174" s="1">
        <f t="shared" si="5"/>
        <v>0</v>
      </c>
    </row>
    <row r="175" spans="1:8" x14ac:dyDescent="0.3">
      <c r="A175" s="10" t="s">
        <v>114</v>
      </c>
      <c r="B175" s="30">
        <f t="shared" si="4"/>
        <v>339231.74201772525</v>
      </c>
      <c r="C175" s="4">
        <f>INDEX('1.1 Y_FR_imports'!$B$4:$B$203, MATCH(Summary!A175, '1.1 Y_FR_imports'!$A$4:$A$203, 0))</f>
        <v>90.366406603484194</v>
      </c>
      <c r="D175" s="4">
        <f>INDEX('1.2 Z_FR_imports'!$B$4:$B$203, MATCH(Summary!A175, '1.2 Z_FR_imports'!$A$4:$A$203, 0))</f>
        <v>338760.94011995598</v>
      </c>
      <c r="E175" s="4">
        <f>INDEX('2.1 Y_FR_production'!$B$4:$B$203, MATCH(Summary!A175, '2.1 Y_FR_production'!$A$4:$A$203, 0))</f>
        <v>4.3799495338879002E-2</v>
      </c>
      <c r="F175" s="4">
        <f>INDEX('2.2 Z_FR_production'!$B$4:$B$203, MATCH(Summary!A175, '2.2 Z_FR_production'!$A$4:$A$203, 0))</f>
        <v>380.39169167044201</v>
      </c>
      <c r="G175" s="1">
        <f>SUM(C175:D175)/SUM(C175:F175)</f>
        <v>0.99887853804923155</v>
      </c>
      <c r="H175" s="1">
        <f t="shared" si="5"/>
        <v>1.1214619507684592E-3</v>
      </c>
    </row>
    <row r="176" spans="1:8" x14ac:dyDescent="0.3">
      <c r="A176" s="10" t="s">
        <v>190</v>
      </c>
      <c r="B176" s="30">
        <f t="shared" si="4"/>
        <v>310524.42126497533</v>
      </c>
      <c r="C176" s="4">
        <f>INDEX('1.1 Y_FR_imports'!$B$4:$B$203, MATCH(Summary!A176, '1.1 Y_FR_imports'!$A$4:$A$203, 0))</f>
        <v>0</v>
      </c>
      <c r="D176" s="4">
        <f>INDEX('1.2 Z_FR_imports'!$B$4:$B$203, MATCH(Summary!A176, '1.2 Z_FR_imports'!$A$4:$A$203, 0))</f>
        <v>0</v>
      </c>
      <c r="E176" s="4">
        <f>INDEX('2.1 Y_FR_production'!$B$4:$B$203, MATCH(Summary!A176, '2.1 Y_FR_production'!$A$4:$A$203, 0))</f>
        <v>1.5525587314332101E-2</v>
      </c>
      <c r="F176" s="4">
        <f>INDEX('2.2 Z_FR_production'!$B$4:$B$203, MATCH(Summary!A176, '2.2 Z_FR_production'!$A$4:$A$203, 0))</f>
        <v>310524.40573938802</v>
      </c>
      <c r="G176" s="1">
        <f>SUM(C176:D176)/SUM(C176:F176)</f>
        <v>0</v>
      </c>
      <c r="H176" s="1">
        <f t="shared" si="5"/>
        <v>1</v>
      </c>
    </row>
    <row r="177" spans="1:8" x14ac:dyDescent="0.3">
      <c r="A177" s="10" t="s">
        <v>110</v>
      </c>
      <c r="B177" s="30">
        <f t="shared" si="4"/>
        <v>264950.74399780238</v>
      </c>
      <c r="C177" s="4">
        <f>INDEX('1.1 Y_FR_imports'!$B$4:$B$203, MATCH(Summary!A177, '1.1 Y_FR_imports'!$A$4:$A$203, 0))</f>
        <v>70324.895655055399</v>
      </c>
      <c r="D177" s="4">
        <f>INDEX('1.2 Z_FR_imports'!$B$4:$B$203, MATCH(Summary!A177, '1.2 Z_FR_imports'!$A$4:$A$203, 0))</f>
        <v>194625.84834274699</v>
      </c>
      <c r="E177" s="4">
        <f>INDEX('2.1 Y_FR_production'!$B$4:$B$203, MATCH(Summary!A177, '2.1 Y_FR_production'!$A$4:$A$203, 0))</f>
        <v>0</v>
      </c>
      <c r="F177" s="4">
        <f>INDEX('2.2 Z_FR_production'!$B$4:$B$203, MATCH(Summary!A177, '2.2 Z_FR_production'!$A$4:$A$203, 0))</f>
        <v>0</v>
      </c>
      <c r="G177" s="1">
        <f>SUM(C177:D177)/SUM(C177:F177)</f>
        <v>1</v>
      </c>
      <c r="H177" s="1">
        <f t="shared" si="5"/>
        <v>0</v>
      </c>
    </row>
    <row r="178" spans="1:8" x14ac:dyDescent="0.3">
      <c r="A178" s="10" t="s">
        <v>81</v>
      </c>
      <c r="B178" s="30">
        <f t="shared" si="4"/>
        <v>39087.710196496104</v>
      </c>
      <c r="C178" s="4">
        <f>INDEX('1.1 Y_FR_imports'!$B$4:$B$203, MATCH(Summary!A178, '1.1 Y_FR_imports'!$A$4:$A$203, 0))</f>
        <v>0.39024009210747701</v>
      </c>
      <c r="D178" s="4">
        <f>INDEX('1.2 Z_FR_imports'!$B$4:$B$203, MATCH(Summary!A178, '1.2 Z_FR_imports'!$A$4:$A$203, 0))</f>
        <v>39087.319956403997</v>
      </c>
      <c r="E178" s="4">
        <f>INDEX('2.1 Y_FR_production'!$B$4:$B$203, MATCH(Summary!A178, '2.1 Y_FR_production'!$A$4:$A$203, 0))</f>
        <v>0</v>
      </c>
      <c r="F178" s="4">
        <f>INDEX('2.2 Z_FR_production'!$B$4:$B$203, MATCH(Summary!A178, '2.2 Z_FR_production'!$A$4:$A$203, 0))</f>
        <v>0</v>
      </c>
      <c r="G178" s="1">
        <f>SUM(C178:D178)/SUM(C178:F178)</f>
        <v>1</v>
      </c>
      <c r="H178" s="1">
        <f t="shared" si="5"/>
        <v>0</v>
      </c>
    </row>
    <row r="179" spans="1:8" x14ac:dyDescent="0.3">
      <c r="A179" s="10" t="s">
        <v>139</v>
      </c>
      <c r="B179" s="30">
        <f t="shared" si="4"/>
        <v>29024.214633355918</v>
      </c>
      <c r="C179" s="4">
        <f>INDEX('1.1 Y_FR_imports'!$B$4:$B$203, MATCH(Summary!A179, '1.1 Y_FR_imports'!$A$4:$A$203, 0))</f>
        <v>1031.5451251115201</v>
      </c>
      <c r="D179" s="4">
        <f>INDEX('1.2 Z_FR_imports'!$B$4:$B$203, MATCH(Summary!A179, '1.2 Z_FR_imports'!$A$4:$A$203, 0))</f>
        <v>27992.669508244398</v>
      </c>
      <c r="E179" s="4">
        <f>INDEX('2.1 Y_FR_production'!$B$4:$B$203, MATCH(Summary!A179, '2.1 Y_FR_production'!$A$4:$A$203, 0))</f>
        <v>0</v>
      </c>
      <c r="F179" s="4">
        <f>INDEX('2.2 Z_FR_production'!$B$4:$B$203, MATCH(Summary!A179, '2.2 Z_FR_production'!$A$4:$A$203, 0))</f>
        <v>0</v>
      </c>
      <c r="G179" s="1">
        <f>SUM(C179:D179)/SUM(C179:F179)</f>
        <v>1</v>
      </c>
      <c r="H179" s="1">
        <f t="shared" si="5"/>
        <v>0</v>
      </c>
    </row>
    <row r="180" spans="1:8" x14ac:dyDescent="0.3">
      <c r="A180" s="10" t="s">
        <v>34</v>
      </c>
      <c r="B180" s="30">
        <f t="shared" si="4"/>
        <v>791.73058297819023</v>
      </c>
      <c r="C180" s="4">
        <f>INDEX('1.1 Y_FR_imports'!$B$4:$B$203, MATCH(Summary!A180, '1.1 Y_FR_imports'!$A$4:$A$203, 0))</f>
        <v>6.3502413648258205E-2</v>
      </c>
      <c r="D180" s="4">
        <f>INDEX('1.2 Z_FR_imports'!$B$4:$B$203, MATCH(Summary!A180, '1.2 Z_FR_imports'!$A$4:$A$203, 0))</f>
        <v>791.66708056454195</v>
      </c>
      <c r="E180" s="4">
        <f>INDEX('2.1 Y_FR_production'!$B$4:$B$203, MATCH(Summary!A180, '2.1 Y_FR_production'!$A$4:$A$203, 0))</f>
        <v>0</v>
      </c>
      <c r="F180" s="4">
        <f>INDEX('2.2 Z_FR_production'!$B$4:$B$203, MATCH(Summary!A180, '2.2 Z_FR_production'!$A$4:$A$203, 0))</f>
        <v>0</v>
      </c>
      <c r="G180" s="1">
        <f>SUM(C180:D180)/SUM(C180:F180)</f>
        <v>1</v>
      </c>
      <c r="H180" s="1">
        <f t="shared" si="5"/>
        <v>0</v>
      </c>
    </row>
    <row r="181" spans="1:8" x14ac:dyDescent="0.3">
      <c r="A181" s="10" t="s">
        <v>29</v>
      </c>
      <c r="B181" s="30">
        <f t="shared" si="4"/>
        <v>0</v>
      </c>
      <c r="C181" s="4">
        <f>INDEX('1.1 Y_FR_imports'!$B$4:$B$203, MATCH(Summary!A181, '1.1 Y_FR_imports'!$A$4:$A$203, 0))</f>
        <v>0</v>
      </c>
      <c r="D181" s="4">
        <f>INDEX('1.2 Z_FR_imports'!$B$4:$B$203, MATCH(Summary!A181, '1.2 Z_FR_imports'!$A$4:$A$203, 0))</f>
        <v>0</v>
      </c>
      <c r="E181" s="4">
        <f>INDEX('2.1 Y_FR_production'!$B$4:$B$203, MATCH(Summary!A181, '2.1 Y_FR_production'!$A$4:$A$203, 0))</f>
        <v>0</v>
      </c>
      <c r="F181" s="4">
        <f>INDEX('2.2 Z_FR_production'!$B$4:$B$203, MATCH(Summary!A181, '2.2 Z_FR_production'!$A$4:$A$203, 0))</f>
        <v>0</v>
      </c>
      <c r="G181" s="1" t="e">
        <f>SUM(C181:D181)/SUM(C181:F181)</f>
        <v>#DIV/0!</v>
      </c>
      <c r="H181" s="1" t="e">
        <f t="shared" si="5"/>
        <v>#DIV/0!</v>
      </c>
    </row>
    <row r="182" spans="1:8" x14ac:dyDescent="0.3">
      <c r="A182" s="10" t="s">
        <v>70</v>
      </c>
      <c r="B182" s="30">
        <f t="shared" si="4"/>
        <v>0</v>
      </c>
      <c r="C182" s="4">
        <f>INDEX('1.1 Y_FR_imports'!$B$4:$B$203, MATCH(Summary!A182, '1.1 Y_FR_imports'!$A$4:$A$203, 0))</f>
        <v>0</v>
      </c>
      <c r="D182" s="4">
        <f>INDEX('1.2 Z_FR_imports'!$B$4:$B$203, MATCH(Summary!A182, '1.2 Z_FR_imports'!$A$4:$A$203, 0))</f>
        <v>0</v>
      </c>
      <c r="E182" s="4">
        <f>INDEX('2.1 Y_FR_production'!$B$4:$B$203, MATCH(Summary!A182, '2.1 Y_FR_production'!$A$4:$A$203, 0))</f>
        <v>0</v>
      </c>
      <c r="F182" s="4">
        <f>INDEX('2.2 Z_FR_production'!$B$4:$B$203, MATCH(Summary!A182, '2.2 Z_FR_production'!$A$4:$A$203, 0))</f>
        <v>0</v>
      </c>
      <c r="G182" s="1" t="e">
        <f>SUM(C182:D182)/SUM(C182:F182)</f>
        <v>#DIV/0!</v>
      </c>
      <c r="H182" s="1" t="e">
        <f t="shared" si="5"/>
        <v>#DIV/0!</v>
      </c>
    </row>
    <row r="183" spans="1:8" x14ac:dyDescent="0.3">
      <c r="A183" s="10" t="s">
        <v>103</v>
      </c>
      <c r="B183" s="30">
        <f t="shared" si="4"/>
        <v>0</v>
      </c>
      <c r="C183" s="4">
        <f>INDEX('1.1 Y_FR_imports'!$B$4:$B$203, MATCH(Summary!A183, '1.1 Y_FR_imports'!$A$4:$A$203, 0))</f>
        <v>0</v>
      </c>
      <c r="D183" s="4">
        <f>INDEX('1.2 Z_FR_imports'!$B$4:$B$203, MATCH(Summary!A183, '1.2 Z_FR_imports'!$A$4:$A$203, 0))</f>
        <v>0</v>
      </c>
      <c r="E183" s="4">
        <f>INDEX('2.1 Y_FR_production'!$B$4:$B$203, MATCH(Summary!A183, '2.1 Y_FR_production'!$A$4:$A$203, 0))</f>
        <v>0</v>
      </c>
      <c r="F183" s="4">
        <f>INDEX('2.2 Z_FR_production'!$B$4:$B$203, MATCH(Summary!A183, '2.2 Z_FR_production'!$A$4:$A$203, 0))</f>
        <v>0</v>
      </c>
      <c r="G183" s="1" t="e">
        <f>SUM(C183:D183)/SUM(C183:F183)</f>
        <v>#DIV/0!</v>
      </c>
      <c r="H183" s="1" t="e">
        <f t="shared" si="5"/>
        <v>#DIV/0!</v>
      </c>
    </row>
    <row r="184" spans="1:8" x14ac:dyDescent="0.3">
      <c r="A184" s="10" t="s">
        <v>120</v>
      </c>
      <c r="B184" s="30">
        <f t="shared" si="4"/>
        <v>0</v>
      </c>
      <c r="C184" s="4">
        <f>INDEX('1.1 Y_FR_imports'!$B$4:$B$203, MATCH(Summary!A184, '1.1 Y_FR_imports'!$A$4:$A$203, 0))</f>
        <v>0</v>
      </c>
      <c r="D184" s="4">
        <f>INDEX('1.2 Z_FR_imports'!$B$4:$B$203, MATCH(Summary!A184, '1.2 Z_FR_imports'!$A$4:$A$203, 0))</f>
        <v>0</v>
      </c>
      <c r="E184" s="4">
        <f>INDEX('2.1 Y_FR_production'!$B$4:$B$203, MATCH(Summary!A184, '2.1 Y_FR_production'!$A$4:$A$203, 0))</f>
        <v>0</v>
      </c>
      <c r="F184" s="4">
        <f>INDEX('2.2 Z_FR_production'!$B$4:$B$203, MATCH(Summary!A184, '2.2 Z_FR_production'!$A$4:$A$203, 0))</f>
        <v>0</v>
      </c>
      <c r="G184" s="1" t="e">
        <f>SUM(C184:D184)/SUM(C184:F184)</f>
        <v>#DIV/0!</v>
      </c>
      <c r="H184" s="1" t="e">
        <f t="shared" si="5"/>
        <v>#DIV/0!</v>
      </c>
    </row>
    <row r="185" spans="1:8" x14ac:dyDescent="0.3">
      <c r="A185" s="10" t="s">
        <v>174</v>
      </c>
      <c r="B185" s="30">
        <f t="shared" si="4"/>
        <v>0</v>
      </c>
      <c r="C185" s="4">
        <f>INDEX('1.1 Y_FR_imports'!$B$4:$B$203, MATCH(Summary!A185, '1.1 Y_FR_imports'!$A$4:$A$203, 0))</f>
        <v>0</v>
      </c>
      <c r="D185" s="4">
        <f>INDEX('1.2 Z_FR_imports'!$B$4:$B$203, MATCH(Summary!A185, '1.2 Z_FR_imports'!$A$4:$A$203, 0))</f>
        <v>0</v>
      </c>
      <c r="E185" s="4">
        <f>INDEX('2.1 Y_FR_production'!$B$4:$B$203, MATCH(Summary!A185, '2.1 Y_FR_production'!$A$4:$A$203, 0))</f>
        <v>0</v>
      </c>
      <c r="F185" s="4">
        <f>INDEX('2.2 Z_FR_production'!$B$4:$B$203, MATCH(Summary!A185, '2.2 Z_FR_production'!$A$4:$A$203, 0))</f>
        <v>0</v>
      </c>
      <c r="G185" s="1" t="e">
        <f>SUM(C185:D185)/SUM(C185:F185)</f>
        <v>#DIV/0!</v>
      </c>
      <c r="H185" s="1" t="e">
        <f t="shared" si="5"/>
        <v>#DIV/0!</v>
      </c>
    </row>
    <row r="186" spans="1:8" x14ac:dyDescent="0.3">
      <c r="A186" s="10" t="s">
        <v>72</v>
      </c>
      <c r="B186" s="30">
        <f t="shared" si="4"/>
        <v>0</v>
      </c>
      <c r="C186" s="4">
        <f>INDEX('1.1 Y_FR_imports'!$B$4:$B$203, MATCH(Summary!A186, '1.1 Y_FR_imports'!$A$4:$A$203, 0))</f>
        <v>0</v>
      </c>
      <c r="D186" s="4">
        <f>INDEX('1.2 Z_FR_imports'!$B$4:$B$203, MATCH(Summary!A186, '1.2 Z_FR_imports'!$A$4:$A$203, 0))</f>
        <v>0</v>
      </c>
      <c r="E186" s="4">
        <f>INDEX('2.1 Y_FR_production'!$B$4:$B$203, MATCH(Summary!A186, '2.1 Y_FR_production'!$A$4:$A$203, 0))</f>
        <v>0</v>
      </c>
      <c r="F186" s="4">
        <f>INDEX('2.2 Z_FR_production'!$B$4:$B$203, MATCH(Summary!A186, '2.2 Z_FR_production'!$A$4:$A$203, 0))</f>
        <v>0</v>
      </c>
      <c r="G186" s="1" t="e">
        <f>SUM(C186:D186)/SUM(C186:F186)</f>
        <v>#DIV/0!</v>
      </c>
      <c r="H186" s="1" t="e">
        <f t="shared" si="5"/>
        <v>#DIV/0!</v>
      </c>
    </row>
    <row r="187" spans="1:8" x14ac:dyDescent="0.3">
      <c r="A187" s="10" t="s">
        <v>69</v>
      </c>
      <c r="B187" s="30">
        <f t="shared" si="4"/>
        <v>0</v>
      </c>
      <c r="C187" s="4">
        <f>INDEX('1.1 Y_FR_imports'!$B$4:$B$203, MATCH(Summary!A187, '1.1 Y_FR_imports'!$A$4:$A$203, 0))</f>
        <v>0</v>
      </c>
      <c r="D187" s="4">
        <f>INDEX('1.2 Z_FR_imports'!$B$4:$B$203, MATCH(Summary!A187, '1.2 Z_FR_imports'!$A$4:$A$203, 0))</f>
        <v>0</v>
      </c>
      <c r="E187" s="4">
        <f>INDEX('2.1 Y_FR_production'!$B$4:$B$203, MATCH(Summary!A187, '2.1 Y_FR_production'!$A$4:$A$203, 0))</f>
        <v>0</v>
      </c>
      <c r="F187" s="4">
        <f>INDEX('2.2 Z_FR_production'!$B$4:$B$203, MATCH(Summary!A187, '2.2 Z_FR_production'!$A$4:$A$203, 0))</f>
        <v>0</v>
      </c>
      <c r="G187" s="1" t="e">
        <f>SUM(C187:D187)/SUM(C187:F187)</f>
        <v>#DIV/0!</v>
      </c>
      <c r="H187" s="1" t="e">
        <f t="shared" si="5"/>
        <v>#DIV/0!</v>
      </c>
    </row>
    <row r="188" spans="1:8" x14ac:dyDescent="0.3">
      <c r="A188" s="10" t="s">
        <v>92</v>
      </c>
      <c r="B188" s="30">
        <f t="shared" si="4"/>
        <v>0</v>
      </c>
      <c r="C188" s="4">
        <f>INDEX('1.1 Y_FR_imports'!$B$4:$B$203, MATCH(Summary!A188, '1.1 Y_FR_imports'!$A$4:$A$203, 0))</f>
        <v>0</v>
      </c>
      <c r="D188" s="4">
        <f>INDEX('1.2 Z_FR_imports'!$B$4:$B$203, MATCH(Summary!A188, '1.2 Z_FR_imports'!$A$4:$A$203, 0))</f>
        <v>0</v>
      </c>
      <c r="E188" s="4">
        <f>INDEX('2.1 Y_FR_production'!$B$4:$B$203, MATCH(Summary!A188, '2.1 Y_FR_production'!$A$4:$A$203, 0))</f>
        <v>0</v>
      </c>
      <c r="F188" s="4">
        <f>INDEX('2.2 Z_FR_production'!$B$4:$B$203, MATCH(Summary!A188, '2.2 Z_FR_production'!$A$4:$A$203, 0))</f>
        <v>0</v>
      </c>
      <c r="G188" s="1" t="e">
        <f>SUM(C188:D188)/SUM(C188:F188)</f>
        <v>#DIV/0!</v>
      </c>
      <c r="H188" s="1" t="e">
        <f t="shared" si="5"/>
        <v>#DIV/0!</v>
      </c>
    </row>
    <row r="189" spans="1:8" x14ac:dyDescent="0.3">
      <c r="A189" s="10" t="s">
        <v>91</v>
      </c>
      <c r="B189" s="30">
        <f t="shared" si="4"/>
        <v>0</v>
      </c>
      <c r="C189" s="4">
        <f>INDEX('1.1 Y_FR_imports'!$B$4:$B$203, MATCH(Summary!A189, '1.1 Y_FR_imports'!$A$4:$A$203, 0))</f>
        <v>0</v>
      </c>
      <c r="D189" s="4">
        <f>INDEX('1.2 Z_FR_imports'!$B$4:$B$203, MATCH(Summary!A189, '1.2 Z_FR_imports'!$A$4:$A$203, 0))</f>
        <v>0</v>
      </c>
      <c r="E189" s="4">
        <f>INDEX('2.1 Y_FR_production'!$B$4:$B$203, MATCH(Summary!A189, '2.1 Y_FR_production'!$A$4:$A$203, 0))</f>
        <v>0</v>
      </c>
      <c r="F189" s="4">
        <f>INDEX('2.2 Z_FR_production'!$B$4:$B$203, MATCH(Summary!A189, '2.2 Z_FR_production'!$A$4:$A$203, 0))</f>
        <v>0</v>
      </c>
      <c r="G189" s="1" t="e">
        <f>SUM(C189:D189)/SUM(C189:F189)</f>
        <v>#DIV/0!</v>
      </c>
      <c r="H189" s="1" t="e">
        <f t="shared" si="5"/>
        <v>#DIV/0!</v>
      </c>
    </row>
    <row r="190" spans="1:8" x14ac:dyDescent="0.3">
      <c r="A190" s="10" t="s">
        <v>197</v>
      </c>
      <c r="B190" s="30">
        <f t="shared" si="4"/>
        <v>0</v>
      </c>
      <c r="C190" s="4">
        <f>INDEX('1.1 Y_FR_imports'!$B$4:$B$203, MATCH(Summary!A190, '1.1 Y_FR_imports'!$A$4:$A$203, 0))</f>
        <v>0</v>
      </c>
      <c r="D190" s="4">
        <f>INDEX('1.2 Z_FR_imports'!$B$4:$B$203, MATCH(Summary!A190, '1.2 Z_FR_imports'!$A$4:$A$203, 0))</f>
        <v>0</v>
      </c>
      <c r="E190" s="4">
        <f>INDEX('2.1 Y_FR_production'!$B$4:$B$203, MATCH(Summary!A190, '2.1 Y_FR_production'!$A$4:$A$203, 0))</f>
        <v>0</v>
      </c>
      <c r="F190" s="4">
        <f>INDEX('2.2 Z_FR_production'!$B$4:$B$203, MATCH(Summary!A190, '2.2 Z_FR_production'!$A$4:$A$203, 0))</f>
        <v>0</v>
      </c>
      <c r="G190" s="1" t="e">
        <f>SUM(C190:D190)/SUM(C190:F190)</f>
        <v>#DIV/0!</v>
      </c>
      <c r="H190" s="1" t="e">
        <f t="shared" si="5"/>
        <v>#DIV/0!</v>
      </c>
    </row>
    <row r="191" spans="1:8" x14ac:dyDescent="0.3">
      <c r="A191" s="10" t="s">
        <v>171</v>
      </c>
      <c r="B191" s="30">
        <f t="shared" si="4"/>
        <v>0</v>
      </c>
      <c r="C191" s="4">
        <f>INDEX('1.1 Y_FR_imports'!$B$4:$B$203, MATCH(Summary!A191, '1.1 Y_FR_imports'!$A$4:$A$203, 0))</f>
        <v>0</v>
      </c>
      <c r="D191" s="4">
        <f>INDEX('1.2 Z_FR_imports'!$B$4:$B$203, MATCH(Summary!A191, '1.2 Z_FR_imports'!$A$4:$A$203, 0))</f>
        <v>0</v>
      </c>
      <c r="E191" s="4">
        <f>INDEX('2.1 Y_FR_production'!$B$4:$B$203, MATCH(Summary!A191, '2.1 Y_FR_production'!$A$4:$A$203, 0))</f>
        <v>0</v>
      </c>
      <c r="F191" s="4">
        <f>INDEX('2.2 Z_FR_production'!$B$4:$B$203, MATCH(Summary!A191, '2.2 Z_FR_production'!$A$4:$A$203, 0))</f>
        <v>0</v>
      </c>
      <c r="G191" s="1" t="e">
        <f>SUM(C191:D191)/SUM(C191:F191)</f>
        <v>#DIV/0!</v>
      </c>
      <c r="H191" s="1" t="e">
        <f t="shared" si="5"/>
        <v>#DIV/0!</v>
      </c>
    </row>
    <row r="192" spans="1:8" x14ac:dyDescent="0.3">
      <c r="A192" s="10" t="s">
        <v>172</v>
      </c>
      <c r="B192" s="30">
        <f t="shared" si="4"/>
        <v>0</v>
      </c>
      <c r="C192" s="4">
        <f>INDEX('1.1 Y_FR_imports'!$B$4:$B$203, MATCH(Summary!A192, '1.1 Y_FR_imports'!$A$4:$A$203, 0))</f>
        <v>0</v>
      </c>
      <c r="D192" s="4">
        <f>INDEX('1.2 Z_FR_imports'!$B$4:$B$203, MATCH(Summary!A192, '1.2 Z_FR_imports'!$A$4:$A$203, 0))</f>
        <v>0</v>
      </c>
      <c r="E192" s="4">
        <f>INDEX('2.1 Y_FR_production'!$B$4:$B$203, MATCH(Summary!A192, '2.1 Y_FR_production'!$A$4:$A$203, 0))</f>
        <v>0</v>
      </c>
      <c r="F192" s="4">
        <f>INDEX('2.2 Z_FR_production'!$B$4:$B$203, MATCH(Summary!A192, '2.2 Z_FR_production'!$A$4:$A$203, 0))</f>
        <v>0</v>
      </c>
      <c r="G192" s="1" t="e">
        <f>SUM(C192:D192)/SUM(C192:F192)</f>
        <v>#DIV/0!</v>
      </c>
      <c r="H192" s="1" t="e">
        <f t="shared" si="5"/>
        <v>#DIV/0!</v>
      </c>
    </row>
    <row r="193" spans="1:8" x14ac:dyDescent="0.3">
      <c r="A193" s="10" t="s">
        <v>168</v>
      </c>
      <c r="B193" s="30">
        <f t="shared" si="4"/>
        <v>0</v>
      </c>
      <c r="C193" s="4">
        <f>INDEX('1.1 Y_FR_imports'!$B$4:$B$203, MATCH(Summary!A193, '1.1 Y_FR_imports'!$A$4:$A$203, 0))</f>
        <v>0</v>
      </c>
      <c r="D193" s="4">
        <f>INDEX('1.2 Z_FR_imports'!$B$4:$B$203, MATCH(Summary!A193, '1.2 Z_FR_imports'!$A$4:$A$203, 0))</f>
        <v>0</v>
      </c>
      <c r="E193" s="4">
        <f>INDEX('2.1 Y_FR_production'!$B$4:$B$203, MATCH(Summary!A193, '2.1 Y_FR_production'!$A$4:$A$203, 0))</f>
        <v>0</v>
      </c>
      <c r="F193" s="4">
        <f>INDEX('2.2 Z_FR_production'!$B$4:$B$203, MATCH(Summary!A193, '2.2 Z_FR_production'!$A$4:$A$203, 0))</f>
        <v>0</v>
      </c>
      <c r="G193" s="1" t="e">
        <f>SUM(C193:D193)/SUM(C193:F193)</f>
        <v>#DIV/0!</v>
      </c>
      <c r="H193" s="1" t="e">
        <f t="shared" si="5"/>
        <v>#DIV/0!</v>
      </c>
    </row>
    <row r="194" spans="1:8" x14ac:dyDescent="0.3">
      <c r="A194" s="10" t="s">
        <v>8</v>
      </c>
      <c r="B194" s="30">
        <f t="shared" si="4"/>
        <v>0</v>
      </c>
      <c r="C194" s="4">
        <f>INDEX('1.1 Y_FR_imports'!$B$4:$B$203, MATCH(Summary!A194, '1.1 Y_FR_imports'!$A$4:$A$203, 0))</f>
        <v>0</v>
      </c>
      <c r="D194" s="4">
        <f>INDEX('1.2 Z_FR_imports'!$B$4:$B$203, MATCH(Summary!A194, '1.2 Z_FR_imports'!$A$4:$A$203, 0))</f>
        <v>0</v>
      </c>
      <c r="E194" s="4">
        <f>INDEX('2.1 Y_FR_production'!$B$4:$B$203, MATCH(Summary!A194, '2.1 Y_FR_production'!$A$4:$A$203, 0))</f>
        <v>0</v>
      </c>
      <c r="F194" s="4">
        <f>INDEX('2.2 Z_FR_production'!$B$4:$B$203, MATCH(Summary!A194, '2.2 Z_FR_production'!$A$4:$A$203, 0))</f>
        <v>0</v>
      </c>
      <c r="G194" s="1" t="e">
        <f>SUM(C194:D194)/SUM(C194:F194)</f>
        <v>#DIV/0!</v>
      </c>
      <c r="H194" s="1" t="e">
        <f t="shared" si="5"/>
        <v>#DIV/0!</v>
      </c>
    </row>
    <row r="195" spans="1:8" x14ac:dyDescent="0.3">
      <c r="A195" s="10" t="s">
        <v>175</v>
      </c>
      <c r="B195" s="30">
        <f t="shared" si="4"/>
        <v>0</v>
      </c>
      <c r="C195" s="4">
        <f>INDEX('1.1 Y_FR_imports'!$B$4:$B$203, MATCH(Summary!A195, '1.1 Y_FR_imports'!$A$4:$A$203, 0))</f>
        <v>0</v>
      </c>
      <c r="D195" s="4">
        <f>INDEX('1.2 Z_FR_imports'!$B$4:$B$203, MATCH(Summary!A195, '1.2 Z_FR_imports'!$A$4:$A$203, 0))</f>
        <v>0</v>
      </c>
      <c r="E195" s="4">
        <f>INDEX('2.1 Y_FR_production'!$B$4:$B$203, MATCH(Summary!A195, '2.1 Y_FR_production'!$A$4:$A$203, 0))</f>
        <v>0</v>
      </c>
      <c r="F195" s="4">
        <f>INDEX('2.2 Z_FR_production'!$B$4:$B$203, MATCH(Summary!A195, '2.2 Z_FR_production'!$A$4:$A$203, 0))</f>
        <v>0</v>
      </c>
      <c r="G195" s="1" t="e">
        <f>SUM(C195:D195)/SUM(C195:F195)</f>
        <v>#DIV/0!</v>
      </c>
      <c r="H195" s="1" t="e">
        <f t="shared" si="5"/>
        <v>#DIV/0!</v>
      </c>
    </row>
    <row r="196" spans="1:8" x14ac:dyDescent="0.3">
      <c r="A196" s="10" t="s">
        <v>173</v>
      </c>
      <c r="B196" s="30">
        <f t="shared" si="4"/>
        <v>0</v>
      </c>
      <c r="C196" s="4">
        <f>INDEX('1.1 Y_FR_imports'!$B$4:$B$203, MATCH(Summary!A196, '1.1 Y_FR_imports'!$A$4:$A$203, 0))</f>
        <v>0</v>
      </c>
      <c r="D196" s="4">
        <f>INDEX('1.2 Z_FR_imports'!$B$4:$B$203, MATCH(Summary!A196, '1.2 Z_FR_imports'!$A$4:$A$203, 0))</f>
        <v>0</v>
      </c>
      <c r="E196" s="4">
        <f>INDEX('2.1 Y_FR_production'!$B$4:$B$203, MATCH(Summary!A196, '2.1 Y_FR_production'!$A$4:$A$203, 0))</f>
        <v>0</v>
      </c>
      <c r="F196" s="4">
        <f>INDEX('2.2 Z_FR_production'!$B$4:$B$203, MATCH(Summary!A196, '2.2 Z_FR_production'!$A$4:$A$203, 0))</f>
        <v>0</v>
      </c>
      <c r="G196" s="1" t="e">
        <f>SUM(C196:D196)/SUM(C196:F196)</f>
        <v>#DIV/0!</v>
      </c>
      <c r="H196" s="1" t="e">
        <f t="shared" si="5"/>
        <v>#DIV/0!</v>
      </c>
    </row>
    <row r="197" spans="1:8" x14ac:dyDescent="0.3">
      <c r="A197" s="10" t="s">
        <v>165</v>
      </c>
      <c r="B197" s="30">
        <f t="shared" ref="B197:B203" si="6">SUM(C197:F197)</f>
        <v>0</v>
      </c>
      <c r="C197" s="4">
        <f>INDEX('1.1 Y_FR_imports'!$B$4:$B$203, MATCH(Summary!A197, '1.1 Y_FR_imports'!$A$4:$A$203, 0))</f>
        <v>0</v>
      </c>
      <c r="D197" s="4">
        <f>INDEX('1.2 Z_FR_imports'!$B$4:$B$203, MATCH(Summary!A197, '1.2 Z_FR_imports'!$A$4:$A$203, 0))</f>
        <v>0</v>
      </c>
      <c r="E197" s="4">
        <f>INDEX('2.1 Y_FR_production'!$B$4:$B$203, MATCH(Summary!A197, '2.1 Y_FR_production'!$A$4:$A$203, 0))</f>
        <v>0</v>
      </c>
      <c r="F197" s="4">
        <f>INDEX('2.2 Z_FR_production'!$B$4:$B$203, MATCH(Summary!A197, '2.2 Z_FR_production'!$A$4:$A$203, 0))</f>
        <v>0</v>
      </c>
      <c r="G197" s="1" t="e">
        <f>SUM(C197:D197)/SUM(C197:F197)</f>
        <v>#DIV/0!</v>
      </c>
      <c r="H197" s="1" t="e">
        <f t="shared" ref="H197:H203" si="7">SUM(E197:F197)/SUM(C197:F197)</f>
        <v>#DIV/0!</v>
      </c>
    </row>
    <row r="198" spans="1:8" x14ac:dyDescent="0.3">
      <c r="A198" s="10" t="s">
        <v>169</v>
      </c>
      <c r="B198" s="30">
        <f t="shared" si="6"/>
        <v>0</v>
      </c>
      <c r="C198" s="4">
        <f>INDEX('1.1 Y_FR_imports'!$B$4:$B$203, MATCH(Summary!A198, '1.1 Y_FR_imports'!$A$4:$A$203, 0))</f>
        <v>0</v>
      </c>
      <c r="D198" s="4">
        <f>INDEX('1.2 Z_FR_imports'!$B$4:$B$203, MATCH(Summary!A198, '1.2 Z_FR_imports'!$A$4:$A$203, 0))</f>
        <v>0</v>
      </c>
      <c r="E198" s="4">
        <f>INDEX('2.1 Y_FR_production'!$B$4:$B$203, MATCH(Summary!A198, '2.1 Y_FR_production'!$A$4:$A$203, 0))</f>
        <v>0</v>
      </c>
      <c r="F198" s="4">
        <f>INDEX('2.2 Z_FR_production'!$B$4:$B$203, MATCH(Summary!A198, '2.2 Z_FR_production'!$A$4:$A$203, 0))</f>
        <v>0</v>
      </c>
      <c r="G198" s="1" t="e">
        <f>SUM(C198:D198)/SUM(C198:F198)</f>
        <v>#DIV/0!</v>
      </c>
      <c r="H198" s="1" t="e">
        <f t="shared" si="7"/>
        <v>#DIV/0!</v>
      </c>
    </row>
    <row r="199" spans="1:8" x14ac:dyDescent="0.3">
      <c r="A199" s="10" t="s">
        <v>167</v>
      </c>
      <c r="B199" s="30">
        <f t="shared" si="6"/>
        <v>0</v>
      </c>
      <c r="C199" s="4">
        <f>INDEX('1.1 Y_FR_imports'!$B$4:$B$203, MATCH(Summary!A199, '1.1 Y_FR_imports'!$A$4:$A$203, 0))</f>
        <v>0</v>
      </c>
      <c r="D199" s="4">
        <f>INDEX('1.2 Z_FR_imports'!$B$4:$B$203, MATCH(Summary!A199, '1.2 Z_FR_imports'!$A$4:$A$203, 0))</f>
        <v>0</v>
      </c>
      <c r="E199" s="4">
        <f>INDEX('2.1 Y_FR_production'!$B$4:$B$203, MATCH(Summary!A199, '2.1 Y_FR_production'!$A$4:$A$203, 0))</f>
        <v>0</v>
      </c>
      <c r="F199" s="4">
        <f>INDEX('2.2 Z_FR_production'!$B$4:$B$203, MATCH(Summary!A199, '2.2 Z_FR_production'!$A$4:$A$203, 0))</f>
        <v>0</v>
      </c>
      <c r="G199" s="1" t="e">
        <f>SUM(C199:D199)/SUM(C199:F199)</f>
        <v>#DIV/0!</v>
      </c>
      <c r="H199" s="1" t="e">
        <f t="shared" si="7"/>
        <v>#DIV/0!</v>
      </c>
    </row>
    <row r="200" spans="1:8" x14ac:dyDescent="0.3">
      <c r="A200" s="10" t="s">
        <v>170</v>
      </c>
      <c r="B200" s="30">
        <f t="shared" si="6"/>
        <v>0</v>
      </c>
      <c r="C200" s="4">
        <f>INDEX('1.1 Y_FR_imports'!$B$4:$B$203, MATCH(Summary!A200, '1.1 Y_FR_imports'!$A$4:$A$203, 0))</f>
        <v>0</v>
      </c>
      <c r="D200" s="4">
        <f>INDEX('1.2 Z_FR_imports'!$B$4:$B$203, MATCH(Summary!A200, '1.2 Z_FR_imports'!$A$4:$A$203, 0))</f>
        <v>0</v>
      </c>
      <c r="E200" s="4">
        <f>INDEX('2.1 Y_FR_production'!$B$4:$B$203, MATCH(Summary!A200, '2.1 Y_FR_production'!$A$4:$A$203, 0))</f>
        <v>0</v>
      </c>
      <c r="F200" s="4">
        <f>INDEX('2.2 Z_FR_production'!$B$4:$B$203, MATCH(Summary!A200, '2.2 Z_FR_production'!$A$4:$A$203, 0))</f>
        <v>0</v>
      </c>
      <c r="G200" s="1" t="e">
        <f>SUM(C200:D200)/SUM(C200:F200)</f>
        <v>#DIV/0!</v>
      </c>
      <c r="H200" s="1" t="e">
        <f t="shared" si="7"/>
        <v>#DIV/0!</v>
      </c>
    </row>
    <row r="201" spans="1:8" x14ac:dyDescent="0.3">
      <c r="A201" s="10" t="s">
        <v>18</v>
      </c>
      <c r="B201" s="30">
        <f t="shared" si="6"/>
        <v>0</v>
      </c>
      <c r="C201" s="4">
        <f>INDEX('1.1 Y_FR_imports'!$B$4:$B$203, MATCH(Summary!A201, '1.1 Y_FR_imports'!$A$4:$A$203, 0))</f>
        <v>0</v>
      </c>
      <c r="D201" s="4">
        <f>INDEX('1.2 Z_FR_imports'!$B$4:$B$203, MATCH(Summary!A201, '1.2 Z_FR_imports'!$A$4:$A$203, 0))</f>
        <v>0</v>
      </c>
      <c r="E201" s="4">
        <f>INDEX('2.1 Y_FR_production'!$B$4:$B$203, MATCH(Summary!A201, '2.1 Y_FR_production'!$A$4:$A$203, 0))</f>
        <v>0</v>
      </c>
      <c r="F201" s="4">
        <f>INDEX('2.2 Z_FR_production'!$B$4:$B$203, MATCH(Summary!A201, '2.2 Z_FR_production'!$A$4:$A$203, 0))</f>
        <v>0</v>
      </c>
      <c r="G201" s="1" t="e">
        <f>SUM(C201:D201)/SUM(C201:F201)</f>
        <v>#DIV/0!</v>
      </c>
      <c r="H201" s="1" t="e">
        <f t="shared" si="7"/>
        <v>#DIV/0!</v>
      </c>
    </row>
    <row r="202" spans="1:8" x14ac:dyDescent="0.3">
      <c r="A202" s="10" t="s">
        <v>166</v>
      </c>
      <c r="B202" s="30">
        <f t="shared" si="6"/>
        <v>0</v>
      </c>
      <c r="C202" s="4">
        <f>INDEX('1.1 Y_FR_imports'!$B$4:$B$203, MATCH(Summary!A202, '1.1 Y_FR_imports'!$A$4:$A$203, 0))</f>
        <v>0</v>
      </c>
      <c r="D202" s="4">
        <f>INDEX('1.2 Z_FR_imports'!$B$4:$B$203, MATCH(Summary!A202, '1.2 Z_FR_imports'!$A$4:$A$203, 0))</f>
        <v>0</v>
      </c>
      <c r="E202" s="4">
        <f>INDEX('2.1 Y_FR_production'!$B$4:$B$203, MATCH(Summary!A202, '2.1 Y_FR_production'!$A$4:$A$203, 0))</f>
        <v>0</v>
      </c>
      <c r="F202" s="4">
        <f>INDEX('2.2 Z_FR_production'!$B$4:$B$203, MATCH(Summary!A202, '2.2 Z_FR_production'!$A$4:$A$203, 0))</f>
        <v>0</v>
      </c>
      <c r="G202" s="1" t="e">
        <f>SUM(C202:D202)/SUM(C202:F202)</f>
        <v>#DIV/0!</v>
      </c>
      <c r="H202" s="1" t="e">
        <f t="shared" si="7"/>
        <v>#DIV/0!</v>
      </c>
    </row>
    <row r="203" spans="1:8" x14ac:dyDescent="0.3">
      <c r="A203" s="10" t="s">
        <v>56</v>
      </c>
      <c r="B203" s="30">
        <f t="shared" si="6"/>
        <v>0</v>
      </c>
      <c r="C203" s="4">
        <f>INDEX('1.1 Y_FR_imports'!$B$4:$B$203, MATCH(Summary!A203, '1.1 Y_FR_imports'!$A$4:$A$203, 0))</f>
        <v>0</v>
      </c>
      <c r="D203" s="4">
        <f>INDEX('1.2 Z_FR_imports'!$B$4:$B$203, MATCH(Summary!A203, '1.2 Z_FR_imports'!$A$4:$A$203, 0))</f>
        <v>0</v>
      </c>
      <c r="E203" s="4">
        <f>INDEX('2.1 Y_FR_production'!$B$4:$B$203, MATCH(Summary!A203, '2.1 Y_FR_production'!$A$4:$A$203, 0))</f>
        <v>0</v>
      </c>
      <c r="F203" s="4">
        <f>INDEX('2.2 Z_FR_production'!$B$4:$B$203, MATCH(Summary!A203, '2.2 Z_FR_production'!$A$4:$A$203, 0))</f>
        <v>0</v>
      </c>
      <c r="G203" s="1" t="e">
        <f>SUM(C203:D203)/SUM(C203:F203)</f>
        <v>#DIV/0!</v>
      </c>
      <c r="H203" s="1" t="e">
        <f t="shared" si="7"/>
        <v>#DIV/0!</v>
      </c>
    </row>
  </sheetData>
  <autoFilter ref="A3:H203" xr:uid="{D128262F-2692-4D3F-9EA9-5C378385CE66}">
    <sortState xmlns:xlrd2="http://schemas.microsoft.com/office/spreadsheetml/2017/richdata2" ref="A4:H203">
      <sortCondition descending="1" ref="B3:B203"/>
    </sortState>
  </autoFilter>
  <conditionalFormatting sqref="B4:B203">
    <cfRule type="dataBar" priority="5">
      <dataBar>
        <cfvo type="min"/>
        <cfvo type="max"/>
        <color theme="2" tint="-9.9978637043366805E-2"/>
      </dataBar>
      <extLst>
        <ext xmlns:x14="http://schemas.microsoft.com/office/spreadsheetml/2009/9/main" uri="{B025F937-C7B1-47D3-B67F-A62EFF666E3E}">
          <x14:id>{45A386EF-68C8-4938-A9EE-53F5F45A1C71}</x14:id>
        </ext>
      </extLst>
    </cfRule>
    <cfRule type="cellIs" dxfId="0" priority="6" operator="equal">
      <formula>0</formula>
    </cfRule>
  </conditionalFormatting>
  <conditionalFormatting sqref="G4:H203">
    <cfRule type="dataBar" priority="1">
      <dataBar>
        <cfvo type="min"/>
        <cfvo type="max"/>
        <color theme="2" tint="-9.9978637043366805E-2"/>
      </dataBar>
      <extLst>
        <ext xmlns:x14="http://schemas.microsoft.com/office/spreadsheetml/2009/9/main" uri="{B025F937-C7B1-47D3-B67F-A62EFF666E3E}">
          <x14:id>{40D3C41E-DB26-48F8-9567-F09A2D00CD59}</x14:id>
        </ext>
      </extLst>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45A386EF-68C8-4938-A9EE-53F5F45A1C71}">
            <x14:dataBar minLength="0" maxLength="100" gradient="0">
              <x14:cfvo type="autoMin"/>
              <x14:cfvo type="autoMax"/>
              <x14:negativeFillColor rgb="FFFF0000"/>
              <x14:axisColor rgb="FF000000"/>
            </x14:dataBar>
          </x14:cfRule>
          <xm:sqref>B4:B203</xm:sqref>
        </x14:conditionalFormatting>
        <x14:conditionalFormatting xmlns:xm="http://schemas.microsoft.com/office/excel/2006/main">
          <x14:cfRule type="dataBar" id="{40D3C41E-DB26-48F8-9567-F09A2D00CD59}">
            <x14:dataBar minLength="0" maxLength="100" gradient="0">
              <x14:cfvo type="autoMin"/>
              <x14:cfvo type="autoMax"/>
              <x14:negativeFillColor rgb="FFFF0000"/>
              <x14:axisColor rgb="FF000000"/>
            </x14:dataBar>
          </x14:cfRule>
          <xm:sqref>G4:H203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89e107a-002f-47cb-94f0-e5bf57bc2a72" xsi:nil="true"/>
    <lcf76f155ced4ddcb4097134ff3c332f xmlns="e3526620-295c-4e7a-bc15-71d5d129bc8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4AF39AFB91D254FB182AF94C5DC49BB" ma:contentTypeVersion="11" ma:contentTypeDescription="Crée un document." ma:contentTypeScope="" ma:versionID="dbf3a68182155b17bdc3666382daf776">
  <xsd:schema xmlns:xsd="http://www.w3.org/2001/XMLSchema" xmlns:xs="http://www.w3.org/2001/XMLSchema" xmlns:p="http://schemas.microsoft.com/office/2006/metadata/properties" xmlns:ns2="e3526620-295c-4e7a-bc15-71d5d129bc8a" xmlns:ns3="f89e107a-002f-47cb-94f0-e5bf57bc2a72" targetNamespace="http://schemas.microsoft.com/office/2006/metadata/properties" ma:root="true" ma:fieldsID="ccb4e8835da535e86e7998c3a5e457f2" ns2:_="" ns3:_="">
    <xsd:import namespace="e3526620-295c-4e7a-bc15-71d5d129bc8a"/>
    <xsd:import namespace="f89e107a-002f-47cb-94f0-e5bf57bc2a7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3526620-295c-4e7a-bc15-71d5d129bc8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89d98ed-d87d-4b5f-8cfd-2c453ac98cb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89e107a-002f-47cb-94f0-e5bf57bc2a7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39249a1-d208-40d2-81eb-01a4abb22e02}" ma:internalName="TaxCatchAll" ma:showField="CatchAllData" ma:web="f89e107a-002f-47cb-94f0-e5bf57bc2a7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AD53D59-4C41-4758-8A68-5848D17536C2}">
  <ds:schemaRefs>
    <ds:schemaRef ds:uri="http://purl.org/dc/elements/1.1/"/>
    <ds:schemaRef ds:uri="http://schemas.microsoft.com/office/2006/metadata/properties"/>
    <ds:schemaRef ds:uri="http://schemas.microsoft.com/office/infopath/2007/PartnerControls"/>
    <ds:schemaRef ds:uri="http://schemas.microsoft.com/office/2006/documentManagement/types"/>
    <ds:schemaRef ds:uri="http://purl.org/dc/terms/"/>
    <ds:schemaRef ds:uri="http://www.w3.org/XML/1998/namespace"/>
    <ds:schemaRef ds:uri="http://schemas.openxmlformats.org/package/2006/metadata/core-properties"/>
    <ds:schemaRef ds:uri="f89e107a-002f-47cb-94f0-e5bf57bc2a72"/>
    <ds:schemaRef ds:uri="e3526620-295c-4e7a-bc15-71d5d129bc8a"/>
    <ds:schemaRef ds:uri="http://purl.org/dc/dcmitype/"/>
  </ds:schemaRefs>
</ds:datastoreItem>
</file>

<file path=customXml/itemProps2.xml><?xml version="1.0" encoding="utf-8"?>
<ds:datastoreItem xmlns:ds="http://schemas.openxmlformats.org/officeDocument/2006/customXml" ds:itemID="{63847B96-7F61-4FBB-8A45-3BB6BD0AA83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3526620-295c-4e7a-bc15-71d5d129bc8a"/>
    <ds:schemaRef ds:uri="f89e107a-002f-47cb-94f0-e5bf57bc2a7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B02F86D-BD7D-405E-8C81-472464D2E72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1.1 Y_FR_imports</vt:lpstr>
      <vt:lpstr>1.2 Z_FR_imports</vt:lpstr>
      <vt:lpstr>2.1 Y_FR_production</vt:lpstr>
      <vt:lpstr>2.2 Z_FR_production</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Lienart</dc:creator>
  <cp:keywords/>
  <dc:description/>
  <cp:lastModifiedBy>Nicolas Lienart</cp:lastModifiedBy>
  <cp:revision/>
  <dcterms:created xsi:type="dcterms:W3CDTF">2025-09-02T12:57:53Z</dcterms:created>
  <dcterms:modified xsi:type="dcterms:W3CDTF">2026-08-06T12:54:10Z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0x010100E4AF39AFB91D254FB182AF94C5DC49BB</vt:lpwstr>
  </property>
  <property fmtid="{D5CDD505-2E9C-101B-9397-08002B2CF9AE}" pid="3" name="MediaServiceImageTags">
    <vt:lpwstr/>
  </property>
</Properties>
</file>